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8.xml" ContentType="application/vnd.openxmlformats-officedocument.drawing+xml"/>
  <Default Extension="png" ContentType="image/png"/>
  <Default Extension="bin" ContentType="application/vnd.openxmlformats-officedocument.spreadsheetml.printerSettings"/>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2" autoFilterDateGrouping="true" firstSheet="1" minimized="false" showHorizontalScroll="true" showSheetTabs="true" showVerticalScroll="true" tabRatio="829" visibility="visible"/>
  </bookViews>
  <sheets>
    <sheet name="Page de garde" sheetId="1" r:id="rId4"/>
    <sheet name="Carnet de stage" sheetId="2" r:id="rId5"/>
    <sheet name="Liste récapitulative" sheetId="3" r:id="rId6"/>
    <sheet name="Prestation de consultations" sheetId="4" r:id="rId7"/>
    <sheet name="Prestations de gardes" sheetId="5" r:id="rId8"/>
    <sheet name="Rapport d'activité" sheetId="6" r:id="rId9"/>
    <sheet name="Evaluation candidat" sheetId="7" r:id="rId10"/>
    <sheet name="Evaluation maître de stage" sheetId="8" r:id="rId11"/>
  </sheets>
  <definedNames>
    <definedName name="_xlnm.Print_Area" localSheetId="2">'Liste récapitulative'!$A$2:$V$17</definedName>
    <definedName name="_xlnm.Print_Area" localSheetId="5">'Rapport d''activité'!$A$2:$Z$26,'Rapport d''activité'!$AB$2:$BA$26,'Rapport d''activité'!$A$28:$Z$52,'Rapport d''activité'!$AB$28:$BA$52,'Rapport d''activité'!$C$57:$P$74</definedName>
    <definedName name="_xlnm.Print_Area" localSheetId="6">'Evaluation candidat'!$A$1:$X$83,'Evaluation candidat'!$A$86:$X$114,'Evaluation candidat'!$A$117:$X$154</definedName>
  </definedNames>
  <calcPr calcId="999999" calcMode="auto" calcCompleted="1" fullCalcOnLoad="0" forceFullCalc="0"/>
</workbook>
</file>

<file path=xl/sharedStrings.xml><?xml version="1.0" encoding="utf-8"?>
<sst xmlns="http://schemas.openxmlformats.org/spreadsheetml/2006/main" uniqueCount="364">
  <si>
    <t>CARNET DE STAGE</t>
  </si>
  <si>
    <t>ORTHOPEDIE</t>
  </si>
  <si>
    <t>1e année</t>
  </si>
  <si>
    <t>NOM :</t>
  </si>
  <si>
    <t>Martin</t>
  </si>
  <si>
    <t>Prénom :</t>
  </si>
  <si>
    <t>Camille</t>
  </si>
  <si>
    <t>Adresse email :</t>
  </si>
  <si>
    <t>resident.fictif@example.test</t>
  </si>
  <si>
    <t>Téléphone :</t>
  </si>
  <si>
    <t>Prénom + nom :</t>
  </si>
  <si>
    <t>Je déclare que les informations contenues dans le présent formulaire sont exactes.
 </t>
  </si>
  <si>
    <t>Date :</t>
  </si>
  <si>
    <t>Signature :</t>
  </si>
  <si>
    <t>MINISTERE DE LA FEDERATION</t>
  </si>
  <si>
    <t>WALLONIE - BRUXELLES</t>
  </si>
  <si>
    <t>DIRECTION DE L'AGREMENT DES PRESTATAIRES DE SOINS DE SANTE</t>
  </si>
  <si>
    <t>AGREMENT DES MEDECINS SPECIALISTES</t>
  </si>
  <si>
    <t xml:space="preserve">Carnet de stage et liste récapitulative du médecin candidat spécialiste en </t>
  </si>
  <si>
    <t>CHIRURGIE ORTHOPEDIQUE</t>
  </si>
  <si>
    <t xml:space="preserve">  NOM et PRENOM</t>
  </si>
  <si>
    <t xml:space="preserve">    Dr Martin Camille</t>
  </si>
  <si>
    <t xml:space="preserve">  Adresse</t>
  </si>
  <si>
    <t xml:space="preserve">  Hôpital de stage:</t>
  </si>
  <si>
    <t xml:space="preserve">    CHU Test</t>
  </si>
  <si>
    <t>Maître de stage</t>
  </si>
  <si>
    <t xml:space="preserve">    Dr maître fictif</t>
  </si>
  <si>
    <t xml:space="preserve">  Date de début de stage</t>
  </si>
  <si>
    <t xml:space="preserve">    01-10-2017</t>
  </si>
  <si>
    <t xml:space="preserve">  Année de stage</t>
  </si>
  <si>
    <t xml:space="preserve">    1</t>
  </si>
  <si>
    <t xml:space="preserve">  Carnet rentré le :</t>
  </si>
  <si>
    <t xml:space="preserve">    28-10-2026</t>
  </si>
  <si>
    <t>Code assistance et code surveillance : nom du responsable ayant été aidé par le candidat ou ayant supervisé l'intervention effectuée par le candidat</t>
  </si>
  <si>
    <t xml:space="preserve">  Maître de stage</t>
  </si>
  <si>
    <t xml:space="preserve">  id:     A</t>
  </si>
  <si>
    <t>Anne</t>
  </si>
  <si>
    <t>Boss</t>
  </si>
  <si>
    <t xml:space="preserve">  Superviseurs</t>
  </si>
  <si>
    <t xml:space="preserve">  id:     B</t>
  </si>
  <si>
    <t>Bruno</t>
  </si>
  <si>
    <t xml:space="preserve">  id:     C</t>
  </si>
  <si>
    <t>Carl</t>
  </si>
  <si>
    <t>Alpha</t>
  </si>
  <si>
    <t>Date</t>
  </si>
  <si>
    <t>Nomenclature</t>
  </si>
  <si>
    <t>Nature des prestations</t>
  </si>
  <si>
    <t>Prestations du Candidat</t>
  </si>
  <si>
    <t>ASSISTANT</t>
  </si>
  <si>
    <t>CODE âiné</t>
  </si>
  <si>
    <t>OPERATEUR</t>
  </si>
  <si>
    <t>1er</t>
  </si>
  <si>
    <t>2ème</t>
  </si>
  <si>
    <t>seul</t>
  </si>
  <si>
    <t>+âiné</t>
  </si>
  <si>
    <t xml:space="preserve">  02-10-2017</t>
  </si>
  <si>
    <t xml:space="preserve">  3000011</t>
  </si>
  <si>
    <t xml:space="preserve">  Acte ortho 1</t>
  </si>
  <si>
    <t>A</t>
  </si>
  <si>
    <t xml:space="preserve">  03-10-2017</t>
  </si>
  <si>
    <t>B</t>
  </si>
  <si>
    <t xml:space="preserve">  04-10-2017</t>
  </si>
  <si>
    <t>C</t>
  </si>
  <si>
    <t xml:space="preserve">  05-10-2017</t>
  </si>
  <si>
    <t xml:space="preserve">  06-10-2017</t>
  </si>
  <si>
    <t xml:space="preserve">  07-10-2017</t>
  </si>
  <si>
    <t>Nbre total des interventions</t>
  </si>
  <si>
    <t>POURCENTAGE:</t>
  </si>
  <si>
    <t>NOMBRES D'INTERVENTIONS AIDEES PAR LE MAITRE DE STAGE OU SES COLLABORATEURS</t>
  </si>
  <si>
    <t>ASSISTANCES</t>
  </si>
  <si>
    <t>OPERATEUR + AINE</t>
  </si>
  <si>
    <t>Nombre</t>
  </si>
  <si>
    <t>%</t>
  </si>
  <si>
    <t>Candidat en tant que</t>
  </si>
  <si>
    <t>Maitre de stage</t>
  </si>
  <si>
    <t>Dr   Camille</t>
  </si>
  <si>
    <t xml:space="preserve">   Dr   Anne</t>
  </si>
  <si>
    <t>50%</t>
  </si>
  <si>
    <t xml:space="preserve"> Collaborateurs</t>
  </si>
  <si>
    <t xml:space="preserve">   Dr   Carl</t>
  </si>
  <si>
    <t>100%</t>
  </si>
  <si>
    <t>0%</t>
  </si>
  <si>
    <t>Total</t>
  </si>
  <si>
    <t>Nous certifions que les prestations réalisées personnellement par le Candidat sont réelles et exactes.</t>
  </si>
  <si>
    <t>Signatures  :</t>
  </si>
  <si>
    <t>Le Candidat</t>
  </si>
  <si>
    <t>Le Maître de stage</t>
  </si>
  <si>
    <t>Date:</t>
  </si>
  <si>
    <r>
      <t xml:space="preserve">Le carnet de stage et la liste récapitulative</t>
    </r>
    <r>
      <rPr>
        <rFont val="Calibri"/>
        <b val="false"/>
        <i val="false"/>
        <strike val="false"/>
        <color rgb="FF000000"/>
        <sz val="14"/>
        <u val="none"/>
      </rPr>
      <t xml:space="preserve"> vous sont donnés pour toute la durée de votre formation,  Vous devez en faire une copie avant de l'utiliser et faire régulièrement des copies de sauvegarde datées après avoir complété le document,  Voudriez vous compléter chaque année la colonne correspondante à l'année de stage et en fin d'annnée imprimer tous les documents,  Les documents imprimés par vos soins et la disquette seront envoyés au Ministère </t>
    </r>
    <r>
      <rPr>
        <rFont val="Calibri"/>
        <b val="true"/>
        <i val="false"/>
        <strike val="false"/>
        <color rgb="FF000000"/>
        <sz val="14"/>
        <u val="single"/>
      </rPr>
      <t xml:space="preserve">pour le 30 octobre au plus tard.</t>
    </r>
    <r>
      <rPr>
        <rFont val="Calibri"/>
        <b val="false"/>
        <i val="false"/>
        <strike val="false"/>
        <color rgb="FF000000"/>
        <sz val="14"/>
        <u val="none"/>
      </rPr>
      <t xml:space="preserve">  La demande d'agrément peut être introduite sur le formulaire " Demande d'agrément " au cours des trois derniers mois de la formation avec le carnet de stage incomplet et la grille complétée jusquà la fin de l'activité clinique,  Avant d'imprimer les documents, voudriez vous faire un print preview   et adapter les marges de votre feuille et réduire si nécessaire avec "page set up" - "scaling" - " adjust to 60% " la grandeur de la feuille à imprimer,  </t>
    </r>
    <r>
      <rPr>
        <rFont val="Calibri"/>
        <b val="false"/>
        <i val="false"/>
        <strike val="false"/>
        <color rgb="FF000000"/>
        <sz val="14"/>
        <u val="single"/>
      </rPr>
      <t xml:space="preserve">En cas de problème ( bogue ) vous pouvez demander de l'aide au 02/ 690. 89.40 ou agrementsante@cfwb.be</t>
    </r>
  </si>
  <si>
    <t>LISTE RECAPITULATIVE DES PRESTATIONS EFFECTUEES</t>
  </si>
  <si>
    <t>Prestations effectuées par le Dr</t>
  </si>
  <si>
    <t xml:space="preserve">  Dr Camille Martin</t>
  </si>
  <si>
    <t>Hôpital de Stage :</t>
  </si>
  <si>
    <t xml:space="preserve">  CHU Test</t>
  </si>
  <si>
    <t>Maitre de stage :</t>
  </si>
  <si>
    <t xml:space="preserve">  Dr Maître fictif</t>
  </si>
  <si>
    <t>Année de Formation:</t>
  </si>
  <si>
    <t xml:space="preserve">Période du </t>
  </si>
  <si>
    <t xml:space="preserve"> du         au         /          /20</t>
  </si>
  <si>
    <t>DISCIPLINE OPERATOIRE</t>
  </si>
  <si>
    <t>ANNEE</t>
  </si>
  <si>
    <t>REGIONS</t>
  </si>
  <si>
    <t>TOTAL</t>
  </si>
  <si>
    <t>TOTAL A+O</t>
  </si>
  <si>
    <t>EPAULE</t>
  </si>
  <si>
    <t>Sous total</t>
  </si>
  <si>
    <t>HUMERUS</t>
  </si>
  <si>
    <t>COUDE</t>
  </si>
  <si>
    <t>AVANT-BRAS</t>
  </si>
  <si>
    <t>POIGNET-MAIN</t>
  </si>
  <si>
    <t>RACHIS</t>
  </si>
  <si>
    <t>BASSIN</t>
  </si>
  <si>
    <t>HANCHE</t>
  </si>
  <si>
    <t>FEMUR PROXIMAL</t>
  </si>
  <si>
    <t>FEMUR DIAPHYSE</t>
  </si>
  <si>
    <t>FEMUR DISTAL</t>
  </si>
  <si>
    <t>GENOU</t>
  </si>
  <si>
    <t>JAMBE</t>
  </si>
  <si>
    <t>CHEVILLE</t>
  </si>
  <si>
    <t>PIED</t>
  </si>
  <si>
    <t>TOTAL GENERAL</t>
  </si>
  <si>
    <t>TRAUMATOLOGIE</t>
  </si>
  <si>
    <t>CHIRURGIE GENERALE</t>
  </si>
  <si>
    <t>TYPE DE CHIRURGIE</t>
  </si>
  <si>
    <t>DIGESTIVE</t>
  </si>
  <si>
    <t>GENERAL</t>
  </si>
  <si>
    <t>UROLOGIE</t>
  </si>
  <si>
    <t>VASCULAIRE</t>
  </si>
  <si>
    <t>THORACIQUE</t>
  </si>
  <si>
    <t>PLASTIQUE</t>
  </si>
  <si>
    <t>NEUROLOGIE</t>
  </si>
  <si>
    <t>TRANSPLANTATION</t>
  </si>
  <si>
    <t xml:space="preserve">  LISTE RECAPITULATIVE DES CONSULTATIONS</t>
  </si>
  <si>
    <t xml:space="preserve">  Par le Docteur :</t>
  </si>
  <si>
    <t xml:space="preserve">  Hôpital de stage :</t>
  </si>
  <si>
    <t xml:space="preserve">  Maître de stage :</t>
  </si>
  <si>
    <t xml:space="preserve">  Année de formation :</t>
  </si>
  <si>
    <t xml:space="preserve">  1</t>
  </si>
  <si>
    <t>DATE</t>
  </si>
  <si>
    <t xml:space="preserve">  Type de consultation</t>
  </si>
  <si>
    <t xml:space="preserve">  OCTOBRE</t>
  </si>
  <si>
    <t xml:space="preserve">  Nb de patient</t>
  </si>
  <si>
    <t xml:space="preserve">  NOVEMBRE</t>
  </si>
  <si>
    <t xml:space="preserve">  DECEMBRE</t>
  </si>
  <si>
    <t xml:space="preserve">  JANVIER</t>
  </si>
  <si>
    <t xml:space="preserve">  FEVRIER</t>
  </si>
  <si>
    <t xml:space="preserve">  MARS</t>
  </si>
  <si>
    <t xml:space="preserve">  AVRIL</t>
  </si>
  <si>
    <t xml:space="preserve">  MAI</t>
  </si>
  <si>
    <t xml:space="preserve">  JUIN</t>
  </si>
  <si>
    <t xml:space="preserve">  JUILLET</t>
  </si>
  <si>
    <t xml:space="preserve">  AOUT</t>
  </si>
  <si>
    <t xml:space="preserve">  SEPTEMBRE</t>
  </si>
  <si>
    <t xml:space="preserve">  LISTE RECAPITULATIVE DES GARDES</t>
  </si>
  <si>
    <t xml:space="preserve"> Info complémentaire</t>
  </si>
  <si>
    <t>Nb total de gardes</t>
  </si>
  <si>
    <t>Nb patients traités</t>
  </si>
  <si>
    <t>SEPTEMBRE</t>
  </si>
  <si>
    <t>OCTOBRE</t>
  </si>
  <si>
    <t>NOVEMBRE</t>
  </si>
  <si>
    <t>DECEMBRE</t>
  </si>
  <si>
    <t>JANVIER</t>
  </si>
  <si>
    <t>FEVRIER</t>
  </si>
  <si>
    <t xml:space="preserve">  REUNION DE STAFF</t>
  </si>
  <si>
    <t xml:space="preserve">  JOURNAL CLUB</t>
  </si>
  <si>
    <t xml:space="preserve">  COURS</t>
  </si>
  <si>
    <t xml:space="preserve">  CONGRES</t>
  </si>
  <si>
    <t xml:space="preserve">  CONSULTATIONS</t>
  </si>
  <si>
    <t xml:space="preserve">  INTERVENTION CF ASSISTANT</t>
  </si>
  <si>
    <t xml:space="preserve">  INTERVENTION CF OPERATEUR</t>
  </si>
  <si>
    <t xml:space="preserve">  GARDE</t>
  </si>
  <si>
    <t>LUNDI</t>
  </si>
  <si>
    <t>Matin</t>
  </si>
  <si>
    <t>APRES-MIDI</t>
  </si>
  <si>
    <t>SOIR</t>
  </si>
  <si>
    <t>MARDI</t>
  </si>
  <si>
    <t>MERCREDI</t>
  </si>
  <si>
    <t>JEUDI</t>
  </si>
  <si>
    <t>VENDREDI</t>
  </si>
  <si>
    <t>SAMEDI</t>
  </si>
  <si>
    <t>DIMANCHE</t>
  </si>
  <si>
    <t>MARS</t>
  </si>
  <si>
    <t>AVRIL</t>
  </si>
  <si>
    <t>MAI</t>
  </si>
  <si>
    <t>JUIN</t>
  </si>
  <si>
    <t>JUILLET</t>
  </si>
  <si>
    <t>AOUT</t>
  </si>
  <si>
    <t>TOTAL ANNUEL</t>
  </si>
  <si>
    <t>LEGENDES</t>
  </si>
  <si>
    <t xml:space="preserve"> REUNION DE STAFF :</t>
  </si>
  <si>
    <t>Nb de demi-journée</t>
  </si>
  <si>
    <t xml:space="preserve">  JOURNAL CLUB :</t>
  </si>
  <si>
    <t xml:space="preserve">  COURS :</t>
  </si>
  <si>
    <t xml:space="preserve">  CONGRES :</t>
  </si>
  <si>
    <t xml:space="preserve">  CONSULTATIONS :</t>
  </si>
  <si>
    <t>Nb de patient vu</t>
  </si>
  <si>
    <t xml:space="preserve">  INTERVENTION CF ASSISTANT :</t>
  </si>
  <si>
    <t>Nb d'intervention</t>
  </si>
  <si>
    <t xml:space="preserve">  INTERVENTION CF OPERATEUR :</t>
  </si>
  <si>
    <t xml:space="preserve">    GARDE :</t>
  </si>
  <si>
    <t>RAPPORT  ANNUEL SUR L'ANNEE DE FORMATION</t>
  </si>
  <si>
    <t>Camille Martin</t>
  </si>
  <si>
    <t>Formation en:</t>
  </si>
  <si>
    <t>Année de formation</t>
  </si>
  <si>
    <t xml:space="preserve">Période </t>
  </si>
  <si>
    <t>APPRECIATIONS</t>
  </si>
  <si>
    <t>Critères</t>
  </si>
  <si>
    <t>Excellent</t>
  </si>
  <si>
    <t>Bon</t>
  </si>
  <si>
    <t>Passable</t>
  </si>
  <si>
    <t>Insuffisant</t>
  </si>
  <si>
    <t>Commentaires</t>
  </si>
  <si>
    <t>A+  A  A-</t>
  </si>
  <si>
    <t>B+ B  B-</t>
  </si>
  <si>
    <t>C+  C</t>
  </si>
  <si>
    <t>C- D+DE</t>
  </si>
  <si>
    <t>Activité opératoire globale du service</t>
  </si>
  <si>
    <t>Temps en salle d'opération</t>
  </si>
  <si>
    <t>Temps en salle, pré et post-op</t>
  </si>
  <si>
    <t>Activité en garde</t>
  </si>
  <si>
    <t>Activité de consultation</t>
  </si>
  <si>
    <t>Encadrement pédagogique en salle d'op</t>
  </si>
  <si>
    <t>Idem en salle d'hospitalisation</t>
  </si>
  <si>
    <t>Idem en consultation</t>
  </si>
  <si>
    <t>Organisation du service</t>
  </si>
  <si>
    <t>Organisation en salle d'opération</t>
  </si>
  <si>
    <t>Organisation en consultation</t>
  </si>
  <si>
    <t>Séminaires</t>
  </si>
  <si>
    <t>Travail scientifique du service</t>
  </si>
  <si>
    <t>Encouragement à participer à un trav scientifique</t>
  </si>
  <si>
    <t>Activité de recherche</t>
  </si>
  <si>
    <t>Evaluation globale du stage</t>
  </si>
  <si>
    <t>Evaluation du département  de chir. digestive</t>
  </si>
  <si>
    <t>Idem en chirurgie vasculaire</t>
  </si>
  <si>
    <t>Idem en chirurgie urologique</t>
  </si>
  <si>
    <t>Idem en orthopédie</t>
  </si>
  <si>
    <t>COMMENTAIRES</t>
  </si>
  <si>
    <t>ASSISTANCES AUX COURS, SEMINAIRES ET COLLOQUES DE L'HOPITAL DE STAGE</t>
  </si>
  <si>
    <t>Lieu</t>
  </si>
  <si>
    <t>Titre</t>
  </si>
  <si>
    <t>Commentaire</t>
  </si>
  <si>
    <t>ASSISTANCES AUX COURS, SEMINAIRES ET COLLOQUES EN DEHORS DE L'HOPITAL DE STAGE</t>
  </si>
  <si>
    <t>PARTICIPATIONS ACTIVES AUX  COURS, COLLOQUES ET CONGRES</t>
  </si>
  <si>
    <t>PUBLICATIONS ( Titres et références + copie du document )</t>
  </si>
  <si>
    <t>ACTIVITES DE RECHERCHE</t>
  </si>
  <si>
    <t>RECAPITULATIF DES ABSENCES</t>
  </si>
  <si>
    <t>Année 1</t>
  </si>
  <si>
    <t>Année 2</t>
  </si>
  <si>
    <t>Année 3</t>
  </si>
  <si>
    <t>Année 4</t>
  </si>
  <si>
    <t>Année 5</t>
  </si>
  <si>
    <t>Année 6</t>
  </si>
  <si>
    <t>Année …</t>
  </si>
  <si>
    <t>D</t>
  </si>
  <si>
    <t>E</t>
  </si>
  <si>
    <t>F</t>
  </si>
  <si>
    <t>A= nombre de jour d'absence pout maladie*
B=  nombre de jours d'absence pour congé de maternité*
C= nombre de jour de congés scientifiques*
D= nombre de jours d'absence pour congés de circonstance (mariage, décès, etc.)
E= journées de travail effectives*
F = Autres absences
*= 1 par jour plein; 0,5 par demi-jour</t>
  </si>
  <si>
    <r>
      <t xml:space="preserve">EVALUATION DU CANDIDAT PAR LE MAITRE DE STAGE</t>
    </r>
    <r>
      <rPr>
        <rFont val="Calibri"/>
        <b val="false"/>
        <i val="false"/>
        <strike val="false"/>
        <color rgb="FF000000"/>
        <sz val="10"/>
        <u val="none"/>
      </rPr>
      <t xml:space="preserve">  </t>
    </r>
    <r>
      <rPr>
        <rFont val="Calibri"/>
        <b val="true"/>
        <i val="false"/>
        <strike val="false"/>
        <color rgb="FF000000"/>
        <sz val="10"/>
        <u val="none"/>
      </rPr>
      <t xml:space="preserve">(OBLIGATOIRE)</t>
    </r>
  </si>
  <si>
    <t>CRITERES D’EVALUATION</t>
  </si>
  <si>
    <t>APPRECIATION Du Dr</t>
  </si>
  <si>
    <t>……………………………………………………………………….</t>
  </si>
  <si>
    <t>1ere année</t>
  </si>
  <si>
    <t>2e année</t>
  </si>
  <si>
    <t>3e année</t>
  </si>
  <si>
    <t>4e année</t>
  </si>
  <si>
    <t>5e année</t>
  </si>
  <si>
    <t>6e année</t>
  </si>
  <si>
    <t xml:space="preserve">… année </t>
  </si>
  <si>
    <t>Par qui l’évaluation est-elle effectuée :</t>
  </si>
  <si>
    <t>Connaissance des sciences cliniques :</t>
  </si>
  <si>
    <t>Connaissance des sciences fondamentales :</t>
  </si>
  <si>
    <t>Par le Maître de stage seul</t>
  </si>
  <si>
    <t>Connaissances techniques :</t>
  </si>
  <si>
    <t>Par la collégialité des médecins ayant le candidat en supervision : voudriez-vous fournir à chaque responsable de secteur une copie de ce document et en faire une synthèse en rapportant les notes obtenues</t>
  </si>
  <si>
    <t>Habileté technique :</t>
  </si>
  <si>
    <t>Recueil et interprétation des données :</t>
  </si>
  <si>
    <t>Appréciation pour chaque rubrique :</t>
  </si>
  <si>
    <t>Décisions appropriées :</t>
  </si>
  <si>
    <r>
      <t xml:space="preserve">- </t>
    </r>
    <r>
      <rPr>
        <rFont val="Calibri"/>
        <b val="true"/>
        <i val="false"/>
        <strike val="false"/>
        <color rgb="FF000000"/>
        <sz val="10"/>
        <u val="none"/>
      </rPr>
      <t xml:space="preserve">A</t>
    </r>
    <r>
      <rPr>
        <rFont val="Calibri"/>
        <b val="false"/>
        <i val="false"/>
        <strike val="false"/>
        <color rgb="FF000000"/>
        <sz val="10"/>
        <u val="none"/>
      </rPr>
      <t xml:space="preserve"> (80%)= excellent</t>
    </r>
  </si>
  <si>
    <t>Prise de responsabilité :</t>
  </si>
  <si>
    <r>
      <t xml:space="preserve">- </t>
    </r>
    <r>
      <rPr>
        <rFont val="Calibri"/>
        <b val="true"/>
        <i val="false"/>
        <strike val="false"/>
        <color rgb="FF000000"/>
        <sz val="10"/>
        <u val="none"/>
      </rPr>
      <t xml:space="preserve">B</t>
    </r>
    <r>
      <rPr>
        <rFont val="Calibri"/>
        <b val="false"/>
        <i val="false"/>
        <strike val="false"/>
        <color rgb="FF000000"/>
        <sz val="10"/>
        <u val="none"/>
      </rPr>
      <t xml:space="preserve"> (60%)= satisfaisant</t>
    </r>
  </si>
  <si>
    <t>Efficacité en cas d'urgence :</t>
  </si>
  <si>
    <r>
      <t xml:space="preserve">- </t>
    </r>
    <r>
      <rPr>
        <rFont val="Calibri"/>
        <b val="true"/>
        <i val="false"/>
        <strike val="false"/>
        <color rgb="FF000000"/>
        <sz val="10"/>
        <u val="none"/>
      </rPr>
      <t xml:space="preserve">C </t>
    </r>
    <r>
      <rPr>
        <rFont val="Calibri"/>
        <b val="false"/>
        <i val="false"/>
        <strike val="false"/>
        <color rgb="FF000000"/>
        <sz val="10"/>
        <u val="none"/>
      </rPr>
      <t xml:space="preserve">(50%)= moyen mais pouvant faire l'objet d'une correction aisée dans la suite du stage ou par une formation  complémentaire</t>
    </r>
  </si>
  <si>
    <t>Organisation du travail et efficacité</t>
  </si>
  <si>
    <t>Tâches administratives : courrier, protocole..</t>
  </si>
  <si>
    <r>
      <t xml:space="preserve">- </t>
    </r>
    <r>
      <rPr>
        <rFont val="Calibri"/>
        <b val="true"/>
        <i val="false"/>
        <strike val="false"/>
        <color rgb="FF000000"/>
        <sz val="10"/>
        <u val="none"/>
      </rPr>
      <t xml:space="preserve">D</t>
    </r>
    <r>
      <rPr>
        <rFont val="Calibri"/>
        <b val="false"/>
        <i val="false"/>
        <strike val="false"/>
        <color rgb="FF000000"/>
        <sz val="10"/>
        <u val="none"/>
      </rPr>
      <t xml:space="preserve"> (40%)= en dessous du niveau attendu pour le stade de formation</t>
    </r>
  </si>
  <si>
    <t>Discipline et ponctualité :</t>
  </si>
  <si>
    <r>
      <t xml:space="preserve">- </t>
    </r>
    <r>
      <rPr>
        <rFont val="Calibri"/>
        <b val="true"/>
        <i val="false"/>
        <strike val="false"/>
        <color rgb="FF000000"/>
        <sz val="10"/>
        <u val="none"/>
      </rPr>
      <t xml:space="preserve">E</t>
    </r>
    <r>
      <rPr>
        <rFont val="Calibri"/>
        <b val="false"/>
        <i val="false"/>
        <strike val="false"/>
        <color rgb="FF000000"/>
        <sz val="10"/>
        <u val="none"/>
      </rPr>
      <t xml:space="preserve"> (20%)= insuffisance majeure ne permettant pas d'envisager l’agrément ou le passage dans une année supérieure de formation </t>
    </r>
  </si>
  <si>
    <t>Relation avec les patients :</t>
  </si>
  <si>
    <t>Relations professionnelles :</t>
  </si>
  <si>
    <r>
      <t xml:space="preserve">1. </t>
    </r>
    <r>
      <rPr>
        <rFont val="Calibri"/>
        <b val="false"/>
        <i val="false"/>
        <strike val="false"/>
        <color rgb="FF000000"/>
        <sz val="10"/>
        <u val="single"/>
      </rPr>
      <t xml:space="preserve">Connaissance des sciences cliniques</t>
    </r>
    <r>
      <rPr>
        <rFont val="Calibri"/>
        <b val="false"/>
        <i val="false"/>
        <strike val="false"/>
        <color rgb="FF000000"/>
        <sz val="10"/>
        <u val="none"/>
      </rPr>
      <t xml:space="preserve"> :</t>
    </r>
  </si>
  <si>
    <t>Curiosité scientifique :</t>
  </si>
  <si>
    <t>Intérêt porté à la clinique des cas étudiés, aux données radiologiques et biologiques, aux aspects endoscopiques, etc. ...</t>
  </si>
  <si>
    <t>Participation active aux séminaires :</t>
  </si>
  <si>
    <t>Ouverture à I' évolution des autres disciplines médicales et méthodes diagnostiques.</t>
  </si>
  <si>
    <t>Publications scientifiques :</t>
  </si>
  <si>
    <t>Ethique :</t>
  </si>
  <si>
    <r>
      <t xml:space="preserve">2. </t>
    </r>
    <r>
      <rPr>
        <rFont val="Calibri"/>
        <b val="false"/>
        <i val="false"/>
        <strike val="false"/>
        <color rgb="FF000000"/>
        <sz val="10"/>
        <u val="single"/>
      </rPr>
      <t xml:space="preserve">Connaissance et intérêt portés aux sciences fondamentales</t>
    </r>
    <r>
      <rPr>
        <rFont val="Calibri"/>
        <b val="false"/>
        <i val="false"/>
        <strike val="false"/>
        <color rgb="FF000000"/>
        <sz val="10"/>
        <u val="none"/>
      </rPr>
      <t xml:space="preserve"> :</t>
    </r>
  </si>
  <si>
    <t>Evaluation globale</t>
  </si>
  <si>
    <t>Connaissance des techniques chirurgicales, de l'anatomie, de l'anatomie pathologique générale, de l'histologie, de la physiopathologie et de la biochimie…</t>
  </si>
  <si>
    <t>Nom et signature du maitre de stage</t>
  </si>
  <si>
    <r>
      <t xml:space="preserve">3. </t>
    </r>
    <r>
      <rPr>
        <rFont val="Calibri"/>
        <b val="false"/>
        <i val="false"/>
        <strike val="false"/>
        <color rgb="FF000000"/>
        <sz val="10"/>
        <u val="single"/>
      </rPr>
      <t xml:space="preserve">Connaissance et habileté technique</t>
    </r>
    <r>
      <rPr>
        <rFont val="Calibri"/>
        <b val="false"/>
        <i val="false"/>
        <strike val="false"/>
        <color rgb="FF000000"/>
        <sz val="10"/>
        <u val="none"/>
      </rPr>
      <t xml:space="preserve"> :</t>
    </r>
  </si>
  <si>
    <t>Connaissance pratique des principes fondamentaux de la technique de base.</t>
  </si>
  <si>
    <t>Commentaires année 1</t>
  </si>
  <si>
    <t>Capacité d'effectuer personnellement les techniques de base.</t>
  </si>
  <si>
    <t>Soin et habileté dans la dissection.</t>
  </si>
  <si>
    <t>Habileté dans l’exécution et le protocole des prestations techniques.</t>
  </si>
  <si>
    <t>Habileté manuelle comme assistant.</t>
  </si>
  <si>
    <t>Habileté manuelle comme opérateur.</t>
  </si>
  <si>
    <t>Commentaires année 2</t>
  </si>
  <si>
    <r>
      <t xml:space="preserve">4. </t>
    </r>
    <r>
      <rPr>
        <rFont val="Calibri"/>
        <b val="false"/>
        <i val="false"/>
        <strike val="false"/>
        <color rgb="FF000000"/>
        <sz val="10"/>
        <u val="single"/>
      </rPr>
      <t xml:space="preserve">Recueil et interprétation des données</t>
    </r>
    <r>
      <rPr>
        <rFont val="Calibri"/>
        <b val="false"/>
        <i val="false"/>
        <strike val="false"/>
        <color rgb="FF000000"/>
        <sz val="10"/>
        <u val="none"/>
      </rPr>
      <t xml:space="preserve"> :</t>
    </r>
  </si>
  <si>
    <t>Qualité de l’anamnèse et de l’examen des patients</t>
  </si>
  <si>
    <t xml:space="preserve">Analyse et intégration des différents aspects des examens cliniques, biologiques, radiologiques, … </t>
  </si>
  <si>
    <t>Etude des antécédents des patients, du contexte clinique et intégration au diagnostic.</t>
  </si>
  <si>
    <t>Commentaires année 3</t>
  </si>
  <si>
    <t>Soin apporté à poser le diagnostic et à prescrire le traitement.</t>
  </si>
  <si>
    <r>
      <t xml:space="preserve">5. </t>
    </r>
    <r>
      <rPr>
        <rFont val="Calibri"/>
        <b val="false"/>
        <i val="false"/>
        <strike val="false"/>
        <color rgb="FF000000"/>
        <sz val="10"/>
        <u val="single"/>
      </rPr>
      <t xml:space="preserve">Décision appropriée et sens des responsabilités</t>
    </r>
    <r>
      <rPr>
        <rFont val="Calibri"/>
        <b val="false"/>
        <i val="false"/>
        <strike val="false"/>
        <color rgb="FF000000"/>
        <sz val="10"/>
        <u val="none"/>
      </rPr>
      <t xml:space="preserve"> :</t>
    </r>
  </si>
  <si>
    <t>Orientation correcte des examens, demande adéquate des techniques.</t>
  </si>
  <si>
    <t>Maintien du calme dans des situations difficiles.</t>
  </si>
  <si>
    <t>Commentaires année 4</t>
  </si>
  <si>
    <t>Indépendance de jugement, même sous la pression des cliniciens.</t>
  </si>
  <si>
    <t>Prise, à bon escient, de I' avis d'un senior.</t>
  </si>
  <si>
    <t>Connaissance de ses propres limites.</t>
  </si>
  <si>
    <t>Conscience des sanctions thérapeutiques engendrées par le diagnostic.</t>
  </si>
  <si>
    <t>Prise des décisions adéquates concernant I' exploitation didactique et l'iconographie.</t>
  </si>
  <si>
    <t>Commentaires année 5</t>
  </si>
  <si>
    <r>
      <t xml:space="preserve">6 </t>
    </r>
    <r>
      <rPr>
        <rFont val="Calibri"/>
        <b val="false"/>
        <i val="false"/>
        <strike val="false"/>
        <color rgb="FF000000"/>
        <sz val="10"/>
        <u val="single"/>
      </rPr>
      <t xml:space="preserve">Efficacité en cas d'urgence</t>
    </r>
  </si>
  <si>
    <t>Sang froid et attitude devant les situations tendues ou de stress</t>
  </si>
  <si>
    <t>Disponibilité, fiabilité, efficacité.</t>
  </si>
  <si>
    <r>
      <t xml:space="preserve">7 </t>
    </r>
    <r>
      <rPr>
        <rFont val="Calibri"/>
        <b val="false"/>
        <i val="false"/>
        <strike val="false"/>
        <color rgb="FF000000"/>
        <sz val="10"/>
        <u val="single"/>
      </rPr>
      <t xml:space="preserve">Organisation du travail et efficacité</t>
    </r>
    <r>
      <rPr>
        <rFont val="Calibri"/>
        <b val="false"/>
        <i val="false"/>
        <strike val="false"/>
        <color rgb="FF000000"/>
        <sz val="10"/>
        <u val="none"/>
      </rPr>
      <t xml:space="preserve"> :</t>
    </r>
  </si>
  <si>
    <t>Méthode et rigueur dans le travail, vision des choses.</t>
  </si>
  <si>
    <t>Efficacité à "sérier" les problèmes et à terminer le travail entamé jusqu'au bout.</t>
  </si>
  <si>
    <t xml:space="preserve">Ordre dans le bureau du médecin, </t>
  </si>
  <si>
    <t>Qualité des notes et connaissance du dossier.</t>
  </si>
  <si>
    <t xml:space="preserve">Soin dans les tâches administratives, </t>
  </si>
  <si>
    <t>Gestion et rédaction du courrier</t>
  </si>
  <si>
    <t>Clarté des ordres de soin.</t>
  </si>
  <si>
    <t>Examens préopératoires et postopératoires</t>
  </si>
  <si>
    <r>
      <t xml:space="preserve">8 </t>
    </r>
    <r>
      <rPr>
        <rFont val="Calibri"/>
        <b val="false"/>
        <i val="false"/>
        <strike val="false"/>
        <color rgb="FF000000"/>
        <sz val="10"/>
        <u val="single"/>
      </rPr>
      <t xml:space="preserve">Discipline </t>
    </r>
    <r>
      <rPr>
        <rFont val="Calibri"/>
        <b val="true"/>
        <i val="false"/>
        <strike val="false"/>
        <color rgb="FF000000"/>
        <sz val="10"/>
        <u val="single"/>
      </rPr>
      <t xml:space="preserve">- </t>
    </r>
    <r>
      <rPr>
        <rFont val="Calibri"/>
        <b val="false"/>
        <i val="false"/>
        <strike val="false"/>
        <color rgb="FF000000"/>
        <sz val="10"/>
        <u val="single"/>
      </rPr>
      <t xml:space="preserve">ponctualité</t>
    </r>
    <r>
      <rPr>
        <rFont val="Calibri"/>
        <b val="false"/>
        <i val="false"/>
        <strike val="false"/>
        <color rgb="FF000000"/>
        <sz val="10"/>
        <u val="none"/>
      </rPr>
      <t xml:space="preserve"> :</t>
    </r>
  </si>
  <si>
    <t>Fiabilité et respect des horaires du service, disponibilité (plus tard ou plus tôt, si nécessaire ).</t>
  </si>
  <si>
    <r>
      <t xml:space="preserve">9 </t>
    </r>
    <r>
      <rPr>
        <rFont val="Calibri"/>
        <b val="false"/>
        <i val="false"/>
        <strike val="false"/>
        <color rgb="FF000000"/>
        <sz val="10"/>
        <u val="single"/>
      </rPr>
      <t xml:space="preserve">Relation avec les patients :</t>
    </r>
  </si>
  <si>
    <t>Qualité du contact avec le patient et sa famille : gentillesse, inspire confiance.</t>
  </si>
  <si>
    <t>Aptitude à la communication à l’information</t>
  </si>
  <si>
    <r>
      <t xml:space="preserve">10 </t>
    </r>
    <r>
      <rPr>
        <rFont val="Calibri"/>
        <b val="false"/>
        <i val="false"/>
        <strike val="false"/>
        <color rgb="FF000000"/>
        <sz val="10"/>
        <u val="single"/>
      </rPr>
      <t xml:space="preserve">Relations paramédicales</t>
    </r>
    <r>
      <rPr>
        <rFont val="Calibri"/>
        <b val="false"/>
        <i val="false"/>
        <strike val="false"/>
        <color rgb="FF000000"/>
        <sz val="10"/>
        <u val="none"/>
      </rPr>
      <t xml:space="preserve"> :</t>
    </r>
  </si>
  <si>
    <t xml:space="preserve">Qualité des contacts avec le personnel technique, infirmier et le secrétariat, </t>
  </si>
  <si>
    <t xml:space="preserve">Respect de leur travail, </t>
  </si>
  <si>
    <t>Ecoute des problèmes éventuels et aide apporte à les résoudre ( ex. dicter un protocole en parlant distinctement).</t>
  </si>
  <si>
    <t>Gestion appropriée des situations conflictuelles.</t>
  </si>
  <si>
    <t>Opinion du personnel.</t>
  </si>
  <si>
    <r>
      <t xml:space="preserve">11 </t>
    </r>
    <r>
      <rPr>
        <rFont val="Calibri"/>
        <b val="false"/>
        <i val="false"/>
        <strike val="false"/>
        <color rgb="FF000000"/>
        <sz val="10"/>
        <u val="single"/>
      </rPr>
      <t xml:space="preserve">Relations professionnelles</t>
    </r>
    <r>
      <rPr>
        <rFont val="Calibri"/>
        <b val="false"/>
        <i val="false"/>
        <strike val="false"/>
        <color rgb="FF000000"/>
        <sz val="10"/>
        <u val="none"/>
      </rPr>
      <t xml:space="preserve"> :</t>
    </r>
  </si>
  <si>
    <t>Sens de I' équipe, collaboration, humeur égale et dialogue.</t>
  </si>
  <si>
    <r>
      <t xml:space="preserve">12. </t>
    </r>
    <r>
      <rPr>
        <rFont val="Calibri"/>
        <b val="false"/>
        <i val="false"/>
        <strike val="false"/>
        <color rgb="FF000000"/>
        <sz val="10"/>
        <u val="single"/>
      </rPr>
      <t xml:space="preserve">Curiosité scientifique</t>
    </r>
    <r>
      <rPr>
        <rFont val="Calibri"/>
        <b val="false"/>
        <i val="false"/>
        <strike val="false"/>
        <color rgb="FF000000"/>
        <sz val="10"/>
        <u val="none"/>
      </rPr>
      <t xml:space="preserve"> :</t>
    </r>
  </si>
  <si>
    <t>Suivi des données de la littérature, recours aux livres, revues et recherche bibliographique.</t>
  </si>
  <si>
    <t>Aptitude à I' exploitation scientifique du matériel ou à la mise en route éventuelle d’expérimentations en rapport avec les problématiques cliniques.</t>
  </si>
  <si>
    <t>Intérêt à suivre de près le développement méthodologique et scientifique.</t>
  </si>
  <si>
    <t>13 Participation active aux séminaire :</t>
  </si>
  <si>
    <t>Aptitude à la présentation des cas cliniques ou exposés…</t>
  </si>
  <si>
    <t>14 Publications scientifiques :</t>
  </si>
  <si>
    <t>Désir de réaliser une publication.  Demande d’aide…</t>
  </si>
  <si>
    <r>
      <t xml:space="preserve">15 </t>
    </r>
    <r>
      <rPr>
        <rFont val="Calibri"/>
        <b val="false"/>
        <i val="false"/>
        <strike val="false"/>
        <color rgb="FF000000"/>
        <sz val="10"/>
        <u val="single"/>
      </rPr>
      <t xml:space="preserve">Ethique</t>
    </r>
    <r>
      <rPr>
        <rFont val="Calibri"/>
        <b val="false"/>
        <i val="false"/>
        <strike val="false"/>
        <color rgb="FF000000"/>
        <sz val="10"/>
        <u val="none"/>
      </rPr>
      <t xml:space="preserve"> :</t>
    </r>
  </si>
  <si>
    <t xml:space="preserve">Honnêteté intellectuelle, </t>
  </si>
  <si>
    <t xml:space="preserve">Reconnaissance de ses propres erreurs, </t>
  </si>
  <si>
    <t>Modestie, savoir dire "je ne sais pas".</t>
  </si>
  <si>
    <t>Résistance physique</t>
  </si>
</sst>
</file>

<file path=xl/styles.xml><?xml version="1.0" encoding="utf-8"?>
<styleSheet xmlns="http://schemas.openxmlformats.org/spreadsheetml/2006/main" xml:space="preserve">
  <numFmts count="1">
    <numFmt numFmtId="164" formatCode="0.0%"/>
  </numFmts>
  <fonts count="53">
    <font>
      <b val="0"/>
      <i val="0"/>
      <strike val="0"/>
      <u val="none"/>
      <sz val="11"/>
      <color rgb="FF000000"/>
      <name val="Calibri"/>
    </font>
    <font>
      <b val="0"/>
      <i val="0"/>
      <strike val="0"/>
      <u val="none"/>
      <sz val="14"/>
      <color rgb="FF000000"/>
      <name val="Calibri"/>
    </font>
    <font>
      <b val="0"/>
      <i val="0"/>
      <strike val="0"/>
      <u val="none"/>
      <sz val="12"/>
      <color rgb="FF000000"/>
      <name val="Calibri"/>
    </font>
    <font>
      <b val="1"/>
      <i val="0"/>
      <strike val="0"/>
      <u val="none"/>
      <sz val="11"/>
      <color rgb="FF000000"/>
      <name val="Calibri"/>
    </font>
    <font>
      <b val="1"/>
      <i val="0"/>
      <strike val="0"/>
      <u val="none"/>
      <sz val="11"/>
      <color rgb="FFFFFFFF"/>
      <name val="Calibri"/>
    </font>
    <font>
      <b val="0"/>
      <i val="0"/>
      <strike val="0"/>
      <u val="none"/>
      <sz val="11"/>
      <color rgb="FF000000"/>
      <name val="Times New Roman"/>
    </font>
    <font>
      <b val="0"/>
      <i val="0"/>
      <strike val="0"/>
      <u val="none"/>
      <sz val="11"/>
      <color rgb="FF000000"/>
      <name val="Calibri"/>
      <scheme val="minor"/>
    </font>
    <font>
      <b val="0"/>
      <i val="0"/>
      <strike val="0"/>
      <u val="none"/>
      <sz val="14"/>
      <color rgb="FF000000"/>
      <name val="Calibri"/>
      <scheme val="minor"/>
    </font>
    <font>
      <b val="0"/>
      <i val="0"/>
      <strike val="0"/>
      <u val="none"/>
      <sz val="10"/>
      <color rgb="FF000000"/>
      <name val="Calibri"/>
      <scheme val="minor"/>
    </font>
    <font>
      <b val="1"/>
      <i val="0"/>
      <strike val="0"/>
      <u val="none"/>
      <sz val="10"/>
      <color rgb="FF000000"/>
      <name val="Calibri"/>
      <scheme val="minor"/>
    </font>
    <font>
      <b val="0"/>
      <i val="0"/>
      <strike val="0"/>
      <u val="none"/>
      <sz val="10"/>
      <color rgb="FF000000"/>
      <name val="Times New Roman"/>
    </font>
    <font>
      <b val="1"/>
      <i val="0"/>
      <strike val="0"/>
      <u val="none"/>
      <sz val="14"/>
      <color rgb="FF000000"/>
      <name val="Times New Roman"/>
    </font>
    <font>
      <b val="0"/>
      <i val="0"/>
      <strike val="0"/>
      <u val="none"/>
      <sz val="18"/>
      <color rgb="FF000000"/>
      <name val="Times New Roman"/>
    </font>
    <font>
      <b val="1"/>
      <i val="0"/>
      <strike val="0"/>
      <u val="none"/>
      <sz val="12"/>
      <color rgb="FF000000"/>
      <name val="Times New Roman"/>
    </font>
    <font>
      <b val="0"/>
      <i val="0"/>
      <strike val="0"/>
      <u val="none"/>
      <sz val="12"/>
      <color rgb="FF000000"/>
      <name val="Times New Roman"/>
    </font>
    <font>
      <b val="1"/>
      <i val="0"/>
      <strike val="0"/>
      <u val="none"/>
      <sz val="11"/>
      <color rgb="FF000000"/>
      <name val="Times New Roman"/>
    </font>
    <font>
      <b val="0"/>
      <i val="0"/>
      <strike val="0"/>
      <u val="none"/>
      <sz val="14"/>
      <color rgb="FF000000"/>
      <name val="Times New Roman"/>
    </font>
    <font>
      <b val="1"/>
      <i val="0"/>
      <strike val="0"/>
      <u val="none"/>
      <sz val="10"/>
      <color rgb="FF000000"/>
      <name val="Times New Roman"/>
    </font>
    <font>
      <b val="0"/>
      <i val="0"/>
      <strike val="0"/>
      <u val="none"/>
      <sz val="9.5"/>
      <color rgb="FF000000"/>
      <name val="Times New Roman"/>
    </font>
    <font>
      <b val="0"/>
      <i val="1"/>
      <strike val="0"/>
      <u val="none"/>
      <sz val="8"/>
      <color rgb="FF000000"/>
      <name val="Calibri"/>
    </font>
    <font>
      <b val="0"/>
      <i val="0"/>
      <strike val="0"/>
      <u val="none"/>
      <sz val="9"/>
      <color rgb="FF000000"/>
      <name val="Calibri"/>
    </font>
    <font>
      <b val="0"/>
      <i val="0"/>
      <strike val="0"/>
      <u val="none"/>
      <sz val="8"/>
      <color rgb="FF000000"/>
      <name val="Calibri"/>
    </font>
    <font>
      <b val="0"/>
      <i val="0"/>
      <strike val="0"/>
      <u val="none"/>
      <sz val="10"/>
      <color rgb="FF000000"/>
      <name val="Calibri"/>
    </font>
    <font>
      <b val="1"/>
      <i val="1"/>
      <strike val="0"/>
      <u val="single"/>
      <sz val="9"/>
      <color rgb="FF000000"/>
      <name val="Calibri"/>
    </font>
    <font>
      <b val="1"/>
      <i val="0"/>
      <strike val="0"/>
      <u val="single"/>
      <sz val="11"/>
      <color rgb="FF000000"/>
      <name val="Calibri"/>
    </font>
    <font>
      <b val="0"/>
      <i val="0"/>
      <strike val="0"/>
      <u val="single"/>
      <sz val="10"/>
      <color rgb="FF000000"/>
      <name val="Calibri"/>
    </font>
    <font>
      <b val="1"/>
      <i val="0"/>
      <strike val="0"/>
      <u val="none"/>
      <sz val="10"/>
      <color rgb="FF000000"/>
      <name val="Calibri"/>
    </font>
    <font>
      <b val="1"/>
      <i val="0"/>
      <strike val="0"/>
      <u val="none"/>
      <sz val="11"/>
      <color rgb="FF3366FF"/>
      <name val="Arial"/>
    </font>
    <font>
      <b val="1"/>
      <i val="0"/>
      <strike val="0"/>
      <u val="none"/>
      <sz val="11"/>
      <color rgb="FFFF0000"/>
      <name val="Times New Roman"/>
    </font>
    <font>
      <b val="0"/>
      <i val="0"/>
      <strike val="0"/>
      <u val="none"/>
      <sz val="8"/>
      <color rgb="FF000000"/>
      <name val="Times New Roman"/>
    </font>
    <font>
      <b val="1"/>
      <i val="0"/>
      <strike val="0"/>
      <u val="none"/>
      <sz val="10"/>
      <color rgb="FFFF00FF"/>
      <name val="Arial Narrow"/>
    </font>
    <font>
      <b val="0"/>
      <i val="0"/>
      <strike val="0"/>
      <u val="none"/>
      <sz val="10"/>
      <color rgb="FF000000"/>
      <name val="Arial Narrow"/>
    </font>
    <font>
      <b val="1"/>
      <i val="0"/>
      <strike val="0"/>
      <u val="none"/>
      <sz val="10"/>
      <color rgb="FF0000FF"/>
      <name val="Arial Narrow"/>
    </font>
    <font>
      <b val="0"/>
      <i val="0"/>
      <strike val="0"/>
      <u val="none"/>
      <sz val="10"/>
      <color rgb="FFFF0000"/>
      <name val="Arial Narrow"/>
    </font>
    <font>
      <b val="0"/>
      <i val="0"/>
      <strike val="0"/>
      <u val="none"/>
      <sz val="10"/>
      <color rgb="FF000000"/>
      <name val="Roboto"/>
    </font>
    <font>
      <b val="1"/>
      <i val="0"/>
      <strike val="0"/>
      <u val="none"/>
      <sz val="14"/>
      <color rgb="FFFF0000"/>
      <name val="Times New Roman"/>
    </font>
    <font>
      <b val="1"/>
      <i val="0"/>
      <strike val="0"/>
      <u val="none"/>
      <sz val="10"/>
      <color rgb="FF000000"/>
      <name val="Arial Narrow"/>
    </font>
    <font>
      <b val="1"/>
      <i val="0"/>
      <strike val="0"/>
      <u val="none"/>
      <sz val="20"/>
      <color rgb="FF000000"/>
      <name val="Times New Roman"/>
    </font>
    <font>
      <b val="1"/>
      <i val="0"/>
      <strike val="0"/>
      <u val="none"/>
      <sz val="16"/>
      <color rgb="FFFFFFFF"/>
      <name val="Calibri"/>
    </font>
    <font>
      <b val="1"/>
      <i val="0"/>
      <strike val="0"/>
      <u val="none"/>
      <sz val="12"/>
      <color rgb="FFFFFFFF"/>
      <name val="Calibri"/>
    </font>
    <font>
      <b val="1"/>
      <i val="0"/>
      <strike val="0"/>
      <u val="none"/>
      <sz val="14"/>
      <color rgb="FFFFFFFF"/>
      <name val="Calibri"/>
    </font>
    <font>
      <b val="0"/>
      <i val="0"/>
      <strike val="0"/>
      <u val="none"/>
      <sz val="9.5"/>
      <color rgb="FF000000"/>
      <name val="Arial Narrow"/>
    </font>
    <font>
      <b val="1"/>
      <i val="0"/>
      <strike val="0"/>
      <u val="none"/>
      <sz val="10"/>
      <color rgb="FFFF0000"/>
      <name val="Arial Narrow"/>
    </font>
    <font>
      <b val="1"/>
      <i val="0"/>
      <strike val="0"/>
      <u val="none"/>
      <sz val="16"/>
      <color rgb="FF000000"/>
      <name val="Times New Roman"/>
    </font>
    <font>
      <b val="0"/>
      <i val="0"/>
      <strike val="0"/>
      <u val="none"/>
      <sz val="9.5"/>
      <color rgb="FF000000"/>
      <name val="Calibri"/>
      <scheme val="minor"/>
    </font>
    <font>
      <b val="1"/>
      <i val="0"/>
      <strike val="0"/>
      <u val="none"/>
      <sz val="10"/>
      <color rgb="FFFF0000"/>
      <name val="Calibri"/>
      <scheme val="minor"/>
    </font>
    <font>
      <b val="1"/>
      <i val="0"/>
      <strike val="0"/>
      <u val="none"/>
      <sz val="12"/>
      <color rgb="FF000000"/>
      <name val="Calibri"/>
      <scheme val="minor"/>
    </font>
    <font>
      <b val="1"/>
      <i val="0"/>
      <strike val="0"/>
      <u val="none"/>
      <sz val="14"/>
      <color rgb="FF000000"/>
      <name val="Calibri"/>
      <scheme val="minor"/>
    </font>
    <font>
      <b val="1"/>
      <i val="0"/>
      <strike val="0"/>
      <u val="single"/>
      <sz val="14"/>
      <color rgb="FF000000"/>
      <name val="Calibri"/>
      <scheme val="minor"/>
    </font>
    <font>
      <b val="0"/>
      <i val="0"/>
      <strike val="0"/>
      <u val="none"/>
      <sz val="12"/>
      <color rgb="FF000000"/>
      <name val="Calibri"/>
      <scheme val="minor"/>
    </font>
    <font>
      <b val="1"/>
      <i val="0"/>
      <strike val="0"/>
      <u val="none"/>
      <sz val="20"/>
      <color rgb="FFFFFFFF"/>
      <name val="Calibri"/>
      <scheme val="minor"/>
    </font>
    <font>
      <b val="1"/>
      <i val="0"/>
      <strike val="0"/>
      <u val="single"/>
      <sz val="10"/>
      <color rgb="FF000000"/>
      <name val="Calibri"/>
    </font>
    <font>
      <b val="1"/>
      <i val="0"/>
      <strike val="0"/>
      <u val="single"/>
      <sz val="8"/>
      <color rgb="FF000000"/>
      <name val="Calibri"/>
    </font>
  </fonts>
  <fills count="20">
    <fill>
      <patternFill patternType="none"/>
    </fill>
    <fill>
      <patternFill patternType="gray125"/>
    </fill>
    <fill>
      <patternFill patternType="solid">
        <fgColor rgb="FF8DB4E2"/>
        <bgColor rgb="FF000000"/>
      </patternFill>
    </fill>
    <fill>
      <patternFill patternType="solid">
        <fgColor rgb="FFDDE9F7"/>
        <bgColor rgb="FF000000"/>
      </patternFill>
    </fill>
    <fill>
      <patternFill patternType="solid">
        <fgColor rgb="FF538ED5"/>
        <bgColor rgb="FFFFFFFF"/>
      </patternFill>
    </fill>
    <fill>
      <patternFill patternType="solid">
        <fgColor rgb="FFCCFFCC"/>
        <bgColor rgb="FFFFFFFF"/>
      </patternFill>
    </fill>
    <fill>
      <patternFill patternType="solid">
        <fgColor rgb="FFCCCCFF"/>
        <bgColor rgb="FFFFFFFF"/>
      </patternFill>
    </fill>
    <fill>
      <patternFill patternType="solid">
        <fgColor rgb="FF00FFFF"/>
        <bgColor rgb="FFFFFFFF"/>
      </patternFill>
    </fill>
    <fill>
      <patternFill patternType="solid">
        <fgColor rgb="FF00B0F0"/>
        <bgColor rgb="FFFFFFFF"/>
      </patternFill>
    </fill>
    <fill>
      <patternFill patternType="solid">
        <fgColor rgb="FF0070C0"/>
        <bgColor rgb="FFFFFFFF"/>
      </patternFill>
    </fill>
    <fill>
      <patternFill patternType="solid">
        <fgColor rgb="FF538ED5"/>
        <bgColor rgb="FF000000"/>
      </patternFill>
    </fill>
    <fill>
      <patternFill patternType="solid">
        <fgColor rgb="FFB8CCE4"/>
        <bgColor rgb="FFFFFFFF"/>
      </patternFill>
    </fill>
    <fill>
      <patternFill patternType="solid">
        <fgColor rgb="FFCCFFCC"/>
        <bgColor rgb="FF000000"/>
      </patternFill>
    </fill>
    <fill>
      <patternFill patternType="solid">
        <fgColor rgb="FF96B3D8"/>
        <bgColor rgb="FFFFFFFF"/>
      </patternFill>
    </fill>
    <fill>
      <patternFill patternType="solid">
        <fgColor rgb="FFFFFFFF"/>
        <bgColor rgb="FFFFFFFF"/>
      </patternFill>
    </fill>
    <fill>
      <patternFill patternType="solid">
        <fgColor rgb="FF8DB4E3"/>
        <bgColor rgb="FF000000"/>
      </patternFill>
    </fill>
    <fill>
      <patternFill patternType="solid">
        <fgColor rgb="FF8DB4E3"/>
        <bgColor rgb="FFFFFFFF"/>
      </patternFill>
    </fill>
    <fill>
      <patternFill patternType="solid">
        <fgColor rgb="FFFFFFFF"/>
        <bgColor rgb="FF000000"/>
      </patternFill>
    </fill>
    <fill>
      <patternFill patternType="solid">
        <fgColor rgb="FF558ED5"/>
        <bgColor rgb="FFFFFFFF"/>
      </patternFill>
    </fill>
    <fill>
      <patternFill patternType="solid">
        <fgColor rgb="FF00FF00"/>
        <bgColor rgb="FFFFFFFF"/>
      </patternFill>
    </fill>
  </fills>
  <borders count="133">
    <border>
      <left/>
      <right/>
      <top/>
      <bottom/>
      <diagonal/>
    </border>
    <border>
      <left style="thick">
        <color rgb="FF16365C"/>
      </left>
      <right/>
      <top style="thick">
        <color rgb="FF16365C"/>
      </top>
      <bottom/>
      <diagonal/>
    </border>
    <border>
      <left/>
      <right style="thick">
        <color rgb="FF16365C"/>
      </right>
      <top style="thick">
        <color rgb="FF16365C"/>
      </top>
      <bottom/>
      <diagonal/>
    </border>
    <border>
      <left/>
      <right/>
      <top style="thick">
        <color rgb="FF16365C"/>
      </top>
      <bottom style="thick">
        <color rgb="FF16365C"/>
      </bottom>
      <diagonal/>
    </border>
    <border>
      <left/>
      <right style="thick">
        <color rgb="FF16365C"/>
      </right>
      <top style="thick">
        <color rgb="FF16365C"/>
      </top>
      <bottom style="thick">
        <color rgb="FF16365C"/>
      </bottom>
      <diagonal/>
    </border>
    <border>
      <left/>
      <right style="thick">
        <color rgb="FF16365C"/>
      </right>
      <top/>
      <bottom/>
      <diagonal/>
    </border>
    <border>
      <left style="thick">
        <color rgb="FF16365C"/>
      </left>
      <right/>
      <top/>
      <bottom/>
      <diagonal/>
    </border>
    <border>
      <left style="thick">
        <color rgb="FF16365C"/>
      </left>
      <right/>
      <top/>
      <bottom style="thick">
        <color rgb="FF16365C"/>
      </bottom>
      <diagonal/>
    </border>
    <border>
      <left style="thick">
        <color rgb="FF16365C"/>
      </left>
      <right/>
      <top style="thick">
        <color rgb="FF16365C"/>
      </top>
      <bottom style="thick">
        <color rgb="FF16365C"/>
      </bottom>
      <diagonal/>
    </border>
    <border>
      <left style="thick">
        <color rgb="FF16365C"/>
      </left>
      <right style="thick">
        <color rgb="FF16365C"/>
      </right>
      <top/>
      <bottom/>
      <diagonal/>
    </border>
    <border>
      <left style="thick">
        <color rgb="FF16365C"/>
      </left>
      <right style="thick">
        <color rgb="FF16365C"/>
      </right>
      <top/>
      <bottom style="thick">
        <color rgb="FF16365C"/>
      </bottom>
      <diagonal/>
    </border>
    <border>
      <left style="thick">
        <color rgb="FF16365C"/>
      </left>
      <right style="thick">
        <color rgb="FF16365C"/>
      </right>
      <top style="thick">
        <color rgb="FF16365C"/>
      </top>
      <bottom style="thick">
        <color rgb="FF16365C"/>
      </bottom>
      <diagonal/>
    </border>
    <border>
      <left/>
      <right/>
      <top/>
      <bottom style="thick">
        <color rgb="FF16365C"/>
      </bottom>
      <diagonal/>
    </border>
    <border>
      <left/>
      <right style="thick">
        <color rgb="FF16365C"/>
      </right>
      <top/>
      <bottom style="thick">
        <color rgb="FF16365C"/>
      </bottom>
      <diagonal/>
    </border>
    <border>
      <left/>
      <right style="thin">
        <color rgb="FF16365C"/>
      </right>
      <top/>
      <bottom/>
      <diagonal/>
    </border>
    <border>
      <left/>
      <right style="thin">
        <color rgb="FF16365C"/>
      </right>
      <top/>
      <bottom style="thick">
        <color rgb="FF16365C"/>
      </bottom>
      <diagonal/>
    </border>
    <border>
      <left style="thick">
        <color rgb="FF16365C"/>
      </left>
      <right style="thick">
        <color rgb="FF16365C"/>
      </right>
      <top style="thick">
        <color rgb="FF16365C"/>
      </top>
      <bottom/>
      <diagonal/>
    </border>
    <border>
      <left style="thick">
        <color rgb="FF16365C"/>
      </left>
      <right style="thin">
        <color rgb="FF16365C"/>
      </right>
      <top style="thick">
        <color rgb="FF16365C"/>
      </top>
      <bottom style="thick">
        <color rgb="FF16365C"/>
      </bottom>
      <diagonal/>
    </border>
    <border>
      <left/>
      <right style="thin">
        <color rgb="FF16365C"/>
      </right>
      <top style="thick">
        <color rgb="FF16365C"/>
      </top>
      <bottom style="thick">
        <color rgb="FF16365C"/>
      </bottom>
      <diagonal/>
    </border>
    <border>
      <left/>
      <right/>
      <top/>
      <bottom style="thin">
        <color rgb="FF000000"/>
      </bottom>
      <diagonal/>
    </border>
    <border>
      <left style="thin">
        <color rgb="FF000000"/>
      </left>
      <right style="thin">
        <color rgb="FF000000"/>
      </right>
      <top style="thin">
        <color rgb="FF000000"/>
      </top>
      <bottom/>
      <diagonal/>
    </border>
    <border>
      <left style="medium">
        <color rgb="FF000000"/>
      </left>
      <right/>
      <top/>
      <bottom/>
      <diagonal/>
    </border>
    <border>
      <left style="medium">
        <color rgb="FF000000"/>
      </left>
      <right style="medium">
        <color rgb="FF000000"/>
      </right>
      <top style="medium">
        <color rgb="FF000000"/>
      </top>
      <bottom/>
      <diagonal/>
    </border>
    <border>
      <left style="medium">
        <color rgb="FF000000"/>
      </left>
      <right style="medium">
        <color rgb="FF000000"/>
      </right>
      <top style="medium">
        <color rgb="FF000000"/>
      </top>
      <bottom style="medium">
        <color rgb="FF000000"/>
      </bottom>
      <diagonal/>
    </border>
    <border>
      <left/>
      <right/>
      <top/>
      <bottom style="medium">
        <color rgb="FF000000"/>
      </bottom>
      <diagonal/>
    </border>
    <border>
      <left style="thin">
        <color rgb="FF000000"/>
      </left>
      <right style="thin">
        <color rgb="FF000000"/>
      </right>
      <top style="thick">
        <color rgb="FF16365C"/>
      </top>
      <bottom style="thick">
        <color rgb="FF16365C"/>
      </bottom>
      <diagonal/>
    </border>
    <border>
      <left style="thick">
        <color rgb="FF16365C"/>
      </left>
      <right style="thin">
        <color rgb="FF000000"/>
      </right>
      <top style="thick">
        <color rgb="FF16365C"/>
      </top>
      <bottom style="thick">
        <color rgb="FF16365C"/>
      </bottom>
      <diagonal/>
    </border>
    <border>
      <left/>
      <right style="thin">
        <color rgb="FF000000"/>
      </right>
      <top style="thick">
        <color rgb="FF16365C"/>
      </top>
      <bottom style="thick">
        <color rgb="FF16365C"/>
      </bottom>
      <diagonal/>
    </border>
    <border>
      <left style="thin">
        <color rgb="FF000000"/>
      </left>
      <right style="thick">
        <color rgb="FF000000"/>
      </right>
      <top style="thick">
        <color rgb="FF16365C"/>
      </top>
      <bottom style="thick">
        <color rgb="FF16365C"/>
      </bottom>
      <diagonal/>
    </border>
    <border>
      <left style="thin">
        <color rgb="FF16365C"/>
      </left>
      <right style="thin">
        <color rgb="FF000000"/>
      </right>
      <top style="thick">
        <color rgb="FF16365C"/>
      </top>
      <bottom style="thick">
        <color rgb="FF16365C"/>
      </bottom>
      <diagonal/>
    </border>
    <border>
      <left/>
      <right style="thick">
        <color rgb="FF16365C"/>
      </right>
      <top style="thin">
        <color rgb="FF16365C"/>
      </top>
      <bottom style="thin">
        <color rgb="FF16365C"/>
      </bottom>
      <diagonal/>
    </border>
    <border>
      <left/>
      <right style="thick">
        <color rgb="FF16365C"/>
      </right>
      <top/>
      <bottom style="thin">
        <color rgb="FF16365C"/>
      </bottom>
      <diagonal/>
    </border>
    <border>
      <left/>
      <right style="thick">
        <color rgb="FF16365C"/>
      </right>
      <top/>
      <bottom style="thin">
        <color rgb="FF000000"/>
      </bottom>
      <diagonal/>
    </border>
    <border>
      <left/>
      <right style="thick">
        <color rgb="FF16365C"/>
      </right>
      <top style="thin">
        <color rgb="FF16365C"/>
      </top>
      <bottom style="thin">
        <color rgb="FF000000"/>
      </bottom>
      <diagonal/>
    </border>
    <border>
      <left/>
      <right style="thick">
        <color rgb="FF16365C"/>
      </right>
      <top style="thin">
        <color rgb="FF000000"/>
      </top>
      <bottom style="thin">
        <color rgb="FF000000"/>
      </bottom>
      <diagonal/>
    </border>
    <border>
      <left style="thin">
        <color rgb="FF000000"/>
      </left>
      <right style="thick">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bottom style="medium">
        <color rgb="FF000000"/>
      </bottom>
      <diagonal/>
    </border>
    <border>
      <left/>
      <right style="medium">
        <color rgb="FF000000"/>
      </right>
      <top/>
      <bottom/>
      <diagonal/>
    </border>
    <border>
      <left style="medium">
        <color rgb="FF000000"/>
      </left>
      <right style="medium">
        <color rgb="FF000000"/>
      </right>
      <top/>
      <bottom style="medium">
        <color rgb="FF000000"/>
      </bottom>
      <diagonal/>
    </border>
    <border>
      <left style="thin">
        <color rgb="FF16365C"/>
      </left>
      <right style="thick">
        <color rgb="FF16365C"/>
      </right>
      <top style="thick">
        <color rgb="FF16365C"/>
      </top>
      <bottom/>
      <diagonal/>
    </border>
    <border>
      <left style="thin">
        <color rgb="FF16365C"/>
      </left>
      <right style="thick">
        <color rgb="FF16365C"/>
      </right>
      <top/>
      <bottom/>
      <diagonal/>
    </border>
    <border>
      <left style="thin">
        <color rgb="FF16365C"/>
      </left>
      <right style="thick">
        <color rgb="FF16365C"/>
      </right>
      <top/>
      <bottom style="thick">
        <color rgb="FF16365C"/>
      </bottom>
      <diagonal/>
    </border>
    <border>
      <left/>
      <right style="thin">
        <color rgb="FF000000"/>
      </right>
      <top style="medium">
        <color rgb="FF000000"/>
      </top>
      <bottom style="medium">
        <color rgb="FF000000"/>
      </bottom>
      <diagonal/>
    </border>
    <border>
      <left style="thin">
        <color rgb="FF000000"/>
      </left>
      <right style="thick">
        <color rgb="FF000000"/>
      </right>
      <top style="thick">
        <color rgb="FF16365C"/>
      </top>
      <bottom style="medium">
        <color rgb="FF000000"/>
      </bottom>
      <diagonal/>
    </border>
    <border>
      <left style="thick">
        <color rgb="FF000000"/>
      </left>
      <right/>
      <top style="thick">
        <color rgb="FF16365C"/>
      </top>
      <bottom style="thin">
        <color rgb="FF000000"/>
      </bottom>
      <diagonal/>
    </border>
    <border>
      <left style="thick">
        <color rgb="FF000000"/>
      </left>
      <right/>
      <top/>
      <bottom/>
      <diagonal/>
    </border>
    <border>
      <left style="thin">
        <color rgb="FF000000"/>
      </left>
      <right style="thick">
        <color rgb="FF16365C"/>
      </right>
      <top/>
      <bottom/>
      <diagonal/>
    </border>
    <border>
      <left style="thick">
        <color rgb="FF16365C"/>
      </left>
      <right/>
      <top style="thick">
        <color rgb="FF16365C"/>
      </top>
      <bottom style="thin">
        <color rgb="FF000000"/>
      </bottom>
      <diagonal/>
    </border>
    <border>
      <left style="thick">
        <color rgb="FF16365C"/>
      </left>
      <right style="thin">
        <color rgb="FF000000"/>
      </right>
      <top style="thick">
        <color rgb="FF16365C"/>
      </top>
      <bottom style="medium">
        <color rgb="FF000000"/>
      </bottom>
      <diagonal/>
    </border>
    <border>
      <left style="medium">
        <color rgb="FF000000"/>
      </left>
      <right/>
      <top/>
      <bottom style="hair">
        <color rgb="FF000000"/>
      </bottom>
      <diagonal/>
    </border>
    <border>
      <left style="thin">
        <color rgb="FF000000"/>
      </left>
      <right style="thin">
        <color rgb="FF000000"/>
      </right>
      <top/>
      <bottom style="hair">
        <color rgb="FF000000"/>
      </bottom>
      <diagonal/>
    </border>
    <border>
      <left/>
      <right style="thin">
        <color rgb="FF000000"/>
      </right>
      <top/>
      <bottom style="hair">
        <color rgb="FF000000"/>
      </bottom>
      <diagonal/>
    </border>
    <border>
      <left/>
      <right/>
      <top/>
      <bottom style="hair">
        <color rgb="FF000000"/>
      </bottom>
      <diagonal/>
    </border>
    <border>
      <left style="medium">
        <color rgb="FF000000"/>
      </left>
      <right style="medium">
        <color rgb="FF000000"/>
      </right>
      <top style="hair">
        <color rgb="FF000000"/>
      </top>
      <bottom style="hair">
        <color rgb="FF000000"/>
      </bottom>
      <diagonal/>
    </border>
    <border>
      <left/>
      <right style="thin">
        <color rgb="FF000000"/>
      </right>
      <top style="medium">
        <color rgb="FF000000"/>
      </top>
      <bottom style="hair">
        <color rgb="FF000000"/>
      </bottom>
      <diagonal/>
    </border>
    <border>
      <left style="thin">
        <color rgb="FF000000"/>
      </left>
      <right style="thin">
        <color rgb="FF000000"/>
      </right>
      <top style="medium">
        <color rgb="FF000000"/>
      </top>
      <bottom style="hair">
        <color rgb="FF000000"/>
      </bottom>
      <diagonal/>
    </border>
    <border>
      <left style="thin">
        <color rgb="FF000000"/>
      </left>
      <right/>
      <top style="medium">
        <color rgb="FF000000"/>
      </top>
      <bottom style="hair">
        <color rgb="FF000000"/>
      </bottom>
      <diagonal/>
    </border>
    <border>
      <left style="medium">
        <color rgb="FF000000"/>
      </left>
      <right style="medium">
        <color rgb="FF000000"/>
      </right>
      <top style="medium">
        <color rgb="FF000000"/>
      </top>
      <bottom style="hair">
        <color rgb="FF000000"/>
      </bottom>
      <diagonal/>
    </border>
    <border>
      <left style="thin">
        <color rgb="FF000000"/>
      </left>
      <right/>
      <top/>
      <bottom style="hair">
        <color rgb="FF000000"/>
      </bottom>
      <diagonal/>
    </border>
    <border>
      <left/>
      <right style="thin">
        <color rgb="FF000000"/>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top style="hair">
        <color rgb="FF000000"/>
      </top>
      <bottom style="hair">
        <color rgb="FF000000"/>
      </bottom>
      <diagonal/>
    </border>
    <border>
      <left style="medium">
        <color rgb="FF000000"/>
      </left>
      <right/>
      <top style="hair">
        <color rgb="FF000000"/>
      </top>
      <bottom style="hair">
        <color rgb="FF000000"/>
      </bottom>
      <diagonal/>
    </border>
    <border>
      <left style="thin">
        <color rgb="FF000000"/>
      </left>
      <right style="thin">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style="hair">
        <color rgb="FF000000"/>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style="thin">
        <color rgb="FF000000"/>
      </left>
      <right style="medium">
        <color rgb="FF000000"/>
      </right>
      <top/>
      <bottom style="hair">
        <color rgb="FF000000"/>
      </bottom>
      <diagonal/>
    </border>
    <border>
      <left/>
      <right style="thin">
        <color rgb="FF000000"/>
      </right>
      <top style="hair">
        <color rgb="FF000000"/>
      </top>
      <bottom/>
      <diagonal/>
    </border>
    <border>
      <left style="thin">
        <color rgb="FF000000"/>
      </left>
      <right style="thin">
        <color rgb="FF000000"/>
      </right>
      <top style="hair">
        <color rgb="FF000000"/>
      </top>
      <bottom/>
      <diagonal/>
    </border>
    <border>
      <left style="thin">
        <color rgb="FF000000"/>
      </left>
      <right/>
      <top style="hair">
        <color rgb="FF000000"/>
      </top>
      <bottom/>
      <diagonal/>
    </border>
    <border>
      <left style="medium">
        <color rgb="FF000000"/>
      </left>
      <right/>
      <top style="hair">
        <color rgb="FF000000"/>
      </top>
      <bottom/>
      <diagonal/>
    </border>
    <border>
      <left style="thin">
        <color rgb="FF000000"/>
      </left>
      <right/>
      <top/>
      <bottom/>
      <diagonal/>
    </border>
    <border>
      <left style="medium">
        <color rgb="FF000000"/>
      </left>
      <right style="medium">
        <color rgb="FF000000"/>
      </right>
      <top style="hair">
        <color rgb="FF000000"/>
      </top>
      <bottom/>
      <diagonal/>
    </border>
    <border>
      <left style="thin">
        <color rgb="FF000000"/>
      </left>
      <right style="thick">
        <color rgb="FF000000"/>
      </right>
      <top style="thick">
        <color rgb="FF16365C"/>
      </top>
      <bottom style="thin">
        <color rgb="FF000000"/>
      </bottom>
      <diagonal/>
    </border>
    <border>
      <left style="thin">
        <color rgb="FF000000"/>
      </left>
      <right style="thick">
        <color rgb="FF16365C"/>
      </right>
      <top style="thick">
        <color rgb="FF16365C"/>
      </top>
      <bottom style="thin">
        <color rgb="FF000000"/>
      </bottom>
      <diagonal/>
    </border>
    <border>
      <left/>
      <right style="thick">
        <color rgb="FF000000"/>
      </right>
      <top style="medium">
        <color rgb="FF000000"/>
      </top>
      <bottom style="medium">
        <color rgb="FF000000"/>
      </bottom>
      <diagonal/>
    </border>
    <border>
      <left/>
      <right style="thick">
        <color rgb="FF16365C"/>
      </right>
      <top style="thick">
        <color rgb="FF16365C"/>
      </top>
      <bottom style="medium">
        <color rgb="FF000000"/>
      </bottom>
      <diagonal/>
    </border>
    <border>
      <left/>
      <right/>
      <top style="thick">
        <color rgb="FF16365C"/>
      </top>
      <bottom/>
      <diagonal/>
    </border>
    <border>
      <left/>
      <right/>
      <top style="thick">
        <color rgb="FF16365C"/>
      </top>
      <bottom style="thin">
        <color rgb="FF000000"/>
      </bottom>
      <diagonal/>
    </border>
    <border>
      <left/>
      <right/>
      <top style="thick">
        <color rgb="FF16365C"/>
      </top>
      <bottom style="thin">
        <color rgb="FF16365C"/>
      </bottom>
      <diagonal/>
    </border>
    <border>
      <left/>
      <right style="thick">
        <color rgb="FF000000"/>
      </right>
      <top style="thick">
        <color rgb="FF16365C"/>
      </top>
      <bottom style="thin">
        <color rgb="FF16365C"/>
      </bottom>
      <diagonal/>
    </border>
    <border>
      <left style="thick">
        <color rgb="FF16365C"/>
      </left>
      <right/>
      <top style="thick">
        <color rgb="FF16365C"/>
      </top>
      <bottom style="medium">
        <color rgb="FF000000"/>
      </bottom>
      <diagonal/>
    </border>
    <border>
      <left/>
      <right/>
      <top style="thick">
        <color rgb="FF16365C"/>
      </top>
      <bottom style="medium">
        <color rgb="FF000000"/>
      </bottom>
      <diagonal/>
    </border>
    <border>
      <left/>
      <right/>
      <top style="hair">
        <color rgb="FF000000"/>
      </top>
      <bottom style="hair">
        <color rgb="FF000000"/>
      </bottom>
      <diagonal/>
    </border>
    <border>
      <left style="medium">
        <color rgb="FF000000"/>
      </left>
      <right/>
      <top/>
      <bottom style="medium">
        <color rgb="FF000000"/>
      </bottom>
      <diagonal/>
    </border>
    <border>
      <left/>
      <right/>
      <top style="hair">
        <color rgb="FF000000"/>
      </top>
      <bottom style="medium">
        <color rgb="FF000000"/>
      </bottom>
      <diagonal/>
    </border>
    <border>
      <left/>
      <right style="thin">
        <color rgb="FF000000"/>
      </right>
      <top style="hair">
        <color rgb="FF000000"/>
      </top>
      <bottom style="medium">
        <color rgb="FF000000"/>
      </bottom>
      <diagonal/>
    </border>
    <border>
      <left/>
      <right style="thin">
        <color rgb="FF000000"/>
      </right>
      <top/>
      <bottom style="medium">
        <color rgb="FF000000"/>
      </bottom>
      <diagonal/>
    </border>
    <border>
      <left/>
      <right/>
      <top style="medium">
        <color rgb="FF000000"/>
      </top>
      <bottom style="hair">
        <color rgb="FF000000"/>
      </bottom>
      <diagonal/>
    </border>
    <border>
      <left/>
      <right/>
      <top style="hair">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16365C"/>
      </left>
      <right/>
      <top style="thin">
        <color rgb="FF16365C"/>
      </top>
      <bottom style="thin">
        <color rgb="FF16365C"/>
      </bottom>
      <diagonal/>
    </border>
    <border>
      <left/>
      <right/>
      <top style="thin">
        <color rgb="FF16365C"/>
      </top>
      <bottom style="thin">
        <color rgb="FF16365C"/>
      </bottom>
      <diagonal/>
    </border>
    <border>
      <left style="thin">
        <color rgb="FF16365C"/>
      </left>
      <right/>
      <top style="thin">
        <color rgb="FF16365C"/>
      </top>
      <bottom style="thin">
        <color rgb="FF16365C"/>
      </bottom>
      <diagonal/>
    </border>
    <border>
      <left/>
      <right style="thin">
        <color rgb="FF16365C"/>
      </right>
      <top style="thin">
        <color rgb="FF16365C"/>
      </top>
      <bottom style="thin">
        <color rgb="FF16365C"/>
      </bottom>
      <diagonal/>
    </border>
    <border>
      <left style="thick">
        <color rgb="FF16365C"/>
      </left>
      <right/>
      <top/>
      <bottom style="thin">
        <color rgb="FF16365C"/>
      </bottom>
      <diagonal/>
    </border>
    <border>
      <left/>
      <right/>
      <top/>
      <bottom style="thin">
        <color rgb="FF16365C"/>
      </bottom>
      <diagonal/>
    </border>
    <border>
      <left style="thick">
        <color rgb="FF16365C"/>
      </left>
      <right/>
      <top style="thin">
        <color rgb="FF16365C"/>
      </top>
      <bottom style="thin">
        <color rgb="FF000000"/>
      </bottom>
      <diagonal/>
    </border>
    <border>
      <left/>
      <right/>
      <top style="thin">
        <color rgb="FF16365C"/>
      </top>
      <bottom style="thin">
        <color rgb="FF000000"/>
      </bottom>
      <diagonal/>
    </border>
    <border>
      <left style="thick">
        <color rgb="FF16365C"/>
      </left>
      <right/>
      <top/>
      <bottom style="thin">
        <color rgb="FF000000"/>
      </bottom>
      <diagonal/>
    </border>
    <border>
      <left style="thick">
        <color rgb="FF16365C"/>
      </left>
      <right/>
      <top style="thin">
        <color rgb="FF000000"/>
      </top>
      <bottom style="thin">
        <color rgb="FF000000"/>
      </bottom>
      <diagonal/>
    </border>
    <border>
      <left style="medium">
        <color rgb="FF000000"/>
      </left>
      <right/>
      <top style="thick">
        <color rgb="FF16365C"/>
      </top>
      <bottom style="medium">
        <color rgb="FF000000"/>
      </bottom>
      <diagonal/>
    </border>
    <border>
      <left/>
      <right style="medium">
        <color rgb="FF000000"/>
      </right>
      <top style="thick">
        <color rgb="FF16365C"/>
      </top>
      <bottom style="medium">
        <color rgb="FF000000"/>
      </bottom>
      <diagonal/>
    </border>
    <border>
      <left style="thin">
        <color rgb="FF16365C"/>
      </left>
      <right/>
      <top style="thin">
        <color rgb="FF16365C"/>
      </top>
      <bottom style="thick">
        <color rgb="FF16365C"/>
      </bottom>
      <diagonal/>
    </border>
    <border>
      <left/>
      <right/>
      <top style="thin">
        <color rgb="FF16365C"/>
      </top>
      <bottom style="thick">
        <color rgb="FF16365C"/>
      </bottom>
      <diagonal/>
    </border>
    <border>
      <left/>
      <right style="thin">
        <color rgb="FF16365C"/>
      </right>
      <top style="thin">
        <color rgb="FF16365C"/>
      </top>
      <bottom style="thick">
        <color rgb="FF16365C"/>
      </bottom>
      <diagonal/>
    </border>
    <border>
      <left/>
      <right style="thick">
        <color rgb="FF16365C"/>
      </right>
      <top style="thin">
        <color rgb="FF16365C"/>
      </top>
      <bottom style="thick">
        <color rgb="FF16365C"/>
      </bottom>
      <diagonal/>
    </border>
    <border>
      <left style="thick">
        <color rgb="FF16365C"/>
      </left>
      <right/>
      <top style="thin">
        <color rgb="FF16365C"/>
      </top>
      <bottom style="thick">
        <color rgb="FF16365C"/>
      </bottom>
      <diagonal/>
    </border>
    <border>
      <left style="thick">
        <color rgb="FF16365C"/>
      </left>
      <right/>
      <top style="thick">
        <color rgb="FF16365C"/>
      </top>
      <bottom style="thin">
        <color rgb="FF16365C"/>
      </bottom>
      <diagonal/>
    </border>
    <border>
      <left/>
      <right style="thick">
        <color rgb="FF16365C"/>
      </right>
      <top style="thick">
        <color rgb="FF16365C"/>
      </top>
      <bottom style="thin">
        <color rgb="FF16365C"/>
      </bottom>
      <diagonal/>
    </border>
    <border>
      <left style="thick">
        <color rgb="FF000000"/>
      </left>
      <right style="thick">
        <color rgb="FF000000"/>
      </right>
      <top style="thick">
        <color rgb="FF000000"/>
      </top>
      <bottom style="thick">
        <color rgb="FF000000"/>
      </bottom>
      <diagonal/>
    </border>
  </borders>
  <cellStyleXfs count="1">
    <xf numFmtId="0" fontId="0" fillId="0" borderId="0"/>
  </cellStyleXfs>
  <cellXfs count="698">
    <xf xfId="0" fontId="0" numFmtId="0" fillId="0" borderId="0" applyFont="0" applyNumberFormat="0" applyFill="0" applyBorder="0" applyAlignment="0"/>
    <xf xfId="0" fontId="0" numFmtId="0" fillId="0" borderId="1" applyFont="0" applyNumberFormat="0" applyFill="0" applyBorder="1" applyAlignment="0"/>
    <xf xfId="0" fontId="0" numFmtId="0" fillId="0" borderId="2" applyFont="0" applyNumberFormat="0" applyFill="0" applyBorder="1" applyAlignment="0"/>
    <xf xfId="0" fontId="1" numFmtId="0" fillId="0" borderId="0" applyFont="1" applyNumberFormat="0" applyFill="0" applyBorder="0" applyAlignment="0"/>
    <xf xfId="0" fontId="1" numFmtId="0" fillId="0" borderId="0" applyFont="1" applyNumberFormat="0" applyFill="0" applyBorder="0" applyAlignment="1">
      <alignment vertical="center" textRotation="0" wrapText="false" shrinkToFit="false"/>
    </xf>
    <xf xfId="0" fontId="2" numFmtId="0" fillId="0" borderId="0" applyFont="1" applyNumberFormat="0" applyFill="0" applyBorder="0" applyAlignment="0"/>
    <xf xfId="0" fontId="0" numFmtId="0" fillId="2" borderId="0" applyFont="0" applyNumberFormat="0" applyFill="1" applyBorder="0" applyAlignment="0"/>
    <xf xfId="0" fontId="0" numFmtId="0" fillId="2" borderId="3" applyFont="0" applyNumberFormat="0" applyFill="1" applyBorder="1" applyAlignment="0"/>
    <xf xfId="0" fontId="0" numFmtId="0" fillId="2" borderId="4" applyFont="0" applyNumberFormat="0" applyFill="1" applyBorder="1" applyAlignment="0"/>
    <xf xfId="0" fontId="0" numFmtId="0" fillId="0" borderId="5" applyFont="0" applyNumberFormat="0" applyFill="0" applyBorder="1" applyAlignment="0"/>
    <xf xfId="0" fontId="0" numFmtId="0" fillId="0" borderId="6" applyFont="0" applyNumberFormat="0" applyFill="0" applyBorder="1" applyAlignment="1">
      <alignment horizontal="left" vertical="bottom" textRotation="0" wrapText="false" shrinkToFit="false"/>
    </xf>
    <xf xfId="0" fontId="0" numFmtId="0" fillId="0" borderId="7" applyFont="0" applyNumberFormat="0" applyFill="0" applyBorder="1" applyAlignment="1">
      <alignment horizontal="left" vertical="bottom" textRotation="0" wrapText="false" shrinkToFit="false"/>
    </xf>
    <xf xfId="0" fontId="3" numFmtId="0" fillId="2" borderId="8" applyFont="1" applyNumberFormat="0" applyFill="1" applyBorder="1" applyAlignment="0"/>
    <xf xfId="0" fontId="0" numFmtId="0" fillId="0" borderId="0" applyFont="0" applyNumberFormat="0" applyFill="0" applyBorder="0" applyAlignment="1">
      <alignment horizontal="center" vertical="bottom" textRotation="0" wrapText="false" shrinkToFit="false"/>
    </xf>
    <xf xfId="0" fontId="4" numFmtId="0" fillId="2" borderId="0" applyFont="1" applyNumberFormat="0" applyFill="1" applyBorder="0" applyAlignment="1">
      <alignment horizontal="center" vertical="center" textRotation="0" wrapText="false" shrinkToFit="false"/>
    </xf>
    <xf xfId="0" fontId="0" numFmtId="0" fillId="0" borderId="9" applyFont="0" applyNumberFormat="0" applyFill="0" applyBorder="1" applyAlignment="0"/>
    <xf xfId="0" fontId="0" numFmtId="0" fillId="0" borderId="10" applyFont="0" applyNumberFormat="0" applyFill="0" applyBorder="1" applyAlignment="0"/>
    <xf xfId="0" fontId="0" numFmtId="0" fillId="3" borderId="10" applyFont="0" applyNumberFormat="0" applyFill="1" applyBorder="1" applyAlignment="1">
      <alignment horizontal="center" vertical="bottom" textRotation="0" wrapText="false" shrinkToFit="false"/>
    </xf>
    <xf xfId="0" fontId="0" numFmtId="0" fillId="3" borderId="11" applyFont="0" applyNumberFormat="0" applyFill="1" applyBorder="1" applyAlignment="1">
      <alignment horizontal="center" vertical="bottom" textRotation="0" wrapText="false" shrinkToFit="false"/>
    </xf>
    <xf xfId="0" fontId="0" numFmtId="0" fillId="3" borderId="12" applyFont="0" applyNumberFormat="0" applyFill="1" applyBorder="1" applyAlignment="1">
      <alignment horizontal="center" vertical="bottom" textRotation="0" wrapText="false" shrinkToFit="false"/>
    </xf>
    <xf xfId="0" fontId="0" numFmtId="0" fillId="0" borderId="2" applyFont="0" applyNumberFormat="0" applyFill="0" applyBorder="1" applyAlignment="1">
      <alignment horizontal="center" vertical="bottom" textRotation="0" wrapText="false" shrinkToFit="false"/>
    </xf>
    <xf xfId="0" fontId="0" numFmtId="0" fillId="3" borderId="13" applyFont="0" applyNumberFormat="0" applyFill="1" applyBorder="1" applyAlignment="1">
      <alignment horizontal="center" vertical="bottom" textRotation="0" wrapText="false" shrinkToFit="false"/>
    </xf>
    <xf xfId="0" fontId="0" numFmtId="0" fillId="0" borderId="13" applyFont="0" applyNumberFormat="0" applyFill="0" applyBorder="1" applyAlignment="1">
      <alignment horizontal="center" vertical="bottom" textRotation="0" wrapText="false" shrinkToFit="false"/>
    </xf>
    <xf xfId="0" fontId="0" numFmtId="0" fillId="2" borderId="7" applyFont="0" applyNumberFormat="0" applyFill="1" applyBorder="1" applyAlignment="0"/>
    <xf xfId="0" fontId="0" numFmtId="0" fillId="2" borderId="12" applyFont="0" applyNumberFormat="0" applyFill="1" applyBorder="1" applyAlignment="0"/>
    <xf xfId="0" fontId="0" numFmtId="0" fillId="2" borderId="5" applyFont="0" applyNumberFormat="0" applyFill="1" applyBorder="1" applyAlignment="0"/>
    <xf xfId="0" fontId="0" numFmtId="0" fillId="2" borderId="13" applyFont="0" applyNumberFormat="0" applyFill="1" applyBorder="1" applyAlignment="0"/>
    <xf xfId="0" fontId="0" numFmtId="0" fillId="0" borderId="14" applyFont="0" applyNumberFormat="0" applyFill="0" applyBorder="1" applyAlignment="1">
      <alignment horizontal="center" vertical="bottom" textRotation="0" wrapText="false" shrinkToFit="false"/>
    </xf>
    <xf xfId="0" fontId="3" numFmtId="0" fillId="0" borderId="14" applyFont="1" applyNumberFormat="0" applyFill="0" applyBorder="1" applyAlignment="1">
      <alignment horizontal="center" vertical="bottom" textRotation="0" wrapText="false" shrinkToFit="false"/>
    </xf>
    <xf xfId="0" fontId="3" numFmtId="0" fillId="3" borderId="14" applyFont="1" applyNumberFormat="0" applyFill="1" applyBorder="1" applyAlignment="1">
      <alignment horizontal="center" vertical="bottom" textRotation="0" wrapText="false" shrinkToFit="false"/>
    </xf>
    <xf xfId="0" fontId="0" numFmtId="0" fillId="3" borderId="14" applyFont="0" applyNumberFormat="0" applyFill="1" applyBorder="1" applyAlignment="1">
      <alignment horizontal="center" vertical="bottom" textRotation="0" wrapText="false" shrinkToFit="false"/>
    </xf>
    <xf xfId="0" fontId="0" numFmtId="0" fillId="3" borderId="15" applyFont="0" applyNumberFormat="0" applyFill="1" applyBorder="1" applyAlignment="1">
      <alignment horizontal="center" vertical="bottom" textRotation="0" wrapText="false" shrinkToFit="false"/>
    </xf>
    <xf xfId="0" fontId="3" numFmtId="0" fillId="0" borderId="16" applyFont="1" applyNumberFormat="0" applyFill="0" applyBorder="1" applyAlignment="0"/>
    <xf xfId="0" fontId="3" numFmtId="0" fillId="3" borderId="9" applyFont="1" applyNumberFormat="0" applyFill="1" applyBorder="1" applyAlignment="0"/>
    <xf xfId="0" fontId="0" numFmtId="0" fillId="3" borderId="9" applyFont="0" applyNumberFormat="0" applyFill="1" applyBorder="1" applyAlignment="0"/>
    <xf xfId="0" fontId="3" numFmtId="0" fillId="0" borderId="9" applyFont="1" applyNumberFormat="0" applyFill="0" applyBorder="1" applyAlignment="0"/>
    <xf xfId="0" fontId="0" numFmtId="0" fillId="3" borderId="10" applyFont="0" applyNumberFormat="0" applyFill="1" applyBorder="1" applyAlignment="0"/>
    <xf xfId="0" fontId="0" numFmtId="0" fillId="0" borderId="17" applyFont="0" applyNumberFormat="0" applyFill="0" applyBorder="1" applyAlignment="1">
      <alignment horizontal="center" vertical="bottom" textRotation="0" wrapText="false" shrinkToFit="false"/>
    </xf>
    <xf xfId="0" fontId="0" numFmtId="0" fillId="0" borderId="18" applyFont="0" applyNumberFormat="0" applyFill="0" applyBorder="1" applyAlignment="1">
      <alignment horizontal="center" vertical="bottom" textRotation="0" wrapText="false" shrinkToFit="false"/>
    </xf>
    <xf xfId="0" fontId="3" numFmtId="0" fillId="2" borderId="16" applyFont="1" applyNumberFormat="0" applyFill="1" applyBorder="1" applyAlignment="1">
      <alignment horizontal="center" vertical="bottom" textRotation="0" wrapText="false" shrinkToFit="false"/>
    </xf>
    <xf xfId="0" fontId="3" numFmtId="0" fillId="2" borderId="9" applyFont="1" applyNumberFormat="0" applyFill="1" applyBorder="1" applyAlignment="1">
      <alignment horizontal="center" vertical="bottom" textRotation="0" wrapText="false" shrinkToFit="false"/>
    </xf>
    <xf xfId="0" fontId="3" numFmtId="0" fillId="2" borderId="10" applyFont="1" applyNumberFormat="0" applyFill="1" applyBorder="1" applyAlignment="1">
      <alignment horizontal="center" vertical="bottom" textRotation="0" wrapText="false" shrinkToFit="false"/>
    </xf>
    <xf xfId="0" fontId="3" numFmtId="0" fillId="0" borderId="0" applyFont="1" applyNumberFormat="0" applyFill="0" applyBorder="0" applyAlignment="1">
      <alignment horizontal="center" vertical="bottom" textRotation="0" wrapText="false" shrinkToFit="false"/>
    </xf>
    <xf xfId="0" fontId="0" numFmtId="0" fillId="0" borderId="6" applyFont="0" applyNumberFormat="0" applyFill="0" applyBorder="1" applyAlignment="1">
      <alignment horizontal="center" vertical="bottom" textRotation="0" wrapText="false" shrinkToFit="false"/>
    </xf>
    <xf xfId="0" fontId="0" numFmtId="0" fillId="0" borderId="7" applyFont="0" applyNumberFormat="0" applyFill="0" applyBorder="1" applyAlignment="1">
      <alignment horizontal="center" vertical="bottom" textRotation="0" wrapText="false" shrinkToFit="false"/>
    </xf>
    <xf xfId="0" fontId="0" numFmtId="0" fillId="0" borderId="8" applyFont="0" applyNumberFormat="0" applyFill="0" applyBorder="1" applyAlignment="1">
      <alignment horizontal="center" vertical="bottom" textRotation="0" wrapText="false" shrinkToFit="false"/>
    </xf>
    <xf xfId="0" fontId="0" numFmtId="0" fillId="0" borderId="8" applyFont="0" applyNumberFormat="0" applyFill="0" applyBorder="1" applyAlignment="1">
      <alignment vertical="bottom" textRotation="90" wrapText="false" shrinkToFit="false"/>
    </xf>
    <xf xfId="0" fontId="0" numFmtId="0" fillId="0" borderId="3" applyFont="0" applyNumberFormat="0" applyFill="0" applyBorder="1" applyAlignment="1">
      <alignment vertical="bottom" textRotation="90" wrapText="false" shrinkToFit="false"/>
    </xf>
    <xf xfId="0" fontId="0" numFmtId="0" fillId="0" borderId="4" applyFont="0" applyNumberFormat="0" applyFill="0" applyBorder="1" applyAlignment="1">
      <alignment vertical="bottom" textRotation="90" wrapText="false" shrinkToFit="false"/>
    </xf>
    <xf xfId="0" fontId="0" numFmtId="0" fillId="0" borderId="8" applyFont="0" applyNumberFormat="0" applyFill="0" applyBorder="1" applyAlignment="1">
      <alignment horizontal="center" vertical="bottom" textRotation="90" wrapText="false" shrinkToFit="false"/>
    </xf>
    <xf xfId="0" fontId="0" numFmtId="0" fillId="0" borderId="3" applyFont="0" applyNumberFormat="0" applyFill="0" applyBorder="1" applyAlignment="1">
      <alignment horizontal="center" vertical="bottom" textRotation="90" wrapText="false" shrinkToFit="false"/>
    </xf>
    <xf xfId="0" fontId="0" numFmtId="0" fillId="0" borderId="4" applyFont="0" applyNumberFormat="0" applyFill="0" applyBorder="1" applyAlignment="1">
      <alignment horizontal="center" vertical="bottom" textRotation="90" wrapText="false" shrinkToFit="false"/>
    </xf>
    <xf xfId="0" fontId="5" numFmtId="0" fillId="0" borderId="0" applyFont="1" applyNumberFormat="0" applyFill="0" applyBorder="0" applyAlignment="0"/>
    <xf xfId="0" fontId="5" numFmtId="0" fillId="0" borderId="19" applyFont="1" applyNumberFormat="0" applyFill="0" applyBorder="1" applyAlignment="0"/>
    <xf xfId="0" fontId="0" numFmtId="0" fillId="0" borderId="12" applyFont="0" applyNumberFormat="0" applyFill="0" applyBorder="1" applyAlignment="0"/>
    <xf xfId="0" fontId="0" numFmtId="0" fillId="0" borderId="13" applyFont="0" applyNumberFormat="0" applyFill="0" applyBorder="1" applyAlignment="0"/>
    <xf xfId="0" fontId="0" numFmtId="0" fillId="0" borderId="12" applyFont="0" applyNumberFormat="0" applyFill="0" applyBorder="1" applyAlignment="1">
      <alignment horizontal="center" vertical="bottom" textRotation="0" wrapText="false" shrinkToFit="false"/>
    </xf>
    <xf xfId="0" fontId="0" numFmtId="0" fillId="3" borderId="9" applyFont="0" applyNumberFormat="0" applyFill="1" applyBorder="1" applyAlignment="1">
      <alignment horizontal="center" vertical="bottom" textRotation="0" wrapText="false" shrinkToFit="false"/>
    </xf>
    <xf xfId="0" fontId="6" numFmtId="0" fillId="0" borderId="0" applyFont="1" applyNumberFormat="0" applyFill="0" applyBorder="0" applyAlignment="0"/>
    <xf xfId="0" fontId="7" numFmtId="0" fillId="0" borderId="20" applyFont="1" applyNumberFormat="0" applyFill="0" applyBorder="1" applyAlignment="1" applyProtection="true">
      <alignment horizontal="center" vertical="center" textRotation="0" wrapText="false" shrinkToFit="false"/>
      <protection hidden="true"/>
    </xf>
    <xf xfId="0" fontId="8" numFmtId="0" fillId="0" borderId="0" applyFont="1" applyNumberFormat="0" applyFill="0" applyBorder="0" applyAlignment="0" applyProtection="true">
      <protection hidden="true"/>
    </xf>
    <xf xfId="0" fontId="8" numFmtId="14" fillId="0" borderId="0" applyFont="1" applyNumberFormat="1" applyFill="0" applyBorder="0" applyAlignment="0" applyProtection="true">
      <protection hidden="true"/>
    </xf>
    <xf xfId="0" fontId="8" numFmtId="0" fillId="0" borderId="0" applyFont="1" applyNumberFormat="0" applyFill="0" applyBorder="0" applyAlignment="1" applyProtection="true">
      <alignment horizontal="center" vertical="bottom" textRotation="0" wrapText="false" shrinkToFit="false"/>
      <protection hidden="true"/>
    </xf>
    <xf xfId="0" fontId="8" numFmtId="0" fillId="0" borderId="21" applyFont="1" applyNumberFormat="0" applyFill="0" applyBorder="1" applyAlignment="1" applyProtection="true">
      <alignment horizontal="center" vertical="bottom" textRotation="0" wrapText="false" shrinkToFit="false"/>
      <protection hidden="true"/>
    </xf>
    <xf xfId="0" fontId="8" numFmtId="14" fillId="0" borderId="0" applyFont="1" applyNumberFormat="1" applyFill="0" applyBorder="0" applyAlignment="1" applyProtection="true">
      <alignment horizontal="center" vertical="bottom" textRotation="0" wrapText="false" shrinkToFit="false"/>
      <protection hidden="true"/>
    </xf>
    <xf xfId="0" fontId="8" numFmtId="0" fillId="0" borderId="0" applyFont="1" applyNumberFormat="0" applyFill="0" applyBorder="0" applyAlignment="1" applyProtection="true">
      <alignment horizontal="centerContinuous" vertical="bottom" textRotation="0" wrapText="false" shrinkToFit="false"/>
      <protection hidden="true"/>
    </xf>
    <xf xfId="0" fontId="8" numFmtId="0" fillId="0" borderId="21" applyFont="1" applyNumberFormat="0" applyFill="0" applyBorder="1" applyAlignment="1" applyProtection="true">
      <alignment horizontal="center" vertical="center" textRotation="0" wrapText="false" shrinkToFit="false"/>
      <protection hidden="true"/>
    </xf>
    <xf xfId="0" fontId="8" numFmtId="0" fillId="0" borderId="0" applyFont="1" applyNumberFormat="0" applyFill="0" applyBorder="0" applyAlignment="1" applyProtection="true">
      <alignment horizontal="center" vertical="center" textRotation="0" wrapText="false" shrinkToFit="false"/>
      <protection hidden="true"/>
    </xf>
    <xf xfId="0" fontId="8" numFmtId="14" fillId="0" borderId="0" applyFont="1" applyNumberFormat="1" applyFill="0" applyBorder="0" applyAlignment="1" applyProtection="true">
      <alignment horizontal="center" vertical="center" textRotation="0" wrapText="false" shrinkToFit="false"/>
      <protection hidden="true"/>
    </xf>
    <xf xfId="0" fontId="9" numFmtId="0" fillId="0" borderId="22" applyFont="1" applyNumberFormat="0" applyFill="0" applyBorder="1" applyAlignment="1" applyProtection="true">
      <alignment horizontal="centerContinuous" vertical="center" textRotation="0" wrapText="false" shrinkToFit="false"/>
      <protection hidden="true"/>
    </xf>
    <xf xfId="0" fontId="9" numFmtId="0" fillId="0" borderId="22" applyFont="1" applyNumberFormat="0" applyFill="0" applyBorder="1" applyAlignment="1" applyProtection="true">
      <alignment horizontal="center" vertical="center" textRotation="0" wrapText="false" shrinkToFit="false"/>
      <protection hidden="true"/>
    </xf>
    <xf xfId="0" fontId="8" numFmtId="0" fillId="0" borderId="0" applyFont="1" applyNumberFormat="0" applyFill="0" applyBorder="0" applyAlignment="1" applyProtection="true">
      <alignment horizontal="left" vertical="center" textRotation="0" wrapText="false" shrinkToFit="false"/>
      <protection hidden="true"/>
    </xf>
    <xf xfId="0" fontId="9" numFmtId="0" fillId="0" borderId="23" applyFont="1" applyNumberFormat="0" applyFill="0" applyBorder="1" applyAlignment="1" applyProtection="true">
      <alignment horizontal="centerContinuous" vertical="center" textRotation="0" wrapText="false" shrinkToFit="false"/>
      <protection hidden="true"/>
    </xf>
    <xf xfId="0" fontId="9" numFmtId="0" fillId="0" borderId="23" applyFont="1" applyNumberFormat="0" applyFill="0" applyBorder="1" applyAlignment="1" applyProtection="true">
      <alignment horizontal="center" vertical="center" textRotation="0" wrapText="false" shrinkToFit="false"/>
      <protection hidden="true"/>
    </xf>
    <xf xfId="0" fontId="8" numFmtId="0" fillId="4" borderId="24" applyFont="1" applyNumberFormat="0" applyFill="1" applyBorder="1" applyAlignment="1" applyProtection="true">
      <alignment horizontal="left" vertical="center" textRotation="0" wrapText="false" shrinkToFit="false"/>
      <protection hidden="true"/>
    </xf>
    <xf xfId="0" fontId="0" numFmtId="9" fillId="0" borderId="0" applyFont="0" applyNumberFormat="1" applyFill="0" applyBorder="0" applyAlignment="1">
      <alignment horizontal="center" vertical="bottom" textRotation="0" wrapText="false" shrinkToFit="false"/>
    </xf>
    <xf xfId="0" fontId="0" numFmtId="164" fillId="0" borderId="0" applyFont="0" applyNumberFormat="1" applyFill="0" applyBorder="0" applyAlignment="1">
      <alignment horizontal="center" vertical="bottom" textRotation="0" wrapText="false" shrinkToFit="false"/>
    </xf>
    <xf xfId="0" fontId="3" numFmtId="0" fillId="2" borderId="11" applyFont="1" applyNumberFormat="0" applyFill="1" applyBorder="1" applyAlignment="1">
      <alignment horizontal="center" vertical="bottom" textRotation="0" wrapText="false" shrinkToFit="false"/>
    </xf>
    <xf xfId="0" fontId="0" numFmtId="0" fillId="0" borderId="5" applyFont="0" applyNumberFormat="0" applyFill="0" applyBorder="1" applyAlignment="1">
      <alignment horizontal="center" vertical="bottom" textRotation="0" wrapText="false" shrinkToFit="false"/>
    </xf>
    <xf xfId="0" fontId="0" numFmtId="0" fillId="0" borderId="8" applyFont="0" applyNumberFormat="0" applyFill="0" applyBorder="1" applyAlignment="0"/>
    <xf xfId="0" fontId="0" numFmtId="0" fillId="0" borderId="4" applyFont="0" applyNumberFormat="0" applyFill="0" applyBorder="1" applyAlignment="0"/>
    <xf xfId="0" fontId="0" numFmtId="0" fillId="0" borderId="7" applyFont="0" applyNumberFormat="0" applyFill="0" applyBorder="1" applyAlignment="0"/>
    <xf xfId="0" fontId="0" numFmtId="0" fillId="0" borderId="6" applyFont="0" applyNumberFormat="0" applyFill="0" applyBorder="1" applyAlignment="0"/>
    <xf xfId="0" fontId="0" numFmtId="0" fillId="0" borderId="25" applyFont="0" applyNumberFormat="0" applyFill="0" applyBorder="1" applyAlignment="1">
      <alignment horizontal="center" vertical="bottom" textRotation="0" wrapText="false" shrinkToFit="false"/>
    </xf>
    <xf xfId="0" fontId="0" numFmtId="0" fillId="0" borderId="26" applyFont="0" applyNumberFormat="0" applyFill="0" applyBorder="1" applyAlignment="1">
      <alignment horizontal="center" vertical="bottom" textRotation="0" wrapText="false" shrinkToFit="false"/>
    </xf>
    <xf xfId="0" fontId="0" numFmtId="0" fillId="0" borderId="27" applyFont="0" applyNumberFormat="0" applyFill="0" applyBorder="1" applyAlignment="1">
      <alignment horizontal="center" vertical="bottom" textRotation="0" wrapText="false" shrinkToFit="false"/>
    </xf>
    <xf xfId="0" fontId="0" numFmtId="0" fillId="0" borderId="28" applyFont="0" applyNumberFormat="0" applyFill="0" applyBorder="1" applyAlignment="1">
      <alignment horizontal="center" vertical="bottom" textRotation="0" wrapText="false" shrinkToFit="false"/>
    </xf>
    <xf xfId="0" fontId="0" numFmtId="0" fillId="0" borderId="0" applyFont="0" applyNumberFormat="0" applyFill="0" applyBorder="0" applyAlignment="0"/>
    <xf xfId="0" fontId="0" numFmtId="0" fillId="0" borderId="29" applyFont="0" applyNumberFormat="0" applyFill="0" applyBorder="1" applyAlignment="1">
      <alignment horizontal="center" vertical="bottom" textRotation="0" wrapText="false" shrinkToFit="false"/>
    </xf>
    <xf xfId="0" fontId="0" numFmtId="0" fillId="0" borderId="30" applyFont="0" applyNumberFormat="0" applyFill="0" applyBorder="1" applyAlignment="1">
      <alignment horizontal="center" vertical="bottom" textRotation="0" wrapText="false" shrinkToFit="false"/>
    </xf>
    <xf xfId="0" fontId="0" numFmtId="0" fillId="0" borderId="31" applyFont="0" applyNumberFormat="0" applyFill="0" applyBorder="1" applyAlignment="1">
      <alignment horizontal="center" vertical="bottom" textRotation="0" wrapText="false" shrinkToFit="false"/>
    </xf>
    <xf xfId="0" fontId="0" numFmtId="0" fillId="0" borderId="32" applyFont="0" applyNumberFormat="0" applyFill="0" applyBorder="1" applyAlignment="1">
      <alignment horizontal="center" vertical="bottom" textRotation="0" wrapText="false" shrinkToFit="false"/>
    </xf>
    <xf xfId="0" fontId="0" numFmtId="0" fillId="0" borderId="33" applyFont="0" applyNumberFormat="0" applyFill="0" applyBorder="1" applyAlignment="1">
      <alignment horizontal="center" vertical="bottom" textRotation="0" wrapText="false" shrinkToFit="false"/>
    </xf>
    <xf xfId="0" fontId="0" numFmtId="0" fillId="0" borderId="34" applyFont="0" applyNumberFormat="0" applyFill="0" applyBorder="1" applyAlignment="1">
      <alignment horizontal="center" vertical="bottom" textRotation="0" wrapText="false" shrinkToFit="false"/>
    </xf>
    <xf xfId="0" fontId="3" numFmtId="0" fillId="3" borderId="0" applyFont="1" applyNumberFormat="0" applyFill="1" applyBorder="0" applyAlignment="1">
      <alignment horizontal="center" vertical="bottom" textRotation="0" wrapText="false" shrinkToFit="false"/>
    </xf>
    <xf xfId="0" fontId="0" numFmtId="0" fillId="3" borderId="0" applyFont="0" applyNumberFormat="0" applyFill="1" applyBorder="0" applyAlignment="1">
      <alignment horizontal="center" vertical="bottom" textRotation="0" wrapText="false" shrinkToFit="false"/>
    </xf>
    <xf xfId="0" fontId="0" numFmtId="0" fillId="0" borderId="35" applyFont="0" applyNumberFormat="0" applyFill="0" applyBorder="1" applyAlignment="1">
      <alignment horizontal="center" vertical="bottom" textRotation="0" wrapText="false" shrinkToFit="false"/>
    </xf>
    <xf xfId="0" fontId="10" numFmtId="0" fillId="0" borderId="0" applyFont="1" applyNumberFormat="0" applyFill="0" applyBorder="0" applyAlignment="1">
      <alignment horizontal="left" vertical="bottom" textRotation="0" wrapText="false" shrinkToFit="false"/>
    </xf>
    <xf xfId="0" fontId="11" numFmtId="0" fillId="0" borderId="36" applyFont="1" applyNumberFormat="0" applyFill="0" applyBorder="1" applyAlignment="1" applyProtection="true">
      <alignment horizontal="centerContinuous" vertical="bottom" textRotation="0" wrapText="false" shrinkToFit="false"/>
      <protection hidden="true"/>
    </xf>
    <xf xfId="0" fontId="12" numFmtId="0" fillId="0" borderId="0" applyFont="1" applyNumberFormat="0" applyFill="0" applyBorder="0" applyAlignment="1" applyProtection="true">
      <alignment horizontal="centerContinuous" vertical="bottom" textRotation="0" wrapText="false" shrinkToFit="false"/>
      <protection hidden="true"/>
    </xf>
    <xf xfId="0" fontId="13" numFmtId="0" fillId="0" borderId="0" applyFont="1" applyNumberFormat="0" applyFill="0" applyBorder="0" applyAlignment="1" applyProtection="true">
      <alignment horizontal="left" vertical="bottom" textRotation="0" wrapText="false" shrinkToFit="false"/>
      <protection hidden="true"/>
    </xf>
    <xf xfId="0" fontId="14" numFmtId="14" fillId="0" borderId="0" applyFont="1" applyNumberFormat="1" applyFill="0" applyBorder="0" applyAlignment="1" applyProtection="true">
      <alignment horizontal="left" vertical="bottom" textRotation="0" wrapText="false" shrinkToFit="false"/>
      <protection hidden="true"/>
    </xf>
    <xf xfId="0" fontId="14" numFmtId="0" fillId="0" borderId="0" applyFont="1" applyNumberFormat="0" applyFill="0" applyBorder="0" applyAlignment="1" applyProtection="true">
      <alignment horizontal="left" vertical="bottom" textRotation="0" wrapText="false" shrinkToFit="false"/>
      <protection hidden="true"/>
    </xf>
    <xf xfId="0" fontId="14" quotePrefix="1" numFmtId="0" fillId="0" borderId="0" applyFont="1" applyNumberFormat="0" applyFill="0" applyBorder="0" applyAlignment="1" applyProtection="true">
      <alignment horizontal="left" vertical="bottom" textRotation="0" wrapText="false" shrinkToFit="false"/>
      <protection hidden="true"/>
    </xf>
    <xf xfId="0" fontId="14" numFmtId="0" fillId="0" borderId="0" applyFont="1" applyNumberFormat="0" applyFill="0" applyBorder="0" applyAlignment="1" applyProtection="true">
      <alignment horizontal="left" vertical="bottom" textRotation="0" wrapText="false" shrinkToFit="false"/>
      <protection locked="false"/>
    </xf>
    <xf xfId="0" fontId="14" numFmtId="0" fillId="0" borderId="0" applyFont="1" applyNumberFormat="0" applyFill="0" applyBorder="0" applyAlignment="1">
      <alignment horizontal="left" vertical="bottom" textRotation="0" wrapText="false" shrinkToFit="false"/>
    </xf>
    <xf xfId="0" fontId="13" quotePrefix="1" numFmtId="0" fillId="0" borderId="0" applyFont="1" applyNumberFormat="0" applyFill="0" applyBorder="0" applyAlignment="1" applyProtection="true">
      <alignment horizontal="left" vertical="bottom" textRotation="0" wrapText="false" shrinkToFit="false"/>
      <protection hidden="true"/>
    </xf>
    <xf xfId="0" fontId="13" numFmtId="0" fillId="0" borderId="0" applyFont="1" applyNumberFormat="0" applyFill="0" applyBorder="0" applyAlignment="1">
      <alignment horizontal="left" vertical="bottom" textRotation="0" wrapText="false" shrinkToFit="false"/>
    </xf>
    <xf xfId="0" fontId="15" numFmtId="0" fillId="0" borderId="0" applyFont="1" applyNumberFormat="0" applyFill="0" applyBorder="0" applyAlignment="1">
      <alignment horizontal="left" vertical="bottom" textRotation="0" wrapText="false" shrinkToFit="false"/>
    </xf>
    <xf xfId="0" fontId="14" numFmtId="0" fillId="0" borderId="0" applyFont="1" applyNumberFormat="0" applyFill="0" applyBorder="0" applyAlignment="1" applyProtection="true">
      <alignment horizontal="centerContinuous" vertical="bottom" textRotation="0" wrapText="false" shrinkToFit="false"/>
      <protection hidden="true"/>
    </xf>
    <xf xfId="0" fontId="10" numFmtId="0" fillId="0" borderId="0" applyFont="1" applyNumberFormat="0" applyFill="0" applyBorder="0" applyAlignment="1" applyProtection="true">
      <alignment horizontal="left" vertical="bottom" textRotation="0" wrapText="false" shrinkToFit="false"/>
      <protection hidden="true"/>
    </xf>
    <xf xfId="0" fontId="11" numFmtId="0" fillId="0" borderId="37" applyFont="1" applyNumberFormat="0" applyFill="0" applyBorder="1" applyAlignment="1" applyProtection="true">
      <alignment horizontal="centerContinuous" vertical="bottom" textRotation="0" wrapText="false" shrinkToFit="false"/>
      <protection hidden="true"/>
    </xf>
    <xf xfId="0" fontId="16" numFmtId="0" fillId="0" borderId="37" applyFont="1" applyNumberFormat="0" applyFill="0" applyBorder="1" applyAlignment="1" applyProtection="true">
      <alignment horizontal="centerContinuous" vertical="bottom" textRotation="0" wrapText="false" shrinkToFit="false"/>
      <protection hidden="true"/>
    </xf>
    <xf xfId="0" fontId="16" numFmtId="0" fillId="0" borderId="37" applyFont="1" applyNumberFormat="0" applyFill="0" applyBorder="1" applyAlignment="1">
      <alignment horizontal="centerContinuous" vertical="bottom" textRotation="0" wrapText="false" shrinkToFit="false"/>
    </xf>
    <xf xfId="0" fontId="16" numFmtId="0" fillId="0" borderId="38" applyFont="1" applyNumberFormat="0" applyFill="0" applyBorder="1" applyAlignment="1">
      <alignment horizontal="centerContinuous" vertical="bottom" textRotation="0" wrapText="false" shrinkToFit="false"/>
    </xf>
    <xf xfId="0" fontId="13" numFmtId="0" fillId="0" borderId="39" applyFont="1" applyNumberFormat="0" applyFill="0" applyBorder="1" applyAlignment="1" applyProtection="true">
      <alignment horizontal="centerContinuous" vertical="bottom" textRotation="0" wrapText="false" shrinkToFit="false"/>
      <protection hidden="true"/>
    </xf>
    <xf xfId="0" fontId="10" numFmtId="0" fillId="0" borderId="40" applyFont="1" applyNumberFormat="0" applyFill="0" applyBorder="1" applyAlignment="1" applyProtection="true">
      <alignment horizontal="centerContinuous" vertical="bottom" textRotation="0" wrapText="false" shrinkToFit="false"/>
      <protection hidden="true"/>
    </xf>
    <xf xfId="0" fontId="10" numFmtId="0" fillId="0" borderId="40" applyFont="1" applyNumberFormat="0" applyFill="0" applyBorder="1" applyAlignment="1">
      <alignment horizontal="centerContinuous" vertical="bottom" textRotation="0" wrapText="false" shrinkToFit="false"/>
    </xf>
    <xf xfId="0" fontId="17" numFmtId="0" fillId="0" borderId="40" applyFont="1" applyNumberFormat="0" applyFill="0" applyBorder="1" applyAlignment="1" applyProtection="true">
      <alignment horizontal="centerContinuous" vertical="bottom" textRotation="0" wrapText="false" shrinkToFit="false"/>
      <protection hidden="true"/>
    </xf>
    <xf xfId="0" fontId="10" numFmtId="0" fillId="0" borderId="20" applyFont="1" applyNumberFormat="0" applyFill="0" applyBorder="1" applyAlignment="1" applyProtection="true">
      <alignment horizontal="centerContinuous" vertical="bottom" textRotation="0" wrapText="false" shrinkToFit="false"/>
      <protection hidden="true"/>
    </xf>
    <xf xfId="0" fontId="10" numFmtId="0" fillId="0" borderId="20" applyFont="1" applyNumberFormat="0" applyFill="0" applyBorder="1" applyAlignment="1">
      <alignment horizontal="centerContinuous" vertical="bottom" textRotation="0" wrapText="false" shrinkToFit="false"/>
    </xf>
    <xf xfId="0" fontId="18" numFmtId="0" fillId="0" borderId="41" applyFont="1" applyNumberFormat="0" applyFill="0" applyBorder="1" applyAlignment="1" applyProtection="true">
      <alignment horizontal="centerContinuous" vertical="bottom" textRotation="0" wrapText="false" shrinkToFit="false"/>
      <protection hidden="true"/>
    </xf>
    <xf xfId="0" fontId="17" numFmtId="0" fillId="0" borderId="39" applyFont="1" applyNumberFormat="0" applyFill="0" applyBorder="1" applyAlignment="1" applyProtection="true">
      <alignment horizontal="centerContinuous" vertical="bottom" textRotation="0" wrapText="false" shrinkToFit="false"/>
      <protection hidden="true"/>
    </xf>
    <xf xfId="0" fontId="10" numFmtId="0" fillId="0" borderId="41" applyFont="1" applyNumberFormat="0" applyFill="0" applyBorder="1" applyAlignment="1">
      <alignment horizontal="centerContinuous" vertical="bottom" textRotation="0" wrapText="false" shrinkToFit="false"/>
    </xf>
    <xf xfId="0" fontId="10" numFmtId="0" fillId="0" borderId="42" applyFont="1" applyNumberFormat="0" applyFill="0" applyBorder="1" applyAlignment="1" applyProtection="true">
      <alignment horizontal="left" vertical="bottom" textRotation="0" wrapText="false" shrinkToFit="false"/>
      <protection hidden="true"/>
    </xf>
    <xf xfId="0" fontId="10" numFmtId="0" fillId="0" borderId="19" applyFont="1" applyNumberFormat="0" applyFill="0" applyBorder="1" applyAlignment="0" applyProtection="true">
      <protection hidden="true"/>
    </xf>
    <xf xfId="0" fontId="10" numFmtId="0" fillId="0" borderId="19" applyFont="1" applyNumberFormat="0" applyFill="0" applyBorder="1" applyAlignment="1">
      <alignment horizontal="left" vertical="bottom" textRotation="0" wrapText="false" shrinkToFit="false"/>
    </xf>
    <xf xfId="0" fontId="10" numFmtId="0" fillId="0" borderId="43" applyFont="1" applyNumberFormat="0" applyFill="0" applyBorder="1" applyAlignment="1" applyProtection="true">
      <alignment horizontal="centerContinuous" vertical="bottom" textRotation="0" wrapText="false" shrinkToFit="false"/>
      <protection hidden="true"/>
    </xf>
    <xf xfId="0" fontId="10" numFmtId="0" fillId="0" borderId="43" applyFont="1" applyNumberFormat="0" applyFill="0" applyBorder="1" applyAlignment="1">
      <alignment horizontal="centerContinuous" vertical="bottom" textRotation="0" wrapText="false" shrinkToFit="false"/>
    </xf>
    <xf xfId="0" fontId="10" numFmtId="0" fillId="0" borderId="19" applyFont="1" applyNumberFormat="0" applyFill="0" applyBorder="1" applyAlignment="1" applyProtection="true">
      <alignment horizontal="centerContinuous" vertical="bottom" textRotation="0" wrapText="false" shrinkToFit="false"/>
      <protection hidden="true"/>
    </xf>
    <xf xfId="0" fontId="10" numFmtId="0" fillId="0" borderId="19" applyFont="1" applyNumberFormat="0" applyFill="0" applyBorder="1" applyAlignment="1">
      <alignment horizontal="centerContinuous" vertical="bottom" textRotation="0" wrapText="false" shrinkToFit="false"/>
    </xf>
    <xf xfId="0" fontId="10" numFmtId="0" fillId="0" borderId="44" applyFont="1" applyNumberFormat="0" applyFill="0" applyBorder="1" applyAlignment="1">
      <alignment horizontal="centerContinuous" vertical="bottom" textRotation="0" wrapText="false" shrinkToFit="false"/>
    </xf>
    <xf xfId="0" fontId="10" numFmtId="0" fillId="0" borderId="42" applyFont="1" applyNumberFormat="0" applyFill="0" applyBorder="1" applyAlignment="0"/>
    <xf xfId="0" fontId="10" numFmtId="0" fillId="0" borderId="19" applyFont="1" applyNumberFormat="0" applyFill="0" applyBorder="1" applyAlignment="0"/>
    <xf xfId="0" fontId="10" numFmtId="0" fillId="0" borderId="44" applyFont="1" applyNumberFormat="0" applyFill="0" applyBorder="1" applyAlignment="0"/>
    <xf xfId="0" fontId="10" numFmtId="0" fillId="0" borderId="0" applyFont="1" applyNumberFormat="0" applyFill="0" applyBorder="0" applyAlignment="1" applyProtection="true">
      <alignment horizontal="centerContinuous" vertical="bottom" textRotation="0" wrapText="false" shrinkToFit="false"/>
      <protection hidden="true"/>
    </xf>
    <xf xfId="0" fontId="10" numFmtId="0" fillId="0" borderId="0" applyFont="1" applyNumberFormat="0" applyFill="0" applyBorder="0" applyAlignment="1" applyProtection="true">
      <alignment horizontal="centerContinuous" vertical="bottom" textRotation="0" wrapText="false" shrinkToFit="false"/>
      <protection locked="false"/>
    </xf>
    <xf xfId="0" fontId="10" numFmtId="0" fillId="0" borderId="0" applyFont="1" applyNumberFormat="0" applyFill="0" applyBorder="0" applyAlignment="1" applyProtection="true">
      <alignment horizontal="left" vertical="bottom" textRotation="0" wrapText="false" shrinkToFit="false"/>
      <protection locked="false"/>
    </xf>
    <xf xfId="0" fontId="10" numFmtId="0" fillId="0" borderId="39" applyFont="1" applyNumberFormat="0" applyFill="0" applyBorder="1" applyAlignment="0" applyProtection="true">
      <protection hidden="true"/>
    </xf>
    <xf xfId="0" fontId="10" numFmtId="0" fillId="0" borderId="40" applyFont="1" applyNumberFormat="0" applyFill="0" applyBorder="1" applyAlignment="0" applyProtection="true">
      <protection hidden="true"/>
    </xf>
    <xf xfId="0" fontId="10" numFmtId="0" fillId="0" borderId="40" applyFont="1" applyNumberFormat="0" applyFill="0" applyBorder="1" applyAlignment="0" applyProtection="true">
      <protection locked="false"/>
    </xf>
    <xf xfId="0" fontId="10" numFmtId="0" fillId="0" borderId="40" applyFont="1" applyNumberFormat="0" applyFill="0" applyBorder="1" applyAlignment="1">
      <alignment horizontal="left" vertical="bottom" textRotation="0" wrapText="false" shrinkToFit="false"/>
    </xf>
    <xf xfId="0" fontId="10" numFmtId="0" fillId="0" borderId="41" applyFont="1" applyNumberFormat="0" applyFill="0" applyBorder="1" applyAlignment="1">
      <alignment horizontal="left" vertical="bottom" textRotation="0" wrapText="false" shrinkToFit="false"/>
    </xf>
    <xf xfId="0" fontId="10" numFmtId="0" fillId="0" borderId="0" applyFont="1" applyNumberFormat="0" applyFill="0" applyBorder="0" applyAlignment="1">
      <alignment horizontal="centerContinuous" vertical="bottom" textRotation="0" wrapText="false" shrinkToFit="false"/>
    </xf>
    <xf xfId="0" fontId="10" numFmtId="0" fillId="0" borderId="42" applyFont="1" applyNumberFormat="0" applyFill="0" applyBorder="1" applyAlignment="0" applyProtection="true">
      <protection hidden="true"/>
    </xf>
    <xf xfId="0" fontId="10" numFmtId="0" fillId="0" borderId="19" applyFont="1" applyNumberFormat="0" applyFill="0" applyBorder="1" applyAlignment="0" applyProtection="true">
      <protection locked="false"/>
    </xf>
    <xf xfId="0" fontId="10" numFmtId="0" fillId="0" borderId="44" applyFont="1" applyNumberFormat="0" applyFill="0" applyBorder="1" applyAlignment="1">
      <alignment horizontal="left" vertical="bottom" textRotation="0" wrapText="false" shrinkToFit="false"/>
    </xf>
    <xf xfId="0" fontId="15" numFmtId="0" fillId="0" borderId="0" applyFont="1" applyNumberFormat="0" applyFill="0" applyBorder="0" applyAlignment="1" applyProtection="true">
      <alignment horizontal="centerContinuous" vertical="bottom" textRotation="0" wrapText="false" shrinkToFit="false"/>
      <protection locked="false"/>
    </xf>
    <xf xfId="0" fontId="0" numFmtId="0" fillId="0" borderId="0" applyFont="0" applyNumberFormat="0" applyFill="0" applyBorder="0" applyAlignment="1">
      <alignment vertical="center" textRotation="0" wrapText="false" shrinkToFit="false"/>
    </xf>
    <xf xfId="0" fontId="11" numFmtId="0" fillId="0" borderId="45" applyFont="1" applyNumberFormat="0" applyFill="0" applyBorder="1" applyAlignment="1" applyProtection="true">
      <alignment horizontal="centerContinuous" vertical="bottom" textRotation="0" wrapText="false" shrinkToFit="false"/>
      <protection hidden="true"/>
    </xf>
    <xf xfId="0" fontId="11" numFmtId="0" fillId="0" borderId="46" applyFont="1" applyNumberFormat="0" applyFill="0" applyBorder="1" applyAlignment="1" applyProtection="true">
      <alignment horizontal="centerContinuous" vertical="bottom" textRotation="0" wrapText="false" shrinkToFit="false"/>
      <protection hidden="true"/>
    </xf>
    <xf xfId="0" fontId="16" numFmtId="0" fillId="0" borderId="46" applyFont="1" applyNumberFormat="0" applyFill="0" applyBorder="1" applyAlignment="1">
      <alignment horizontal="centerContinuous" vertical="bottom" textRotation="0" wrapText="false" shrinkToFit="false"/>
    </xf>
    <xf xfId="0" fontId="16" numFmtId="0" fillId="0" borderId="47" applyFont="1" applyNumberFormat="0" applyFill="0" applyBorder="1" applyAlignment="1">
      <alignment horizontal="centerContinuous" vertical="bottom" textRotation="0" wrapText="false" shrinkToFit="false"/>
    </xf>
    <xf xfId="0" fontId="16" numFmtId="0" fillId="0" borderId="0" applyFont="1" applyNumberFormat="0" applyFill="0" applyBorder="0" applyAlignment="1">
      <alignment horizontal="left" vertical="bottom" textRotation="0" wrapText="false" shrinkToFit="false"/>
    </xf>
    <xf xfId="0" fontId="10" numFmtId="0" fillId="0" borderId="0" applyFont="1" applyNumberFormat="0" applyFill="0" applyBorder="0" applyAlignment="0"/>
    <xf xfId="0" fontId="10" numFmtId="0" fillId="0" borderId="12" applyFont="1" applyNumberFormat="0" applyFill="0" applyBorder="1" applyAlignment="1">
      <alignment horizontal="left" vertical="bottom" textRotation="0" wrapText="false" shrinkToFit="false"/>
    </xf>
    <xf xfId="0" fontId="10" numFmtId="0" fillId="0" borderId="0" applyFont="1" applyNumberFormat="0" applyFill="0" applyBorder="0" applyAlignment="1">
      <alignment vertical="center" textRotation="0" wrapText="false" shrinkToFit="false"/>
    </xf>
    <xf xfId="0" fontId="13" numFmtId="0" fillId="0" borderId="0" applyFont="1" applyNumberFormat="0" applyFill="0" applyBorder="0" applyAlignment="1">
      <alignment horizontal="center" vertical="center" textRotation="0" wrapText="false" shrinkToFit="false"/>
    </xf>
    <xf xfId="0" fontId="19" numFmtId="0" fillId="0" borderId="48" applyFont="1" applyNumberFormat="0" applyFill="0" applyBorder="1" applyAlignment="1">
      <alignment horizontal="center" vertical="center" textRotation="0" wrapText="true" shrinkToFit="false"/>
    </xf>
    <xf xfId="0" fontId="19" numFmtId="0" fillId="0" borderId="49" applyFont="1" applyNumberFormat="0" applyFill="0" applyBorder="1" applyAlignment="1">
      <alignment horizontal="center" vertical="center" textRotation="0" wrapText="true" shrinkToFit="false"/>
    </xf>
    <xf xfId="0" fontId="3" numFmtId="0" fillId="5" borderId="0" applyFont="1" applyNumberFormat="0" applyFill="1" applyBorder="0" applyAlignment="1">
      <alignment horizontal="left" vertical="center" textRotation="0" wrapText="false" shrinkToFit="false"/>
    </xf>
    <xf xfId="0" fontId="20" numFmtId="0" fillId="5" borderId="23" applyFont="1" applyNumberFormat="0" applyFill="1" applyBorder="1" applyAlignment="1">
      <alignment vertical="center" textRotation="0" wrapText="true" shrinkToFit="false"/>
    </xf>
    <xf xfId="0" fontId="21" numFmtId="0" fillId="6" borderId="48" applyFont="1" applyNumberFormat="0" applyFill="1" applyBorder="1" applyAlignment="1" applyProtection="true">
      <alignment vertical="center" textRotation="0" wrapText="true" shrinkToFit="false"/>
      <protection locked="false"/>
    </xf>
    <xf xfId="0" fontId="0" numFmtId="0" fillId="0" borderId="0" applyFont="0" applyNumberFormat="0" applyFill="0" applyBorder="0" applyAlignment="1">
      <alignment vertical="center" textRotation="0" wrapText="false" shrinkToFit="false"/>
    </xf>
    <xf xfId="0" fontId="20" numFmtId="0" fillId="5" borderId="50" applyFont="1" applyNumberFormat="0" applyFill="1" applyBorder="1" applyAlignment="1">
      <alignment vertical="center" textRotation="0" wrapText="true" shrinkToFit="false"/>
    </xf>
    <xf xfId="0" fontId="22" numFmtId="0" fillId="0" borderId="23" applyFont="1" applyNumberFormat="0" applyFill="0" applyBorder="1" applyAlignment="1">
      <alignment horizontal="justify" vertical="center" textRotation="0" wrapText="true" shrinkToFit="false"/>
    </xf>
    <xf xfId="0" fontId="22" numFmtId="0" fillId="6" borderId="47" applyFont="1" applyNumberFormat="0" applyFill="1" applyBorder="1" applyAlignment="1">
      <alignment vertical="center" textRotation="0" wrapText="true" shrinkToFit="false"/>
    </xf>
    <xf xfId="0" fontId="22" numFmtId="0" fillId="0" borderId="50" applyFont="1" applyNumberFormat="0" applyFill="0" applyBorder="1" applyAlignment="1">
      <alignment vertical="center" textRotation="0" wrapText="true" shrinkToFit="false"/>
    </xf>
    <xf xfId="0" fontId="22" numFmtId="0" fillId="6" borderId="48" applyFont="1" applyNumberFormat="0" applyFill="1" applyBorder="1" applyAlignment="1">
      <alignment vertical="center" textRotation="0" wrapText="true" shrinkToFit="false"/>
    </xf>
    <xf xfId="0" fontId="22" numFmtId="0" fillId="0" borderId="0" applyFont="1" applyNumberFormat="0" applyFill="0" applyBorder="0" applyAlignment="1">
      <alignment horizontal="justify" vertical="center" textRotation="0" wrapText="false" shrinkToFit="false"/>
    </xf>
    <xf xfId="0" fontId="23" numFmtId="0" fillId="5" borderId="50" applyFont="1" applyNumberFormat="0" applyFill="1" applyBorder="1" applyAlignment="1">
      <alignment horizontal="center" vertical="center" textRotation="0" wrapText="true" shrinkToFit="false"/>
    </xf>
    <xf xfId="0" fontId="20" numFmtId="0" fillId="5" borderId="50" applyFont="1" applyNumberFormat="0" applyFill="1" applyBorder="1" applyAlignment="1">
      <alignment horizontal="center" vertical="center" textRotation="0" wrapText="true" shrinkToFit="false"/>
    </xf>
    <xf xfId="0" fontId="24" numFmtId="0" fillId="0" borderId="0" applyFont="1" applyNumberFormat="0" applyFill="0" applyBorder="0" applyAlignment="1">
      <alignment vertical="center" textRotation="0" wrapText="true" shrinkToFit="false"/>
    </xf>
    <xf xfId="0" fontId="22" numFmtId="0" fillId="0" borderId="0" applyFont="1" applyNumberFormat="0" applyFill="0" applyBorder="0" applyAlignment="1">
      <alignment vertical="center" textRotation="0" wrapText="false" shrinkToFit="false"/>
    </xf>
    <xf xfId="0" fontId="22" numFmtId="0" fillId="0" borderId="0" applyFont="1" applyNumberFormat="0" applyFill="0" applyBorder="0" applyAlignment="1">
      <alignment vertical="center" textRotation="0" wrapText="true" shrinkToFit="false"/>
    </xf>
    <xf xfId="0" fontId="25" numFmtId="0" fillId="0" borderId="0" applyFont="1" applyNumberFormat="0" applyFill="0" applyBorder="0" applyAlignment="1">
      <alignment vertical="center" textRotation="0" wrapText="false" shrinkToFit="false"/>
    </xf>
    <xf xfId="0" fontId="22" numFmtId="0" fillId="0" borderId="0" applyFont="1" applyNumberFormat="0" applyFill="0" applyBorder="0" applyAlignment="1" applyProtection="true">
      <alignment vertical="center" textRotation="0" wrapText="false" shrinkToFit="false"/>
      <protection locked="false"/>
    </xf>
    <xf xfId="0" fontId="22" numFmtId="0" fillId="0" borderId="0" applyFont="1" applyNumberFormat="0" applyFill="0" applyBorder="0" applyAlignment="1">
      <alignment horizontal="left" vertical="center" textRotation="0" wrapText="false" shrinkToFit="false"/>
    </xf>
    <xf xfId="0" fontId="26" numFmtId="0" fillId="0" borderId="0" applyFont="1" applyNumberFormat="0" applyFill="0" applyBorder="0" applyAlignment="1">
      <alignment vertical="center" textRotation="0" wrapText="true" shrinkToFit="false"/>
    </xf>
    <xf xfId="0" fontId="26" numFmtId="0" fillId="0" borderId="0" applyFont="1" applyNumberFormat="0" applyFill="0" applyBorder="0" applyAlignment="1">
      <alignment vertical="bottom" textRotation="0" wrapText="true" shrinkToFit="false"/>
    </xf>
    <xf xfId="0" fontId="3" numFmtId="0" fillId="0" borderId="51" applyFont="1" applyNumberFormat="0" applyFill="0" applyBorder="1" applyAlignment="1">
      <alignment horizontal="center" vertical="bottom" textRotation="0" wrapText="false" shrinkToFit="false"/>
    </xf>
    <xf xfId="0" fontId="0" numFmtId="0" fillId="0" borderId="52" applyFont="0" applyNumberFormat="0" applyFill="0" applyBorder="1" applyAlignment="1">
      <alignment horizontal="center" vertical="bottom" textRotation="0" wrapText="false" shrinkToFit="false"/>
    </xf>
    <xf xfId="0" fontId="3" numFmtId="0" fillId="3" borderId="52" applyFont="1" applyNumberFormat="0" applyFill="1" applyBorder="1" applyAlignment="1">
      <alignment horizontal="center" vertical="bottom" textRotation="0" wrapText="false" shrinkToFit="false"/>
    </xf>
    <xf xfId="0" fontId="0" numFmtId="0" fillId="3" borderId="52" applyFont="0" applyNumberFormat="0" applyFill="1" applyBorder="1" applyAlignment="1">
      <alignment horizontal="center" vertical="bottom" textRotation="0" wrapText="false" shrinkToFit="false"/>
    </xf>
    <xf xfId="0" fontId="3" numFmtId="0" fillId="0" borderId="52" applyFont="1" applyNumberFormat="0" applyFill="0" applyBorder="1" applyAlignment="1">
      <alignment horizontal="center" vertical="bottom" textRotation="0" wrapText="false" shrinkToFit="false"/>
    </xf>
    <xf xfId="0" fontId="0" numFmtId="0" fillId="3" borderId="53" applyFont="0" applyNumberFormat="0" applyFill="1" applyBorder="1" applyAlignment="1">
      <alignment horizontal="center" vertical="bottom" textRotation="0" wrapText="false" shrinkToFit="false"/>
    </xf>
    <xf xfId="0" fontId="3" numFmtId="0" fillId="2" borderId="16" applyFont="1" applyNumberFormat="0" applyFill="1" applyBorder="1" applyAlignment="1">
      <alignment horizontal="center" vertical="center" textRotation="0" wrapText="false" shrinkToFit="false"/>
    </xf>
    <xf xfId="0" fontId="3" numFmtId="0" fillId="2" borderId="9" applyFont="1" applyNumberFormat="0" applyFill="1" applyBorder="1" applyAlignment="1">
      <alignment horizontal="center" vertical="center" textRotation="0" wrapText="false" shrinkToFit="false"/>
    </xf>
    <xf xfId="0" fontId="3" numFmtId="0" fillId="2" borderId="10" applyFont="1" applyNumberFormat="0" applyFill="1" applyBorder="1" applyAlignment="1">
      <alignment horizontal="center" vertical="center" textRotation="0" wrapText="false" shrinkToFit="false"/>
    </xf>
    <xf xfId="0" fontId="27" numFmtId="0" fillId="0" borderId="54" applyFont="1" applyNumberFormat="0" applyFill="0" applyBorder="1" applyAlignment="1">
      <alignment horizontal="center" vertical="center" textRotation="0" wrapText="false" shrinkToFit="false"/>
    </xf>
    <xf xfId="0" fontId="3" numFmtId="0" fillId="0" borderId="0" applyFont="1" applyNumberFormat="0" applyFill="0" applyBorder="0" applyAlignment="0"/>
    <xf xfId="0" fontId="0" numFmtId="0" fillId="0" borderId="8" applyFont="0" applyNumberFormat="0" applyFill="0" applyBorder="1" applyAlignment="1">
      <alignment vertical="bottom" textRotation="90" wrapText="false" shrinkToFit="false"/>
    </xf>
    <xf xfId="0" fontId="0" numFmtId="0" fillId="0" borderId="3" applyFont="0" applyNumberFormat="0" applyFill="0" applyBorder="1" applyAlignment="1">
      <alignment vertical="bottom" textRotation="90" wrapText="false" shrinkToFit="false"/>
    </xf>
    <xf xfId="0" fontId="0" numFmtId="0" fillId="0" borderId="3" applyFont="0" applyNumberFormat="0" applyFill="0" applyBorder="1" applyAlignment="1">
      <alignment horizontal="center" vertical="bottom" textRotation="90" wrapText="false" shrinkToFit="false"/>
    </xf>
    <xf xfId="0" fontId="0" numFmtId="0" fillId="0" borderId="4" applyFont="0" applyNumberFormat="0" applyFill="0" applyBorder="1" applyAlignment="1">
      <alignment vertical="bottom" textRotation="90" wrapText="false" shrinkToFit="false"/>
    </xf>
    <xf xfId="0" fontId="27" numFmtId="0" fillId="0" borderId="55" applyFont="1" applyNumberFormat="0" applyFill="0" applyBorder="1" applyAlignment="1">
      <alignment horizontal="center" vertical="center" textRotation="0" wrapText="false" shrinkToFit="false"/>
    </xf>
    <xf xfId="0" fontId="0" numFmtId="0" fillId="0" borderId="56" applyFont="0" applyNumberFormat="0" applyFill="0" applyBorder="1" applyAlignment="1">
      <alignment horizontal="center" vertical="bottom" textRotation="0" wrapText="false" shrinkToFit="false"/>
    </xf>
    <xf xfId="0" fontId="0" numFmtId="0" fillId="0" borderId="57" applyFont="0" applyNumberFormat="0" applyFill="0" applyBorder="1" applyAlignment="1">
      <alignment horizontal="center" vertical="bottom" textRotation="0" wrapText="false" shrinkToFit="false"/>
    </xf>
    <xf xfId="0" fontId="0" numFmtId="0" fillId="0" borderId="58" applyFont="0" applyNumberFormat="0" applyFill="0" applyBorder="1" applyAlignment="1">
      <alignment horizontal="center" vertical="bottom" textRotation="0" wrapText="false" shrinkToFit="false"/>
    </xf>
    <xf xfId="0" fontId="0" numFmtId="0" fillId="0" borderId="59" applyFont="0" applyNumberFormat="0" applyFill="0" applyBorder="1" applyAlignment="1">
      <alignment horizontal="center" vertical="bottom" textRotation="0" wrapText="false" shrinkToFit="false"/>
    </xf>
    <xf xfId="0" fontId="18" numFmtId="0" fillId="0" borderId="0" applyFont="1" applyNumberFormat="0" applyFill="0" applyBorder="0" applyAlignment="1" applyProtection="true">
      <alignment horizontal="left" vertical="bottom" textRotation="0" wrapText="false" shrinkToFit="false"/>
      <protection hidden="true"/>
    </xf>
    <xf xfId="0" fontId="18" numFmtId="0" fillId="0" borderId="0" applyFont="1" applyNumberFormat="0" applyFill="0" applyBorder="0" applyAlignment="1" applyProtection="true">
      <alignment horizontal="center" vertical="bottom" textRotation="0" wrapText="false" shrinkToFit="false"/>
      <protection hidden="true"/>
    </xf>
    <xf xfId="0" fontId="18" numFmtId="0" fillId="0" borderId="0" applyFont="1" applyNumberFormat="0" applyFill="0" applyBorder="0" applyAlignment="1" applyProtection="true">
      <alignment vertical="bottom" textRotation="0" wrapText="true" shrinkToFit="false"/>
      <protection hidden="true"/>
    </xf>
    <xf xfId="0" fontId="28" numFmtId="0" fillId="0" borderId="0" applyFont="1" applyNumberFormat="0" applyFill="0" applyBorder="0" applyAlignment="1" applyProtection="true">
      <alignment horizontal="centerContinuous" vertical="bottom" textRotation="0" wrapText="true" shrinkToFit="false"/>
      <protection hidden="true"/>
    </xf>
    <xf xfId="0" fontId="15" numFmtId="0" fillId="0" borderId="0" applyFont="1" applyNumberFormat="0" applyFill="0" applyBorder="0" applyAlignment="1" applyProtection="true">
      <alignment horizontal="centerContinuous" vertical="bottom" textRotation="0" wrapText="false" shrinkToFit="false"/>
      <protection hidden="true"/>
    </xf>
    <xf xfId="0" fontId="15" numFmtId="0" fillId="0" borderId="0" applyFont="1" applyNumberFormat="0" applyFill="0" applyBorder="0" applyAlignment="1" applyProtection="true">
      <alignment horizontal="center" vertical="bottom" textRotation="0" wrapText="false" shrinkToFit="false"/>
      <protection hidden="true"/>
    </xf>
    <xf xfId="0" fontId="15" numFmtId="0" fillId="0" borderId="0" applyFont="1" applyNumberFormat="0" applyFill="0" applyBorder="0" applyAlignment="1" applyProtection="true">
      <alignment horizontal="left" vertical="bottom" textRotation="0" wrapText="false" shrinkToFit="false"/>
      <protection hidden="true"/>
    </xf>
    <xf xfId="0" fontId="18" quotePrefix="1" numFmtId="0" fillId="0" borderId="0" applyFont="1" applyNumberFormat="0" applyFill="0" applyBorder="0" applyAlignment="1" applyProtection="true">
      <alignment horizontal="left" vertical="bottom" textRotation="0" wrapText="false" shrinkToFit="false"/>
      <protection hidden="true"/>
    </xf>
    <xf xfId="0" fontId="28" numFmtId="0" fillId="0" borderId="0" applyFont="1" applyNumberFormat="0" applyFill="0" applyBorder="0" applyAlignment="1" applyProtection="true">
      <alignment horizontal="center" vertical="bottom" textRotation="0" wrapText="true" shrinkToFit="false"/>
      <protection hidden="true"/>
    </xf>
    <xf xfId="0" fontId="10" numFmtId="0" fillId="0" borderId="0" applyFont="1" applyNumberFormat="0" applyFill="0" applyBorder="0" applyAlignment="0" applyProtection="true">
      <protection hidden="true"/>
    </xf>
    <xf xfId="0" fontId="16" numFmtId="0" fillId="0" borderId="0" applyFont="1" applyNumberFormat="0" applyFill="0" applyBorder="0" applyAlignment="1" applyProtection="true">
      <alignment horizontal="centerContinuous" vertical="bottom" textRotation="0" wrapText="false" shrinkToFit="false"/>
      <protection hidden="true"/>
    </xf>
    <xf xfId="0" fontId="18" numFmtId="0" fillId="0" borderId="0" applyFont="1" applyNumberFormat="0" applyFill="0" applyBorder="0" applyAlignment="0" applyProtection="true">
      <protection hidden="true"/>
    </xf>
    <xf xfId="0" fontId="18" numFmtId="0" fillId="0" borderId="0" applyFont="1" applyNumberFormat="0" applyFill="0" applyBorder="0" applyAlignment="1" applyProtection="true">
      <alignment horizontal="centerContinuous" vertical="bottom" textRotation="0" wrapText="false" shrinkToFit="false"/>
      <protection hidden="true"/>
    </xf>
    <xf xfId="0" fontId="28" numFmtId="0" fillId="0" borderId="0" applyFont="1" applyNumberFormat="0" applyFill="0" applyBorder="0" applyAlignment="1" applyProtection="true">
      <alignment horizontal="center" vertical="bottom" textRotation="0" wrapText="false" shrinkToFit="false"/>
      <protection hidden="true"/>
    </xf>
    <xf xfId="0" fontId="29" numFmtId="0" fillId="0" borderId="0" applyFont="1" applyNumberFormat="0" applyFill="0" applyBorder="0" applyAlignment="0" applyProtection="true">
      <protection hidden="true"/>
    </xf>
    <xf xfId="0" fontId="3" numFmtId="0" fillId="0" borderId="60" applyFont="1" applyNumberFormat="0" applyFill="0" applyBorder="1" applyAlignment="1">
      <alignment horizontal="center" vertical="center" textRotation="0" wrapText="false" shrinkToFit="false"/>
    </xf>
    <xf xfId="0" fontId="8" numFmtId="0" fillId="0" borderId="23" applyFont="1" applyNumberFormat="0" applyFill="0" applyBorder="1" applyAlignment="1" applyProtection="true">
      <alignment horizontal="center" vertical="center" textRotation="0" wrapText="true" shrinkToFit="false"/>
      <protection hidden="true"/>
    </xf>
    <xf xfId="0" fontId="9" numFmtId="0" fillId="0" borderId="23" applyFont="1" applyNumberFormat="0" applyFill="0" applyBorder="1" applyAlignment="1" applyProtection="true">
      <alignment horizontal="center" vertical="center" textRotation="0" wrapText="true" shrinkToFit="false"/>
      <protection hidden="true"/>
    </xf>
    <xf xfId="0" fontId="2" numFmtId="0" fillId="0" borderId="6" applyFont="1" applyNumberFormat="0" applyFill="0" applyBorder="1" applyAlignment="1">
      <alignment horizontal="left" vertical="bottom" textRotation="0" wrapText="false" shrinkToFit="false" indent="1"/>
    </xf>
    <xf xfId="0" fontId="2" numFmtId="0" fillId="0" borderId="0" applyFont="1" applyNumberFormat="0" applyFill="0" applyBorder="0" applyAlignment="1">
      <alignment horizontal="left" vertical="bottom" textRotation="0" wrapText="false" shrinkToFit="false"/>
    </xf>
    <xf xfId="0" fontId="2" numFmtId="0" fillId="0" borderId="5" applyFont="1" applyNumberFormat="0" applyFill="0" applyBorder="1" applyAlignment="1">
      <alignment horizontal="left" vertical="bottom" textRotation="0" wrapText="false" shrinkToFit="false"/>
    </xf>
    <xf xfId="0" fontId="0" numFmtId="0" fillId="0" borderId="0" applyFont="0" applyNumberFormat="0" applyFill="0" applyBorder="0" applyAlignment="1">
      <alignment horizontal="left" vertical="bottom" textRotation="0" wrapText="false" shrinkToFit="false"/>
    </xf>
    <xf xfId="0" fontId="10" numFmtId="0" fillId="0" borderId="61" applyFont="1" applyNumberFormat="0" applyFill="0" applyBorder="1" applyAlignment="1" applyProtection="true">
      <alignment horizontal="left" vertical="center" textRotation="0" wrapText="false" shrinkToFit="false"/>
      <protection hidden="true"/>
    </xf>
    <xf xfId="0" fontId="10" numFmtId="0" fillId="0" borderId="62" applyFont="1" applyNumberFormat="0" applyFill="0" applyBorder="1" applyAlignment="1" applyProtection="true">
      <alignment horizontal="center" vertical="center" textRotation="0" wrapText="false" shrinkToFit="false"/>
      <protection hidden="true"/>
    </xf>
    <xf xfId="0" fontId="10" numFmtId="0" fillId="0" borderId="63" applyFont="1" applyNumberFormat="0" applyFill="0" applyBorder="1" applyAlignment="1" applyProtection="true">
      <alignment horizontal="center" vertical="center" textRotation="0" wrapText="false" shrinkToFit="false"/>
      <protection hidden="true"/>
    </xf>
    <xf xfId="0" fontId="10" numFmtId="0" fillId="0" borderId="64" applyFont="1" applyNumberFormat="0" applyFill="0" applyBorder="1" applyAlignment="1" applyProtection="true">
      <alignment horizontal="center" vertical="center" textRotation="0" wrapText="false" shrinkToFit="false"/>
      <protection hidden="true"/>
    </xf>
    <xf xfId="0" fontId="30" numFmtId="1" fillId="0" borderId="65" applyFont="1" applyNumberFormat="1" applyFill="0" applyBorder="1" applyAlignment="1" applyProtection="true">
      <alignment horizontal="center" vertical="center" textRotation="0" wrapText="true" shrinkToFit="false"/>
      <protection hidden="true"/>
    </xf>
    <xf xfId="0" fontId="31" numFmtId="1" fillId="0" borderId="66" applyFont="1" applyNumberFormat="1" applyFill="0" applyBorder="1" applyAlignment="1" applyProtection="true">
      <alignment horizontal="center" vertical="center" textRotation="0" wrapText="true" shrinkToFit="false"/>
      <protection hidden="true"/>
    </xf>
    <xf xfId="0" fontId="31" numFmtId="1" fillId="0" borderId="67" applyFont="1" applyNumberFormat="1" applyFill="0" applyBorder="1" applyAlignment="1" applyProtection="true">
      <alignment horizontal="center" vertical="center" textRotation="0" wrapText="true" shrinkToFit="false"/>
      <protection hidden="true"/>
    </xf>
    <xf xfId="0" fontId="31" numFmtId="1" fillId="0" borderId="68" applyFont="1" applyNumberFormat="1" applyFill="0" applyBorder="1" applyAlignment="1" applyProtection="true">
      <alignment horizontal="center" vertical="center" textRotation="0" wrapText="true" shrinkToFit="false"/>
      <protection hidden="true"/>
    </xf>
    <xf xfId="0" fontId="30" numFmtId="1" fillId="0" borderId="69" applyFont="1" applyNumberFormat="1" applyFill="0" applyBorder="1" applyAlignment="1" applyProtection="true">
      <alignment horizontal="center" vertical="center" textRotation="0" wrapText="true" shrinkToFit="false"/>
      <protection hidden="true"/>
    </xf>
    <xf xfId="0" fontId="32" numFmtId="1" fillId="0" borderId="69" applyFont="1" applyNumberFormat="1" applyFill="0" applyBorder="1" applyAlignment="1" applyProtection="true">
      <alignment horizontal="center" vertical="center" textRotation="0" wrapText="true" shrinkToFit="false"/>
      <protection hidden="true"/>
    </xf>
    <xf xfId="0" fontId="33" numFmtId="9" fillId="0" borderId="65" applyFont="1" applyNumberFormat="1" applyFill="0" applyBorder="1" applyAlignment="1" applyProtection="true">
      <alignment horizontal="center" vertical="center" textRotation="0" wrapText="true" shrinkToFit="false"/>
      <protection hidden="true"/>
    </xf>
    <xf xfId="0" fontId="31" numFmtId="1" fillId="0" borderId="63" applyFont="1" applyNumberFormat="1" applyFill="0" applyBorder="1" applyAlignment="1" applyProtection="true">
      <alignment horizontal="center" vertical="center" textRotation="0" wrapText="true" shrinkToFit="false"/>
      <protection hidden="true"/>
    </xf>
    <xf xfId="0" fontId="31" numFmtId="1" fillId="0" borderId="62" applyFont="1" applyNumberFormat="1" applyFill="0" applyBorder="1" applyAlignment="1" applyProtection="true">
      <alignment horizontal="center" vertical="center" textRotation="0" wrapText="true" shrinkToFit="false"/>
      <protection hidden="true"/>
    </xf>
    <xf xfId="0" fontId="31" numFmtId="1" fillId="0" borderId="70" applyFont="1" applyNumberFormat="1" applyFill="0" applyBorder="1" applyAlignment="1" applyProtection="true">
      <alignment horizontal="center" vertical="center" textRotation="0" wrapText="true" shrinkToFit="false"/>
      <protection hidden="true"/>
    </xf>
    <xf xfId="0" fontId="32" numFmtId="1" fillId="0" borderId="65" applyFont="1" applyNumberFormat="1" applyFill="0" applyBorder="1" applyAlignment="1" applyProtection="true">
      <alignment horizontal="center" vertical="center" textRotation="0" wrapText="true" shrinkToFit="false"/>
      <protection hidden="true"/>
    </xf>
    <xf xfId="0" fontId="31" numFmtId="1" fillId="0" borderId="71" applyFont="1" applyNumberFormat="1" applyFill="0" applyBorder="1" applyAlignment="1" applyProtection="true">
      <alignment horizontal="center" vertical="center" textRotation="0" wrapText="true" shrinkToFit="false"/>
      <protection hidden="true"/>
    </xf>
    <xf xfId="0" fontId="31" numFmtId="1" fillId="0" borderId="72" applyFont="1" applyNumberFormat="1" applyFill="0" applyBorder="1" applyAlignment="1" applyProtection="true">
      <alignment horizontal="center" vertical="center" textRotation="0" wrapText="true" shrinkToFit="false"/>
      <protection hidden="true"/>
    </xf>
    <xf xfId="0" fontId="31" numFmtId="1" fillId="0" borderId="73" applyFont="1" applyNumberFormat="1" applyFill="0" applyBorder="1" applyAlignment="1" applyProtection="true">
      <alignment horizontal="center" vertical="center" textRotation="0" wrapText="true" shrinkToFit="false"/>
      <protection hidden="true"/>
    </xf>
    <xf xfId="0" fontId="10" numFmtId="0" fillId="0" borderId="74" applyFont="1" applyNumberFormat="0" applyFill="0" applyBorder="1" applyAlignment="0"/>
    <xf xfId="0" fontId="10" numFmtId="0" fillId="0" borderId="45" applyFont="1" applyNumberFormat="0" applyFill="0" applyBorder="1" applyAlignment="1" applyProtection="true">
      <alignment horizontal="centerContinuous" vertical="bottom" textRotation="0" wrapText="false" shrinkToFit="false"/>
      <protection hidden="true"/>
    </xf>
    <xf xfId="0" fontId="10" numFmtId="0" fillId="0" borderId="46" applyFont="1" applyNumberFormat="0" applyFill="0" applyBorder="1" applyAlignment="1" applyProtection="true">
      <alignment horizontal="centerContinuous" vertical="bottom" textRotation="0" wrapText="false" shrinkToFit="false"/>
      <protection hidden="true"/>
    </xf>
    <xf xfId="0" fontId="17" numFmtId="0" fillId="0" borderId="75" applyFont="1" applyNumberFormat="0" applyFill="0" applyBorder="1" applyAlignment="1" applyProtection="true">
      <alignment horizontal="center" vertical="bottom" textRotation="0" wrapText="false" shrinkToFit="false"/>
      <protection hidden="true"/>
    </xf>
    <xf xfId="0" fontId="17" numFmtId="0" fillId="0" borderId="54" applyFont="1" applyNumberFormat="0" applyFill="0" applyBorder="1" applyAlignment="1" applyProtection="true">
      <alignment horizontal="center" vertical="bottom" textRotation="0" wrapText="false" shrinkToFit="false"/>
      <protection hidden="true"/>
    </xf>
    <xf xfId="0" fontId="30" numFmtId="1" fillId="0" borderId="23" applyFont="1" applyNumberFormat="1" applyFill="0" applyBorder="1" applyAlignment="1" applyProtection="true">
      <alignment horizontal="center" vertical="center" textRotation="0" wrapText="true" shrinkToFit="false"/>
      <protection hidden="true"/>
    </xf>
    <xf xfId="0" fontId="17" numFmtId="0" fillId="0" borderId="76" applyFont="1" applyNumberFormat="0" applyFill="0" applyBorder="1" applyAlignment="1" applyProtection="true">
      <alignment horizontal="center" vertical="bottom" textRotation="0" wrapText="false" shrinkToFit="false"/>
      <protection hidden="true"/>
    </xf>
    <xf xfId="0" fontId="17" numFmtId="0" fillId="0" borderId="77" applyFont="1" applyNumberFormat="0" applyFill="0" applyBorder="1" applyAlignment="1" applyProtection="true">
      <alignment horizontal="center" vertical="bottom" textRotation="0" wrapText="false" shrinkToFit="false"/>
      <protection hidden="true"/>
    </xf>
    <xf xfId="0" fontId="32" numFmtId="1" fillId="0" borderId="23" applyFont="1" applyNumberFormat="1" applyFill="0" applyBorder="1" applyAlignment="1" applyProtection="true">
      <alignment horizontal="center" vertical="center" textRotation="0" wrapText="true" shrinkToFit="false"/>
      <protection hidden="true"/>
    </xf>
    <xf xfId="0" fontId="33" numFmtId="9" fillId="0" borderId="23" applyFont="1" applyNumberFormat="1" applyFill="0" applyBorder="1" applyAlignment="1" applyProtection="true">
      <alignment horizontal="center" vertical="center" textRotation="0" wrapText="true" shrinkToFit="false"/>
      <protection hidden="true"/>
    </xf>
    <xf xfId="0" fontId="33" numFmtId="9" fillId="0" borderId="69" applyFont="1" applyNumberFormat="1" applyFill="0" applyBorder="1" applyAlignment="1" applyProtection="true">
      <alignment horizontal="center" vertical="center" textRotation="0" wrapText="true" shrinkToFit="false"/>
      <protection hidden="true"/>
    </xf>
    <xf xfId="0" fontId="10" numFmtId="0" fillId="0" borderId="61" applyFont="1" applyNumberFormat="0" applyFill="0" applyBorder="1" applyAlignment="0" applyProtection="true">
      <protection hidden="true"/>
    </xf>
    <xf xfId="0" fontId="30" numFmtId="1" fillId="0" borderId="78" applyFont="1" applyNumberFormat="1" applyFill="0" applyBorder="1" applyAlignment="1" applyProtection="true">
      <alignment horizontal="center" vertical="center" textRotation="0" wrapText="true" shrinkToFit="false"/>
      <protection hidden="true"/>
    </xf>
    <xf xfId="0" fontId="30" numFmtId="1" fillId="0" borderId="79" applyFont="1" applyNumberFormat="1" applyFill="0" applyBorder="1" applyAlignment="1" applyProtection="true">
      <alignment horizontal="center" vertical="center" textRotation="0" wrapText="true" shrinkToFit="false"/>
      <protection hidden="true"/>
    </xf>
    <xf xfId="0" fontId="17" numFmtId="1" fillId="0" borderId="76" applyFont="1" applyNumberFormat="1" applyFill="0" applyBorder="1" applyAlignment="1" applyProtection="true">
      <alignment horizontal="center" vertical="bottom" textRotation="0" wrapText="false" shrinkToFit="false"/>
      <protection hidden="true"/>
    </xf>
    <xf xfId="0" fontId="10" numFmtId="0" fillId="0" borderId="61" applyFont="1" applyNumberFormat="0" applyFill="0" applyBorder="1" applyAlignment="1" applyProtection="true">
      <alignment horizontal="left" vertical="bottom" textRotation="0" wrapText="false" shrinkToFit="false"/>
      <protection hidden="true"/>
    </xf>
    <xf xfId="0" fontId="10" numFmtId="0" fillId="0" borderId="62" applyFont="1" applyNumberFormat="0" applyFill="0" applyBorder="1" applyAlignment="1" applyProtection="true">
      <alignment horizontal="center" vertical="bottom" textRotation="0" wrapText="false" shrinkToFit="false"/>
      <protection hidden="true"/>
    </xf>
    <xf xfId="0" fontId="10" numFmtId="0" fillId="0" borderId="63" applyFont="1" applyNumberFormat="0" applyFill="0" applyBorder="1" applyAlignment="1" applyProtection="true">
      <alignment horizontal="center" vertical="bottom" textRotation="0" wrapText="false" shrinkToFit="false"/>
      <protection hidden="true"/>
    </xf>
    <xf xfId="0" fontId="10" numFmtId="0" fillId="0" borderId="64" applyFont="1" applyNumberFormat="0" applyFill="0" applyBorder="1" applyAlignment="1" applyProtection="true">
      <alignment horizontal="center" vertical="bottom" textRotation="0" wrapText="false" shrinkToFit="false"/>
      <protection hidden="true"/>
    </xf>
    <xf xfId="0" fontId="31" numFmtId="1" fillId="0" borderId="80" applyFont="1" applyNumberFormat="1" applyFill="0" applyBorder="1" applyAlignment="1" applyProtection="true">
      <alignment horizontal="center" vertical="center" textRotation="0" wrapText="true" shrinkToFit="false"/>
      <protection hidden="true"/>
    </xf>
    <xf xfId="0" fontId="31" numFmtId="1" fillId="0" borderId="81" applyFont="1" applyNumberFormat="1" applyFill="0" applyBorder="1" applyAlignment="1" applyProtection="true">
      <alignment horizontal="center" vertical="center" textRotation="0" wrapText="true" shrinkToFit="false"/>
      <protection hidden="true"/>
    </xf>
    <xf xfId="0" fontId="31" numFmtId="1" fillId="0" borderId="82" applyFont="1" applyNumberFormat="1" applyFill="0" applyBorder="1" applyAlignment="1" applyProtection="true">
      <alignment horizontal="center" vertical="center" textRotation="0" wrapText="true" shrinkToFit="false"/>
      <protection hidden="true"/>
    </xf>
    <xf xfId="0" fontId="32" numFmtId="1" fillId="0" borderId="79" applyFont="1" applyNumberFormat="1" applyFill="0" applyBorder="1" applyAlignment="1" applyProtection="true">
      <alignment horizontal="center" vertical="center" textRotation="0" wrapText="true" shrinkToFit="false"/>
      <protection hidden="true"/>
    </xf>
    <xf xfId="0" fontId="33" numFmtId="9" fillId="0" borderId="79" applyFont="1" applyNumberFormat="1" applyFill="0" applyBorder="1" applyAlignment="1" applyProtection="true">
      <alignment horizontal="center" vertical="center" textRotation="0" wrapText="true" shrinkToFit="false"/>
      <protection hidden="true"/>
    </xf>
    <xf xfId="0" fontId="34" numFmtId="0" fillId="0" borderId="0" applyFont="1" applyNumberFormat="0" applyFill="0" applyBorder="0" applyAlignment="0"/>
    <xf xfId="0" fontId="10" numFmtId="0" fillId="0" borderId="0" applyFont="1" applyNumberFormat="0" applyFill="0" applyBorder="0" applyAlignment="1" applyProtection="true">
      <alignment horizontal="center" vertical="bottom" textRotation="0" wrapText="false" shrinkToFit="false"/>
      <protection hidden="true"/>
    </xf>
    <xf xfId="0" fontId="10" numFmtId="0" fillId="0" borderId="80" applyFont="1" applyNumberFormat="0" applyFill="0" applyBorder="1" applyAlignment="1" applyProtection="true">
      <alignment horizontal="center" vertical="bottom" textRotation="0" wrapText="false" shrinkToFit="false"/>
      <protection hidden="true"/>
    </xf>
    <xf xfId="0" fontId="10" numFmtId="0" fillId="0" borderId="61" applyFont="1" applyNumberFormat="0" applyFill="0" applyBorder="1" applyAlignment="1" applyProtection="true">
      <alignment vertical="center" textRotation="0" wrapText="true" shrinkToFit="false"/>
      <protection hidden="true"/>
    </xf>
    <xf xfId="0" fontId="31" numFmtId="1" fillId="0" borderId="83" applyFont="1" applyNumberFormat="1" applyFill="0" applyBorder="1" applyAlignment="1" applyProtection="true">
      <alignment horizontal="center" vertical="center" textRotation="0" wrapText="true" shrinkToFit="false"/>
      <protection hidden="true"/>
    </xf>
    <xf xfId="0" fontId="10" numFmtId="0" fillId="0" borderId="61" applyFont="1" applyNumberFormat="0" applyFill="0" applyBorder="1" applyAlignment="1">
      <alignment horizontal="left" vertical="bottom" textRotation="0" wrapText="false" shrinkToFit="false"/>
    </xf>
    <xf xfId="0" fontId="10" numFmtId="0" fillId="0" borderId="21" applyFont="1" applyNumberFormat="0" applyFill="0" applyBorder="1" applyAlignment="1" applyProtection="true">
      <alignment horizontal="left" vertical="bottom" textRotation="0" wrapText="false" shrinkToFit="false"/>
      <protection hidden="true"/>
    </xf>
    <xf xfId="0" fontId="10" numFmtId="0" fillId="0" borderId="81" applyFont="1" applyNumberFormat="0" applyFill="0" applyBorder="1" applyAlignment="1" applyProtection="true">
      <alignment horizontal="center" vertical="bottom" textRotation="0" wrapText="false" shrinkToFit="false"/>
      <protection hidden="true"/>
    </xf>
    <xf xfId="0" fontId="31" numFmtId="1" fillId="0" borderId="84" applyFont="1" applyNumberFormat="1" applyFill="0" applyBorder="1" applyAlignment="1" applyProtection="true">
      <alignment horizontal="center" vertical="center" textRotation="0" wrapText="true" shrinkToFit="false"/>
      <protection hidden="true"/>
    </xf>
    <xf xfId="0" fontId="31" numFmtId="1" fillId="0" borderId="85" applyFont="1" applyNumberFormat="1" applyFill="0" applyBorder="1" applyAlignment="1" applyProtection="true">
      <alignment horizontal="center" vertical="center" textRotation="0" wrapText="true" shrinkToFit="false"/>
      <protection hidden="true"/>
    </xf>
    <xf xfId="0" fontId="31" numFmtId="1" fillId="0" borderId="86" applyFont="1" applyNumberFormat="1" applyFill="0" applyBorder="1" applyAlignment="1" applyProtection="true">
      <alignment horizontal="center" vertical="center" textRotation="0" wrapText="true" shrinkToFit="false"/>
      <protection hidden="true"/>
    </xf>
    <xf xfId="0" fontId="10" numFmtId="0" fillId="0" borderId="87" applyFont="1" applyNumberFormat="0" applyFill="0" applyBorder="1" applyAlignment="1">
      <alignment horizontal="left" vertical="bottom" textRotation="0" wrapText="false" shrinkToFit="false"/>
    </xf>
    <xf xfId="0" fontId="10" numFmtId="0" fillId="0" borderId="61" applyFont="1" applyNumberFormat="0" applyFill="0" applyBorder="1" applyAlignment="0"/>
    <xf xfId="0" fontId="10" numFmtId="0" fillId="0" borderId="21" applyFont="1" applyNumberFormat="0" applyFill="0" applyBorder="1" applyAlignment="0"/>
    <xf xfId="0" fontId="10" numFmtId="0" fillId="0" borderId="81" applyFont="1" applyNumberFormat="0" applyFill="0" applyBorder="1" applyAlignment="1" applyProtection="true">
      <alignment horizontal="centerContinuous" vertical="bottom" textRotation="0" wrapText="false" shrinkToFit="false"/>
      <protection hidden="true"/>
    </xf>
    <xf xfId="0" fontId="10" numFmtId="0" fillId="0" borderId="80" applyFont="1" applyNumberFormat="0" applyFill="0" applyBorder="1" applyAlignment="1" applyProtection="true">
      <alignment horizontal="centerContinuous" vertical="bottom" textRotation="0" wrapText="false" shrinkToFit="false"/>
      <protection hidden="true"/>
    </xf>
    <xf xfId="0" fontId="10" numFmtId="0" fillId="0" borderId="63" applyFont="1" applyNumberFormat="0" applyFill="0" applyBorder="1" applyAlignment="0" applyProtection="true">
      <protection hidden="true"/>
    </xf>
    <xf xfId="0" fontId="10" numFmtId="0" fillId="0" borderId="74" applyFont="1" applyNumberFormat="0" applyFill="0" applyBorder="1" applyAlignment="1">
      <alignment horizontal="left" vertical="bottom" textRotation="0" wrapText="false" shrinkToFit="false"/>
    </xf>
    <xf xfId="0" fontId="10" numFmtId="0" fillId="0" borderId="64" applyFont="1" applyNumberFormat="0" applyFill="0" applyBorder="1" applyAlignment="0" applyProtection="true">
      <protection hidden="true"/>
    </xf>
    <xf xfId="0" fontId="30" numFmtId="1" fillId="0" borderId="50" applyFont="1" applyNumberFormat="1" applyFill="0" applyBorder="1" applyAlignment="1" applyProtection="true">
      <alignment horizontal="center" vertical="center" textRotation="0" wrapText="true" shrinkToFit="false"/>
      <protection hidden="true"/>
    </xf>
    <xf xfId="0" fontId="10" numFmtId="0" fillId="0" borderId="62" applyFont="1" applyNumberFormat="0" applyFill="0" applyBorder="1" applyAlignment="0" applyProtection="true">
      <protection hidden="true"/>
    </xf>
    <xf xfId="0" fontId="16" numFmtId="0" fillId="7" borderId="45" applyFont="1" applyNumberFormat="0" applyFill="1" applyBorder="1" applyAlignment="1" applyProtection="true">
      <alignment horizontal="centerContinuous" vertical="bottom" textRotation="0" wrapText="false" shrinkToFit="false"/>
      <protection hidden="true"/>
    </xf>
    <xf xfId="0" fontId="16" numFmtId="0" fillId="7" borderId="46" applyFont="1" applyNumberFormat="0" applyFill="1" applyBorder="1" applyAlignment="1" applyProtection="true">
      <alignment horizontal="centerContinuous" vertical="bottom" textRotation="0" wrapText="false" shrinkToFit="false"/>
      <protection hidden="true"/>
    </xf>
    <xf xfId="0" fontId="16" numFmtId="0" fillId="7" borderId="47" applyFont="1" applyNumberFormat="0" applyFill="1" applyBorder="1" applyAlignment="1" applyProtection="true">
      <alignment horizontal="centerContinuous" vertical="bottom" textRotation="0" wrapText="false" shrinkToFit="false"/>
      <protection hidden="true"/>
    </xf>
    <xf xfId="0" fontId="35" numFmtId="0" fillId="8" borderId="23" applyFont="1" applyNumberFormat="0" applyFill="1" applyBorder="1" applyAlignment="1" applyProtection="true">
      <alignment horizontal="center" vertical="bottom" textRotation="0" wrapText="false" shrinkToFit="false"/>
      <protection hidden="true"/>
    </xf>
    <xf xfId="0" fontId="30" numFmtId="1" fillId="0" borderId="0" applyFont="1" applyNumberFormat="1" applyFill="0" applyBorder="0" applyAlignment="1" applyProtection="true">
      <alignment horizontal="center" vertical="center" textRotation="0" wrapText="true" shrinkToFit="false"/>
      <protection hidden="true"/>
    </xf>
    <xf xfId="0" fontId="31" numFmtId="1" fillId="0" borderId="0" applyFont="1" applyNumberFormat="1" applyFill="0" applyBorder="0" applyAlignment="1" applyProtection="true">
      <alignment horizontal="center" vertical="center" textRotation="0" wrapText="true" shrinkToFit="false"/>
      <protection hidden="true"/>
    </xf>
    <xf xfId="0" fontId="32" numFmtId="1" fillId="0" borderId="0" applyFont="1" applyNumberFormat="1" applyFill="0" applyBorder="0" applyAlignment="1" applyProtection="true">
      <alignment horizontal="center" vertical="center" textRotation="0" wrapText="true" shrinkToFit="false"/>
      <protection hidden="true"/>
    </xf>
    <xf xfId="0" fontId="33" numFmtId="9" fillId="0" borderId="0" applyFont="1" applyNumberFormat="1" applyFill="0" applyBorder="0" applyAlignment="1" applyProtection="true">
      <alignment horizontal="center" vertical="center" textRotation="0" wrapText="true" shrinkToFit="false"/>
      <protection hidden="true"/>
    </xf>
    <xf xfId="0" fontId="31" numFmtId="0" fillId="0" borderId="21" applyFont="1" applyNumberFormat="0" applyFill="0" applyBorder="1" applyAlignment="1" applyProtection="true">
      <alignment horizontal="center" vertical="bottom" textRotation="0" wrapText="false" shrinkToFit="false"/>
      <protection hidden="true"/>
    </xf>
    <xf xfId="0" fontId="31" numFmtId="0" fillId="0" borderId="0" applyFont="1" applyNumberFormat="0" applyFill="0" applyBorder="0" applyAlignment="1" applyProtection="true">
      <alignment horizontal="center" vertical="bottom" textRotation="0" wrapText="false" shrinkToFit="false"/>
      <protection hidden="true"/>
    </xf>
    <xf xfId="0" fontId="31" numFmtId="14" fillId="0" borderId="0" applyFont="1" applyNumberFormat="1" applyFill="0" applyBorder="0" applyAlignment="1" applyProtection="true">
      <alignment horizontal="center" vertical="bottom" textRotation="0" wrapText="false" shrinkToFit="false"/>
      <protection hidden="true"/>
    </xf>
    <xf xfId="0" fontId="31" numFmtId="0" fillId="0" borderId="21" applyFont="1" applyNumberFormat="0" applyFill="0" applyBorder="1" applyAlignment="1" applyProtection="true">
      <alignment horizontal="center" vertical="center" textRotation="0" wrapText="false" shrinkToFit="false"/>
      <protection hidden="true"/>
    </xf>
    <xf xfId="0" fontId="31" numFmtId="0" fillId="0" borderId="0" applyFont="1" applyNumberFormat="0" applyFill="0" applyBorder="0" applyAlignment="0" applyProtection="true">
      <protection hidden="true"/>
    </xf>
    <xf xfId="0" fontId="31" numFmtId="0" fillId="0" borderId="0" applyFont="1" applyNumberFormat="0" applyFill="0" applyBorder="0" applyAlignment="1" applyProtection="true">
      <alignment horizontal="center" vertical="center" textRotation="0" wrapText="false" shrinkToFit="false"/>
      <protection hidden="true"/>
    </xf>
    <xf xfId="0" fontId="31" numFmtId="14" fillId="0" borderId="0" applyFont="1" applyNumberFormat="1" applyFill="0" applyBorder="0" applyAlignment="1" applyProtection="true">
      <alignment horizontal="center" vertical="center" textRotation="0" wrapText="false" shrinkToFit="false"/>
      <protection hidden="true"/>
    </xf>
    <xf xfId="0" fontId="36" numFmtId="0" fillId="0" borderId="22" applyFont="1" applyNumberFormat="0" applyFill="0" applyBorder="1" applyAlignment="1" applyProtection="true">
      <alignment horizontal="centerContinuous" vertical="center" textRotation="0" wrapText="false" shrinkToFit="false"/>
      <protection hidden="true"/>
    </xf>
    <xf xfId="0" fontId="36" numFmtId="0" fillId="0" borderId="22" applyFont="1" applyNumberFormat="0" applyFill="0" applyBorder="1" applyAlignment="1" applyProtection="true">
      <alignment horizontal="center" vertical="center" textRotation="0" wrapText="false" shrinkToFit="false"/>
      <protection hidden="true"/>
    </xf>
    <xf xfId="0" fontId="31" numFmtId="0" fillId="0" borderId="0" applyFont="1" applyNumberFormat="0" applyFill="0" applyBorder="0" applyAlignment="1" applyProtection="true">
      <alignment horizontal="left" vertical="center" textRotation="0" wrapText="false" shrinkToFit="false"/>
      <protection hidden="true"/>
    </xf>
    <xf xfId="0" fontId="36" numFmtId="0" fillId="0" borderId="23" applyFont="1" applyNumberFormat="0" applyFill="0" applyBorder="1" applyAlignment="1" applyProtection="true">
      <alignment horizontal="centerContinuous" vertical="center" textRotation="0" wrapText="false" shrinkToFit="false"/>
      <protection hidden="true"/>
    </xf>
    <xf xfId="0" fontId="36" numFmtId="0" fillId="0" borderId="23" applyFont="1" applyNumberFormat="0" applyFill="0" applyBorder="1" applyAlignment="1" applyProtection="true">
      <alignment horizontal="center" vertical="center" textRotation="0" wrapText="false" shrinkToFit="false"/>
      <protection hidden="true"/>
    </xf>
    <xf xfId="0" fontId="31" numFmtId="0" fillId="0" borderId="23" applyFont="1" applyNumberFormat="0" applyFill="0" applyBorder="1" applyAlignment="1" applyProtection="true">
      <alignment horizontal="center" vertical="center" textRotation="0" wrapText="true" shrinkToFit="false"/>
      <protection hidden="true"/>
    </xf>
    <xf xfId="0" fontId="36" numFmtId="0" fillId="0" borderId="23" applyFont="1" applyNumberFormat="0" applyFill="0" applyBorder="1" applyAlignment="1" applyProtection="true">
      <alignment horizontal="center" vertical="center" textRotation="0" wrapText="true" shrinkToFit="false"/>
      <protection hidden="true"/>
    </xf>
    <xf xfId="0" fontId="31" numFmtId="1" fillId="0" borderId="88" applyFont="1" applyNumberFormat="1" applyFill="0" applyBorder="1" applyAlignment="1" applyProtection="true">
      <alignment horizontal="center" vertical="center" textRotation="0" wrapText="true" shrinkToFit="false"/>
      <protection hidden="true"/>
    </xf>
    <xf xfId="0" fontId="30" numFmtId="1" fillId="0" borderId="89" applyFont="1" applyNumberFormat="1" applyFill="0" applyBorder="1" applyAlignment="1" applyProtection="true">
      <alignment horizontal="center" vertical="center" textRotation="0" wrapText="true" shrinkToFit="false"/>
      <protection hidden="true"/>
    </xf>
    <xf xfId="0" fontId="16" numFmtId="0" fillId="8" borderId="46" applyFont="1" applyNumberFormat="0" applyFill="1" applyBorder="1" applyAlignment="1" applyProtection="true">
      <alignment horizontal="centerContinuous" vertical="bottom" textRotation="0" wrapText="false" shrinkToFit="false"/>
      <protection hidden="true"/>
    </xf>
    <xf xfId="0" fontId="16" numFmtId="0" fillId="8" borderId="47" applyFont="1" applyNumberFormat="0" applyFill="1" applyBorder="1" applyAlignment="1" applyProtection="true">
      <alignment horizontal="centerContinuous" vertical="bottom" textRotation="0" wrapText="false" shrinkToFit="false"/>
      <protection hidden="true"/>
    </xf>
    <xf xfId="0" fontId="35" numFmtId="0" fillId="9" borderId="23" applyFont="1" applyNumberFormat="0" applyFill="1" applyBorder="1" applyAlignment="1" applyProtection="true">
      <alignment horizontal="center" vertical="bottom" textRotation="0" wrapText="false" shrinkToFit="false"/>
      <protection hidden="true"/>
    </xf>
    <xf xfId="0" fontId="35" numFmtId="1" fillId="9" borderId="23" applyFont="1" applyNumberFormat="1" applyFill="1" applyBorder="1" applyAlignment="1" applyProtection="true">
      <alignment horizontal="center" vertical="bottom" textRotation="0" wrapText="false" shrinkToFit="false"/>
      <protection hidden="true"/>
    </xf>
    <xf xfId="0" fontId="10" numFmtId="0" fillId="0" borderId="21" applyFont="1" applyNumberFormat="0" applyFill="0" applyBorder="1" applyAlignment="1" applyProtection="true">
      <alignment horizontal="left" vertical="center" textRotation="0" wrapText="false" shrinkToFit="false"/>
      <protection hidden="true"/>
    </xf>
    <xf xfId="0" fontId="10" numFmtId="0" fillId="0" borderId="81" applyFont="1" applyNumberFormat="0" applyFill="0" applyBorder="1" applyAlignment="1" applyProtection="true">
      <alignment horizontal="center" vertical="center" textRotation="0" wrapText="false" shrinkToFit="false"/>
      <protection hidden="true"/>
    </xf>
    <xf xfId="0" fontId="10" numFmtId="0" fillId="0" borderId="80" applyFont="1" applyNumberFormat="0" applyFill="0" applyBorder="1" applyAlignment="1" applyProtection="true">
      <alignment horizontal="center" vertical="center" textRotation="0" wrapText="false" shrinkToFit="false"/>
      <protection hidden="true"/>
    </xf>
    <xf xfId="0" fontId="10" numFmtId="0" fillId="0" borderId="0" applyFont="1" applyNumberFormat="0" applyFill="0" applyBorder="0" applyAlignment="1" applyProtection="true">
      <alignment horizontal="center" vertical="center" textRotation="0" wrapText="false" shrinkToFit="false"/>
      <protection hidden="true"/>
    </xf>
    <xf xfId="0" fontId="32" numFmtId="1" fillId="0" borderId="89" applyFont="1" applyNumberFormat="1" applyFill="0" applyBorder="1" applyAlignment="1" applyProtection="true">
      <alignment horizontal="center" vertical="center" textRotation="0" wrapText="true" shrinkToFit="false"/>
      <protection hidden="true"/>
    </xf>
    <xf xfId="0" fontId="33" numFmtId="9" fillId="0" borderId="89" applyFont="1" applyNumberFormat="1" applyFill="0" applyBorder="1" applyAlignment="1" applyProtection="true">
      <alignment horizontal="center" vertical="center" textRotation="0" wrapText="true" shrinkToFit="false"/>
      <protection hidden="true"/>
    </xf>
    <xf xfId="0" fontId="17" numFmtId="1" fillId="0" borderId="75" applyFont="1" applyNumberFormat="1" applyFill="0" applyBorder="1" applyAlignment="1" applyProtection="true">
      <alignment horizontal="center" vertical="bottom" textRotation="0" wrapText="false" shrinkToFit="false"/>
      <protection hidden="true"/>
    </xf>
    <xf xfId="0" fontId="0" numFmtId="164" fillId="0" borderId="90" applyFont="0" applyNumberFormat="1" applyFill="0" applyBorder="1" applyAlignment="1">
      <alignment horizontal="center" vertical="bottom" textRotation="0" wrapText="false" shrinkToFit="false"/>
    </xf>
    <xf xfId="0" fontId="0" numFmtId="164" fillId="0" borderId="91" applyFont="0" applyNumberFormat="1" applyFill="0" applyBorder="1" applyAlignment="1">
      <alignment horizontal="center" vertical="bottom" textRotation="0" wrapText="false" shrinkToFit="false"/>
    </xf>
    <xf xfId="0" fontId="3" numFmtId="164" fillId="0" borderId="92" applyFont="1" applyNumberFormat="1" applyFill="0" applyBorder="1" applyAlignment="1">
      <alignment horizontal="center" vertical="center" textRotation="0" wrapText="false" shrinkToFit="false"/>
    </xf>
    <xf xfId="0" fontId="3" numFmtId="164" fillId="0" borderId="93" applyFont="1" applyNumberFormat="1" applyFill="0" applyBorder="1" applyAlignment="1">
      <alignment horizontal="center" vertical="center" textRotation="0" wrapText="false" shrinkToFit="false"/>
    </xf>
    <xf xfId="0" fontId="15" numFmtId="0" fillId="0" borderId="0" applyFont="1" applyNumberFormat="0" applyFill="0" applyBorder="0" applyAlignment="1">
      <alignment horizontal="left" vertical="bottom" textRotation="0" wrapText="false" shrinkToFit="false" indent="1"/>
    </xf>
    <xf xfId="0" fontId="5" numFmtId="0" fillId="0" borderId="0" applyFont="1" applyNumberFormat="0" applyFill="0" applyBorder="0" applyAlignment="1">
      <alignment horizontal="left" vertical="bottom" textRotation="0" wrapText="true" shrinkToFit="false" indent="1"/>
    </xf>
    <xf xfId="0" fontId="5" numFmtId="0" fillId="0" borderId="0" applyFont="1" applyNumberFormat="0" applyFill="0" applyBorder="0" applyAlignment="1">
      <alignment horizontal="left" vertical="bottom" textRotation="0" wrapText="false" shrinkToFit="false" indent="1"/>
    </xf>
    <xf xfId="0" fontId="5" numFmtId="0" fillId="0" borderId="0" applyFont="1" applyNumberFormat="0" applyFill="0" applyBorder="0" applyAlignment="1">
      <alignment horizontal="center" vertical="bottom" textRotation="0" wrapText="false" shrinkToFit="false"/>
    </xf>
    <xf xfId="0" fontId="37" numFmtId="0" fillId="0" borderId="0" applyFont="1" applyNumberFormat="0" applyFill="0" applyBorder="0" applyAlignment="1">
      <alignment horizontal="center" vertical="center" textRotation="0" wrapText="false" shrinkToFit="false"/>
    </xf>
    <xf xfId="0" fontId="0" numFmtId="0" fillId="0" borderId="0" applyFont="0" applyNumberFormat="0" applyFill="0" applyBorder="0" applyAlignment="1">
      <alignment horizontal="left" vertical="bottom" textRotation="0" wrapText="false" shrinkToFit="false" indent="1"/>
    </xf>
    <xf xfId="0" fontId="0" numFmtId="0" fillId="0" borderId="0" applyFont="0" applyNumberFormat="0" applyFill="0" applyBorder="0" applyAlignment="1">
      <alignment horizontal="left" vertical="bottom" textRotation="0" wrapText="false" shrinkToFit="false"/>
    </xf>
    <xf xfId="0" fontId="0" numFmtId="0" fillId="0" borderId="5" applyFont="0" applyNumberFormat="0" applyFill="0" applyBorder="1" applyAlignment="1">
      <alignment horizontal="left" vertical="bottom" textRotation="0" wrapText="false" shrinkToFit="false" indent="1"/>
    </xf>
    <xf xfId="0" fontId="38" numFmtId="0" fillId="10" borderId="1" applyFont="1" applyNumberFormat="0" applyFill="1" applyBorder="1" applyAlignment="1">
      <alignment horizontal="center" vertical="center" textRotation="0" wrapText="false" shrinkToFit="false"/>
    </xf>
    <xf xfId="0" fontId="0" numFmtId="0" fillId="0" borderId="94" applyFont="0" applyNumberFormat="0" applyFill="0" applyBorder="1" applyAlignment="0"/>
    <xf xfId="0" fontId="0" numFmtId="0" fillId="0" borderId="94" applyFont="0" applyNumberFormat="0" applyFill="0" applyBorder="1" applyAlignment="1">
      <alignment horizontal="center" vertical="bottom" textRotation="0" wrapText="false" shrinkToFit="false"/>
    </xf>
    <xf xfId="0" fontId="0" numFmtId="0" fillId="0" borderId="2" applyFont="0" applyNumberFormat="0" applyFill="0" applyBorder="1" applyAlignment="1">
      <alignment horizontal="center" vertical="bottom" textRotation="0" wrapText="false" shrinkToFit="false"/>
    </xf>
    <xf xfId="0" fontId="2" numFmtId="0" fillId="0" borderId="6" applyFont="1" applyNumberFormat="0" applyFill="0" applyBorder="1" applyAlignment="0"/>
    <xf xfId="0" fontId="0" numFmtId="0" fillId="0" borderId="0" applyFont="0" applyNumberFormat="0" applyFill="0" applyBorder="0" applyAlignment="0"/>
    <xf xfId="0" fontId="0" numFmtId="0" fillId="0" borderId="0" applyFont="0" applyNumberFormat="0" applyFill="0" applyBorder="0" applyAlignment="1">
      <alignment horizontal="center" vertical="bottom" textRotation="0" wrapText="false" shrinkToFit="false"/>
    </xf>
    <xf xfId="0" fontId="0" numFmtId="0" fillId="0" borderId="5" applyFont="0" applyNumberFormat="0" applyFill="0" applyBorder="1" applyAlignment="1">
      <alignment horizontal="center" vertical="bottom" textRotation="0" wrapText="false" shrinkToFit="false"/>
    </xf>
    <xf xfId="0" fontId="0" numFmtId="0" fillId="0" borderId="7" applyFont="0" applyNumberFormat="0" applyFill="0" applyBorder="1" applyAlignment="0"/>
    <xf xfId="0" fontId="0" numFmtId="0" fillId="0" borderId="12" applyFont="0" applyNumberFormat="0" applyFill="0" applyBorder="1" applyAlignment="0"/>
    <xf xfId="0" fontId="0" numFmtId="0" fillId="0" borderId="13" applyFont="0" applyNumberFormat="0" applyFill="0" applyBorder="1" applyAlignment="0"/>
    <xf xfId="0" fontId="39" numFmtId="0" fillId="10" borderId="1" applyFont="1" applyNumberFormat="0" applyFill="1" applyBorder="1" applyAlignment="1">
      <alignment vertical="center" textRotation="0" wrapText="false" shrinkToFit="false"/>
    </xf>
    <xf xfId="0" fontId="4" numFmtId="0" fillId="10" borderId="94" applyFont="1" applyNumberFormat="0" applyFill="1" applyBorder="1" applyAlignment="0"/>
    <xf xfId="0" fontId="4" numFmtId="0" fillId="10" borderId="2" applyFont="1" applyNumberFormat="0" applyFill="1" applyBorder="1" applyAlignment="0"/>
    <xf xfId="0" fontId="4" numFmtId="0" fillId="10" borderId="7" applyFont="1" applyNumberFormat="0" applyFill="1" applyBorder="1" applyAlignment="0"/>
    <xf xfId="0" fontId="4" numFmtId="0" fillId="10" borderId="12" applyFont="1" applyNumberFormat="0" applyFill="1" applyBorder="1" applyAlignment="0"/>
    <xf xfId="0" fontId="4" numFmtId="0" fillId="10" borderId="13" applyFont="1" applyNumberFormat="0" applyFill="1" applyBorder="1" applyAlignment="0"/>
    <xf xfId="0" fontId="2" numFmtId="0" fillId="0" borderId="6" applyFont="1" applyNumberFormat="0" applyFill="0" applyBorder="1" applyAlignment="1">
      <alignment horizontal="left" vertical="bottom" textRotation="0" wrapText="false" shrinkToFit="false" indent="1"/>
    </xf>
    <xf xfId="0" fontId="2" numFmtId="0" fillId="0" borderId="0" applyFont="1" applyNumberFormat="0" applyFill="0" applyBorder="0" applyAlignment="1">
      <alignment horizontal="left" vertical="bottom" textRotation="0" wrapText="false" shrinkToFit="false" indent="1"/>
    </xf>
    <xf xfId="0" fontId="4" numFmtId="0" fillId="10" borderId="16" applyFont="1" applyNumberFormat="0" applyFill="1" applyBorder="1" applyAlignment="1">
      <alignment horizontal="center" vertical="center" textRotation="0" wrapText="false" shrinkToFit="false"/>
    </xf>
    <xf xfId="0" fontId="4" numFmtId="0" fillId="10" borderId="10" applyFont="1" applyNumberFormat="0" applyFill="1" applyBorder="1" applyAlignment="1">
      <alignment horizontal="center" vertical="center" textRotation="0" wrapText="false" shrinkToFit="false"/>
    </xf>
    <xf xfId="0" fontId="4" numFmtId="0" fillId="10" borderId="8" applyFont="1" applyNumberFormat="0" applyFill="1" applyBorder="1" applyAlignment="1">
      <alignment horizontal="center" vertical="center" textRotation="0" wrapText="false" shrinkToFit="false"/>
    </xf>
    <xf xfId="0" fontId="4" numFmtId="0" fillId="10" borderId="4" applyFont="1" applyNumberFormat="0" applyFill="1" applyBorder="1" applyAlignment="1">
      <alignment horizontal="center" vertical="center" textRotation="0" wrapText="false" shrinkToFit="false"/>
    </xf>
    <xf xfId="0" fontId="39" numFmtId="0" fillId="10" borderId="16" applyFont="1" applyNumberFormat="0" applyFill="1" applyBorder="1" applyAlignment="1">
      <alignment horizontal="center" vertical="center" textRotation="0" wrapText="false" shrinkToFit="false"/>
    </xf>
    <xf xfId="0" fontId="39" numFmtId="0" fillId="10" borderId="9" applyFont="1" applyNumberFormat="0" applyFill="1" applyBorder="1" applyAlignment="1">
      <alignment horizontal="center" vertical="center" textRotation="0" wrapText="false" shrinkToFit="false"/>
    </xf>
    <xf xfId="0" fontId="39" numFmtId="0" fillId="10" borderId="10" applyFont="1" applyNumberFormat="0" applyFill="1" applyBorder="1" applyAlignment="1">
      <alignment horizontal="center" vertical="center" textRotation="0" wrapText="false" shrinkToFit="false"/>
    </xf>
    <xf xfId="0" fontId="38" numFmtId="0" fillId="10" borderId="94" applyFont="1" applyNumberFormat="0" applyFill="1" applyBorder="1" applyAlignment="1">
      <alignment horizontal="center" vertical="center" textRotation="0" wrapText="false" shrinkToFit="false"/>
    </xf>
    <xf xfId="0" fontId="38" numFmtId="0" fillId="10" borderId="2" applyFont="1" applyNumberFormat="0" applyFill="1" applyBorder="1" applyAlignment="1">
      <alignment horizontal="center" vertical="center" textRotation="0" wrapText="false" shrinkToFit="false"/>
    </xf>
    <xf xfId="0" fontId="38" numFmtId="0" fillId="10" borderId="6" applyFont="1" applyNumberFormat="0" applyFill="1" applyBorder="1" applyAlignment="1">
      <alignment horizontal="center" vertical="center" textRotation="0" wrapText="false" shrinkToFit="false"/>
    </xf>
    <xf xfId="0" fontId="38" numFmtId="0" fillId="10" borderId="0" applyFont="1" applyNumberFormat="0" applyFill="1" applyBorder="0" applyAlignment="1">
      <alignment horizontal="center" vertical="center" textRotation="0" wrapText="false" shrinkToFit="false"/>
    </xf>
    <xf xfId="0" fontId="38" numFmtId="0" fillId="10" borderId="5" applyFont="1" applyNumberFormat="0" applyFill="1" applyBorder="1" applyAlignment="1">
      <alignment horizontal="center" vertical="center" textRotation="0" wrapText="false" shrinkToFit="false"/>
    </xf>
    <xf xfId="0" fontId="38" numFmtId="0" fillId="10" borderId="7" applyFont="1" applyNumberFormat="0" applyFill="1" applyBorder="1" applyAlignment="1">
      <alignment horizontal="center" vertical="center" textRotation="0" wrapText="false" shrinkToFit="false"/>
    </xf>
    <xf xfId="0" fontId="38" numFmtId="0" fillId="10" borderId="12" applyFont="1" applyNumberFormat="0" applyFill="1" applyBorder="1" applyAlignment="1">
      <alignment horizontal="center" vertical="center" textRotation="0" wrapText="false" shrinkToFit="false"/>
    </xf>
    <xf xfId="0" fontId="38" numFmtId="0" fillId="10" borderId="13" applyFont="1" applyNumberFormat="0" applyFill="1" applyBorder="1" applyAlignment="1">
      <alignment horizontal="center" vertical="center" textRotation="0" wrapText="false" shrinkToFit="false"/>
    </xf>
    <xf xfId="0" fontId="0" numFmtId="0" fillId="2" borderId="0" applyFont="0" applyNumberFormat="0" applyFill="1" applyBorder="0" applyAlignment="1">
      <alignment horizontal="center" vertical="bottom" textRotation="0" wrapText="false" shrinkToFit="false"/>
    </xf>
    <xf xfId="0" fontId="39" numFmtId="0" fillId="10" borderId="6" applyFont="1" applyNumberFormat="0" applyFill="1" applyBorder="1" applyAlignment="0"/>
    <xf xfId="0" fontId="2" numFmtId="0" fillId="0" borderId="7" applyFont="1" applyNumberFormat="0" applyFill="0" applyBorder="1" applyAlignment="0"/>
    <xf xfId="0" fontId="0" numFmtId="0" fillId="0" borderId="12" applyFont="0" applyNumberFormat="0" applyFill="0" applyBorder="1" applyAlignment="1">
      <alignment horizontal="center" vertical="bottom" textRotation="0" wrapText="false" shrinkToFit="false"/>
    </xf>
    <xf xfId="0" fontId="2" numFmtId="0" fillId="0" borderId="59" applyFont="1" applyNumberFormat="0" applyFill="0" applyBorder="1" applyAlignment="1">
      <alignment horizontal="left" vertical="bottom" textRotation="0" wrapText="false" shrinkToFit="false" indent="1"/>
    </xf>
    <xf xfId="0" fontId="0" numFmtId="0" fillId="0" borderId="95" applyFont="0" applyNumberFormat="0" applyFill="0" applyBorder="1" applyAlignment="1">
      <alignment horizontal="left" vertical="bottom" textRotation="0" wrapText="false" shrinkToFit="false" indent="1"/>
    </xf>
    <xf xfId="0" fontId="0" numFmtId="0" fillId="0" borderId="96" applyFont="0" applyNumberFormat="0" applyFill="0" applyBorder="1" applyAlignment="1">
      <alignment horizontal="left" vertical="bottom" textRotation="0" wrapText="false" shrinkToFit="false" indent="1"/>
    </xf>
    <xf xfId="0" fontId="0" numFmtId="0" fillId="0" borderId="96" applyFont="0" applyNumberFormat="0" applyFill="0" applyBorder="1" applyAlignment="1">
      <alignment horizontal="left" vertical="bottom" textRotation="0" wrapText="false" shrinkToFit="false" indent="1"/>
    </xf>
    <xf xfId="0" fontId="0" numFmtId="0" fillId="0" borderId="97" applyFont="0" applyNumberFormat="0" applyFill="0" applyBorder="1" applyAlignment="1">
      <alignment horizontal="left" vertical="bottom" textRotation="0" wrapText="false" shrinkToFit="false" indent="1"/>
    </xf>
    <xf xfId="0" fontId="0" numFmtId="0" fillId="0" borderId="8" applyFont="0" applyNumberFormat="0" applyFill="0" applyBorder="1" applyAlignment="0"/>
    <xf xfId="0" fontId="0" numFmtId="0" fillId="0" borderId="3" applyFont="0" applyNumberFormat="0" applyFill="0" applyBorder="1" applyAlignment="0"/>
    <xf xfId="0" fontId="0" numFmtId="0" fillId="0" borderId="4" applyFont="0" applyNumberFormat="0" applyFill="0" applyBorder="1" applyAlignment="0"/>
    <xf xfId="0" fontId="2" numFmtId="0" fillId="0" borderId="12" applyFont="1" applyNumberFormat="0" applyFill="0" applyBorder="1" applyAlignment="0"/>
    <xf xfId="0" fontId="0" numFmtId="0" fillId="0" borderId="10" applyFont="0" applyNumberFormat="0" applyFill="0" applyBorder="1" applyAlignment="1">
      <alignment horizontal="center" vertical="bottom" textRotation="0" wrapText="false" shrinkToFit="false"/>
    </xf>
    <xf xfId="0" fontId="2" numFmtId="0" fillId="0" borderId="0" applyFont="1" applyNumberFormat="0" applyFill="0" applyBorder="0" applyAlignment="0"/>
    <xf xfId="0" fontId="0" numFmtId="0" fillId="0" borderId="6" applyFont="0" applyNumberFormat="0" applyFill="0" applyBorder="1" applyAlignment="0"/>
    <xf xfId="0" fontId="0" numFmtId="0" fillId="0" borderId="5" applyFont="0" applyNumberFormat="0" applyFill="0" applyBorder="1" applyAlignment="0"/>
    <xf xfId="0" fontId="40" numFmtId="0" fillId="10" borderId="0" applyFont="1" applyNumberFormat="0" applyFill="1" applyBorder="0" applyAlignment="1">
      <alignment vertical="center" textRotation="0" wrapText="false" shrinkToFit="false"/>
    </xf>
    <xf xfId="0" fontId="38" numFmtId="0" fillId="10" borderId="0" applyFont="1" applyNumberFormat="0" applyFill="1" applyBorder="0" applyAlignment="1">
      <alignment horizontal="center" vertical="bottom" textRotation="0" wrapText="false" shrinkToFit="false"/>
    </xf>
    <xf xfId="0" fontId="4" numFmtId="0" fillId="10" borderId="0" applyFont="1" applyNumberFormat="0" applyFill="1" applyBorder="0" applyAlignment="0"/>
    <xf xfId="0" fontId="1" numFmtId="0" fillId="0" borderId="8" applyFont="1" applyNumberFormat="0" applyFill="0" applyBorder="1" applyAlignment="1">
      <alignment vertical="center" textRotation="0" wrapText="false" shrinkToFit="false"/>
    </xf>
    <xf xfId="0" fontId="1" numFmtId="0" fillId="0" borderId="3" applyFont="1" applyNumberFormat="0" applyFill="0" applyBorder="1" applyAlignment="1">
      <alignment vertical="center" textRotation="0" wrapText="false" shrinkToFit="false"/>
    </xf>
    <xf xfId="0" fontId="1" numFmtId="0" fillId="0" borderId="4" applyFont="1" applyNumberFormat="0" applyFill="0" applyBorder="1" applyAlignment="1">
      <alignment vertical="center" textRotation="0" wrapText="false" shrinkToFit="false"/>
    </xf>
    <xf xfId="0" fontId="3" numFmtId="0" fillId="11" borderId="98" applyFont="1" applyNumberFormat="0" applyFill="1" applyBorder="1" applyAlignment="1">
      <alignment horizontal="center" vertical="center" textRotation="0" wrapText="false" shrinkToFit="false"/>
    </xf>
    <xf xfId="0" fontId="3" numFmtId="0" fillId="11" borderId="99" applyFont="1" applyNumberFormat="0" applyFill="1" applyBorder="1" applyAlignment="1">
      <alignment horizontal="center" vertical="center" textRotation="0" wrapText="false" shrinkToFit="false"/>
    </xf>
    <xf xfId="0" fontId="3" numFmtId="0" fillId="11" borderId="93" applyFont="1" applyNumberFormat="0" applyFill="1" applyBorder="1" applyAlignment="1">
      <alignment horizontal="center" vertical="center" textRotation="0" wrapText="false" shrinkToFit="false"/>
    </xf>
    <xf xfId="0" fontId="38" numFmtId="0" fillId="10" borderId="0" applyFont="1" applyNumberFormat="0" applyFill="1" applyBorder="0" applyAlignment="0"/>
    <xf xfId="0" fontId="4" numFmtId="0" fillId="10" borderId="0" applyFont="1" applyNumberFormat="0" applyFill="1" applyBorder="0" applyAlignment="1">
      <alignment horizontal="center" vertical="bottom" textRotation="0" wrapText="false" shrinkToFit="false"/>
    </xf>
    <xf xfId="0" fontId="40" numFmtId="0" fillId="10" borderId="0" applyFont="1" applyNumberFormat="0" applyFill="1" applyBorder="0" applyAlignment="1">
      <alignment horizontal="center" vertical="bottom" textRotation="0" wrapText="false" shrinkToFit="false"/>
    </xf>
    <xf xfId="0" fontId="40" numFmtId="0" fillId="10" borderId="0" applyFont="1" applyNumberFormat="0" applyFill="1" applyBorder="0" applyAlignment="0"/>
    <xf xfId="0" fontId="1" numFmtId="0" fillId="0" borderId="1" applyFont="1" applyNumberFormat="0" applyFill="0" applyBorder="1" applyAlignment="1">
      <alignment vertical="center" textRotation="0" wrapText="false" shrinkToFit="false"/>
    </xf>
    <xf xfId="0" fontId="1" numFmtId="0" fillId="0" borderId="94" applyFont="1" applyNumberFormat="0" applyFill="0" applyBorder="1" applyAlignment="1">
      <alignment vertical="center" textRotation="0" wrapText="false" shrinkToFit="false"/>
    </xf>
    <xf xfId="0" fontId="1" numFmtId="0" fillId="0" borderId="2" applyFont="1" applyNumberFormat="0" applyFill="0" applyBorder="1" applyAlignment="1">
      <alignment vertical="center" textRotation="0" wrapText="false" shrinkToFit="false"/>
    </xf>
    <xf xfId="0" fontId="1" numFmtId="0" fillId="0" borderId="7" applyFont="1" applyNumberFormat="0" applyFill="0" applyBorder="1" applyAlignment="1">
      <alignment vertical="center" textRotation="0" wrapText="false" shrinkToFit="false"/>
    </xf>
    <xf xfId="0" fontId="1" numFmtId="0" fillId="0" borderId="12" applyFont="1" applyNumberFormat="0" applyFill="0" applyBorder="1" applyAlignment="1">
      <alignment vertical="center" textRotation="0" wrapText="false" shrinkToFit="false"/>
    </xf>
    <xf xfId="0" fontId="1" numFmtId="0" fillId="0" borderId="13" applyFont="1" applyNumberFormat="0" applyFill="0" applyBorder="1" applyAlignment="1">
      <alignment vertical="center" textRotation="0" wrapText="false" shrinkToFit="false"/>
    </xf>
    <xf xfId="0" fontId="3" numFmtId="0" fillId="3" borderId="1" applyFont="1" applyNumberFormat="0" applyFill="1" applyBorder="1" applyAlignment="1">
      <alignment vertical="center" textRotation="0" wrapText="false" shrinkToFit="false"/>
    </xf>
    <xf xfId="0" fontId="0" numFmtId="0" fillId="3" borderId="94" applyFont="0" applyNumberFormat="0" applyFill="1" applyBorder="1" applyAlignment="1">
      <alignment vertical="center" textRotation="0" wrapText="false" shrinkToFit="false"/>
    </xf>
    <xf xfId="0" fontId="0" numFmtId="0" fillId="3" borderId="2" applyFont="0" applyNumberFormat="0" applyFill="1" applyBorder="1" applyAlignment="1">
      <alignment vertical="center" textRotation="0" wrapText="false" shrinkToFit="false"/>
    </xf>
    <xf xfId="0" fontId="0" numFmtId="0" fillId="3" borderId="7" applyFont="0" applyNumberFormat="0" applyFill="1" applyBorder="1" applyAlignment="1">
      <alignment vertical="center" textRotation="0" wrapText="false" shrinkToFit="false"/>
    </xf>
    <xf xfId="0" fontId="0" numFmtId="0" fillId="3" borderId="12" applyFont="0" applyNumberFormat="0" applyFill="1" applyBorder="1" applyAlignment="1">
      <alignment vertical="center" textRotation="0" wrapText="false" shrinkToFit="false"/>
    </xf>
    <xf xfId="0" fontId="0" numFmtId="0" fillId="3" borderId="13" applyFont="0" applyNumberFormat="0" applyFill="1" applyBorder="1" applyAlignment="1">
      <alignment vertical="center" textRotation="0" wrapText="false" shrinkToFit="false"/>
    </xf>
    <xf xfId="0" fontId="10" numFmtId="0" fillId="0" borderId="100" applyFont="1" applyNumberFormat="0" applyFill="0" applyBorder="1" applyAlignment="1" applyProtection="true">
      <alignment horizontal="left" vertical="bottom" textRotation="0" wrapText="false" shrinkToFit="false" indent="1"/>
      <protection hidden="true"/>
    </xf>
    <xf xfId="0" fontId="10" numFmtId="0" fillId="0" borderId="71" applyFont="1" applyNumberFormat="0" applyFill="0" applyBorder="1" applyAlignment="1" applyProtection="true">
      <alignment horizontal="left" vertical="bottom" textRotation="0" wrapText="false" shrinkToFit="false" indent="1"/>
      <protection hidden="true"/>
    </xf>
    <xf xfId="0" fontId="11" numFmtId="0" fillId="9" borderId="45" applyFont="1" applyNumberFormat="0" applyFill="1" applyBorder="1" applyAlignment="1" applyProtection="true">
      <alignment horizontal="center" vertical="bottom" textRotation="0" wrapText="false" shrinkToFit="false"/>
      <protection hidden="true"/>
    </xf>
    <xf xfId="0" fontId="11" numFmtId="0" fillId="9" borderId="46" applyFont="1" applyNumberFormat="0" applyFill="1" applyBorder="1" applyAlignment="1" applyProtection="true">
      <alignment horizontal="center" vertical="bottom" textRotation="0" wrapText="false" shrinkToFit="false"/>
      <protection hidden="true"/>
    </xf>
    <xf xfId="0" fontId="11" numFmtId="0" fillId="9" borderId="47" applyFont="1" applyNumberFormat="0" applyFill="1" applyBorder="1" applyAlignment="1" applyProtection="true">
      <alignment horizontal="center" vertical="bottom" textRotation="0" wrapText="false" shrinkToFit="false"/>
      <protection hidden="true"/>
    </xf>
    <xf xfId="0" fontId="10" numFmtId="0" fillId="0" borderId="64" applyFont="1" applyNumberFormat="0" applyFill="0" applyBorder="1" applyAlignment="1" applyProtection="true">
      <alignment horizontal="left" vertical="bottom" textRotation="0" wrapText="false" shrinkToFit="false" indent="1"/>
      <protection hidden="true"/>
    </xf>
    <xf xfId="0" fontId="10" numFmtId="0" fillId="0" borderId="63" applyFont="1" applyNumberFormat="0" applyFill="0" applyBorder="1" applyAlignment="1" applyProtection="true">
      <alignment horizontal="left" vertical="bottom" textRotation="0" wrapText="false" shrinkToFit="false" indent="1"/>
      <protection hidden="true"/>
    </xf>
    <xf xfId="0" fontId="17" numFmtId="0" fillId="0" borderId="45" applyFont="1" applyNumberFormat="0" applyFill="0" applyBorder="1" applyAlignment="1" applyProtection="true">
      <alignment horizontal="center" vertical="bottom" textRotation="0" wrapText="false" shrinkToFit="false"/>
      <protection hidden="true"/>
    </xf>
    <xf xfId="0" fontId="17" numFmtId="0" fillId="0" borderId="46" applyFont="1" applyNumberFormat="0" applyFill="0" applyBorder="1" applyAlignment="1" applyProtection="true">
      <alignment horizontal="center" vertical="bottom" textRotation="0" wrapText="false" shrinkToFit="false"/>
      <protection hidden="true"/>
    </xf>
    <xf xfId="0" fontId="17" numFmtId="0" fillId="0" borderId="54" applyFont="1" applyNumberFormat="0" applyFill="0" applyBorder="1" applyAlignment="1" applyProtection="true">
      <alignment horizontal="center" vertical="bottom" textRotation="0" wrapText="false" shrinkToFit="false"/>
      <protection hidden="true"/>
    </xf>
    <xf xfId="0" fontId="36" numFmtId="0" fillId="12" borderId="45" applyFont="1" applyNumberFormat="0" applyFill="1" applyBorder="1" applyAlignment="1" applyProtection="true">
      <alignment horizontal="center" vertical="center" textRotation="0" wrapText="true" shrinkToFit="false"/>
      <protection hidden="true"/>
    </xf>
    <xf xfId="0" fontId="41" numFmtId="0" fillId="5" borderId="46" applyFont="1" applyNumberFormat="0" applyFill="1" applyBorder="1" applyAlignment="1" applyProtection="true">
      <alignment horizontal="center" vertical="bottom" textRotation="0" wrapText="false" shrinkToFit="false"/>
      <protection hidden="true"/>
    </xf>
    <xf xfId="0" fontId="41" numFmtId="0" fillId="5" borderId="47" applyFont="1" applyNumberFormat="0" applyFill="1" applyBorder="1" applyAlignment="1" applyProtection="true">
      <alignment horizontal="center" vertical="bottom" textRotation="0" wrapText="false" shrinkToFit="false"/>
      <protection hidden="true"/>
    </xf>
    <xf xfId="0" fontId="42" numFmtId="0" fillId="0" borderId="45" applyFont="1" applyNumberFormat="0" applyFill="0" applyBorder="1" applyAlignment="1" applyProtection="true">
      <alignment horizontal="center" vertical="center" textRotation="0" wrapText="false" shrinkToFit="false"/>
      <protection hidden="true"/>
    </xf>
    <xf xfId="0" fontId="41" numFmtId="0" fillId="0" borderId="46" applyFont="1" applyNumberFormat="0" applyFill="0" applyBorder="1" applyAlignment="0" applyProtection="true">
      <protection hidden="true"/>
    </xf>
    <xf xfId="0" fontId="41" numFmtId="0" fillId="0" borderId="47" applyFont="1" applyNumberFormat="0" applyFill="0" applyBorder="1" applyAlignment="0" applyProtection="true">
      <protection hidden="true"/>
    </xf>
    <xf xfId="0" fontId="42" numFmtId="0" fillId="0" borderId="46" applyFont="1" applyNumberFormat="0" applyFill="0" applyBorder="1" applyAlignment="1" applyProtection="true">
      <alignment horizontal="center" vertical="center" textRotation="0" wrapText="false" shrinkToFit="false"/>
      <protection hidden="true"/>
    </xf>
    <xf xfId="0" fontId="42" numFmtId="0" fillId="0" borderId="47" applyFont="1" applyNumberFormat="0" applyFill="0" applyBorder="1" applyAlignment="1" applyProtection="true">
      <alignment horizontal="center" vertical="center" textRotation="0" wrapText="false" shrinkToFit="false"/>
      <protection hidden="true"/>
    </xf>
    <xf xfId="0" fontId="43" numFmtId="0" fillId="9" borderId="45" applyFont="1" applyNumberFormat="0" applyFill="1" applyBorder="1" applyAlignment="1" applyProtection="true">
      <alignment horizontal="center" vertical="center" textRotation="0" wrapText="true" shrinkToFit="false"/>
      <protection hidden="true"/>
    </xf>
    <xf xfId="0" fontId="43" numFmtId="0" fillId="9" borderId="46" applyFont="1" applyNumberFormat="0" applyFill="1" applyBorder="1" applyAlignment="1" applyProtection="true">
      <alignment horizontal="center" vertical="center" textRotation="0" wrapText="true" shrinkToFit="false"/>
      <protection hidden="true"/>
    </xf>
    <xf xfId="0" fontId="43" numFmtId="0" fillId="9" borderId="47" applyFont="1" applyNumberFormat="0" applyFill="1" applyBorder="1" applyAlignment="1" applyProtection="true">
      <alignment horizontal="center" vertical="center" textRotation="0" wrapText="true" shrinkToFit="false"/>
      <protection hidden="true"/>
    </xf>
    <xf xfId="0" fontId="31" numFmtId="0" fillId="13" borderId="101" applyFont="1" applyNumberFormat="0" applyFill="1" applyBorder="1" applyAlignment="1" applyProtection="true">
      <alignment horizontal="center" vertical="center" textRotation="0" wrapText="false" shrinkToFit="false"/>
      <protection hidden="true"/>
    </xf>
    <xf xfId="0" fontId="41" numFmtId="0" fillId="13" borderId="24" applyFont="1" applyNumberFormat="0" applyFill="1" applyBorder="1" applyAlignment="0" applyProtection="true">
      <protection hidden="true"/>
    </xf>
    <xf xfId="0" fontId="41" numFmtId="0" fillId="13" borderId="48" applyFont="1" applyNumberFormat="0" applyFill="1" applyBorder="1" applyAlignment="0" applyProtection="true">
      <protection hidden="true"/>
    </xf>
    <xf xfId="0" fontId="31" numFmtId="0" fillId="13" borderId="21" applyFont="1" applyNumberFormat="0" applyFill="1" applyBorder="1" applyAlignment="1" applyProtection="true">
      <alignment horizontal="center" vertical="center" textRotation="0" wrapText="false" shrinkToFit="false"/>
      <protection hidden="true"/>
    </xf>
    <xf xfId="0" fontId="31" numFmtId="0" fillId="13" borderId="0" applyFont="1" applyNumberFormat="0" applyFill="1" applyBorder="0" applyAlignment="1" applyProtection="true">
      <alignment horizontal="center" vertical="center" textRotation="0" wrapText="false" shrinkToFit="false"/>
      <protection hidden="true"/>
    </xf>
    <xf xfId="0" fontId="31" numFmtId="0" fillId="13" borderId="49" applyFont="1" applyNumberFormat="0" applyFill="1" applyBorder="1" applyAlignment="1" applyProtection="true">
      <alignment horizontal="center" vertical="center" textRotation="0" wrapText="false" shrinkToFit="false"/>
      <protection hidden="true"/>
    </xf>
    <xf xfId="0" fontId="10" numFmtId="0" fillId="0" borderId="102" applyFont="1" applyNumberFormat="0" applyFill="0" applyBorder="1" applyAlignment="1" applyProtection="true">
      <alignment horizontal="left" vertical="bottom" textRotation="0" wrapText="false" shrinkToFit="false" indent="1"/>
      <protection hidden="true"/>
    </xf>
    <xf xfId="0" fontId="10" numFmtId="0" fillId="0" borderId="103" applyFont="1" applyNumberFormat="0" applyFill="0" applyBorder="1" applyAlignment="1" applyProtection="true">
      <alignment horizontal="left" vertical="bottom" textRotation="0" wrapText="false" shrinkToFit="false" indent="1"/>
      <protection hidden="true"/>
    </xf>
    <xf xfId="0" fontId="10" numFmtId="0" fillId="14" borderId="45" applyFont="1" applyNumberFormat="0" applyFill="1" applyBorder="1" applyAlignment="1" applyProtection="true">
      <alignment horizontal="center" vertical="bottom" textRotation="0" wrapText="false" shrinkToFit="false"/>
      <protection hidden="true"/>
    </xf>
    <xf xfId="0" fontId="10" numFmtId="0" fillId="14" borderId="46" applyFont="1" applyNumberFormat="0" applyFill="1" applyBorder="1" applyAlignment="1" applyProtection="true">
      <alignment horizontal="center" vertical="bottom" textRotation="0" wrapText="false" shrinkToFit="false"/>
      <protection hidden="true"/>
    </xf>
    <xf xfId="0" fontId="10" numFmtId="0" fillId="14" borderId="54" applyFont="1" applyNumberFormat="0" applyFill="1" applyBorder="1" applyAlignment="1" applyProtection="true">
      <alignment horizontal="center" vertical="bottom" textRotation="0" wrapText="false" shrinkToFit="false"/>
      <protection hidden="true"/>
    </xf>
    <xf xfId="0" fontId="10" numFmtId="0" fillId="0" borderId="100" applyFont="1" applyNumberFormat="0" applyFill="0" applyBorder="1" applyAlignment="1">
      <alignment horizontal="left" vertical="bottom" textRotation="0" wrapText="false" shrinkToFit="false" indent="1"/>
    </xf>
    <xf xfId="0" fontId="10" numFmtId="0" fillId="0" borderId="71" applyFont="1" applyNumberFormat="0" applyFill="0" applyBorder="1" applyAlignment="1">
      <alignment horizontal="left" vertical="bottom" textRotation="0" wrapText="false" shrinkToFit="false" indent="1"/>
    </xf>
    <xf xfId="0" fontId="10" numFmtId="0" fillId="0" borderId="45" applyFont="1" applyNumberFormat="0" applyFill="0" applyBorder="1" applyAlignment="1" applyProtection="true">
      <alignment horizontal="center" vertical="bottom" textRotation="0" wrapText="false" shrinkToFit="false"/>
      <protection hidden="true"/>
    </xf>
    <xf xfId="0" fontId="10" numFmtId="0" fillId="0" borderId="46" applyFont="1" applyNumberFormat="0" applyFill="0" applyBorder="1" applyAlignment="1" applyProtection="true">
      <alignment horizontal="center" vertical="bottom" textRotation="0" wrapText="false" shrinkToFit="false"/>
      <protection hidden="true"/>
    </xf>
    <xf xfId="0" fontId="10" numFmtId="0" fillId="0" borderId="54" applyFont="1" applyNumberFormat="0" applyFill="0" applyBorder="1" applyAlignment="1" applyProtection="true">
      <alignment horizontal="center" vertical="bottom" textRotation="0" wrapText="false" shrinkToFit="false"/>
      <protection hidden="true"/>
    </xf>
    <xf xfId="0" fontId="10" numFmtId="0" fillId="0" borderId="24" applyFont="1" applyNumberFormat="0" applyFill="0" applyBorder="1" applyAlignment="1">
      <alignment horizontal="left" vertical="bottom" textRotation="0" wrapText="false" shrinkToFit="false" indent="1"/>
    </xf>
    <xf xfId="0" fontId="10" numFmtId="0" fillId="0" borderId="104" applyFont="1" applyNumberFormat="0" applyFill="0" applyBorder="1" applyAlignment="1">
      <alignment horizontal="left" vertical="bottom" textRotation="0" wrapText="false" shrinkToFit="false" indent="1"/>
    </xf>
    <xf xfId="0" fontId="10" numFmtId="0" fillId="0" borderId="105" applyFont="1" applyNumberFormat="0" applyFill="0" applyBorder="1" applyAlignment="1">
      <alignment horizontal="left" vertical="bottom" textRotation="0" wrapText="false" shrinkToFit="false" indent="1"/>
    </xf>
    <xf xfId="0" fontId="10" numFmtId="0" fillId="0" borderId="66" applyFont="1" applyNumberFormat="0" applyFill="0" applyBorder="1" applyAlignment="1">
      <alignment horizontal="left" vertical="bottom" textRotation="0" wrapText="false" shrinkToFit="false" indent="1"/>
    </xf>
    <xf xfId="0" fontId="0" numFmtId="0" fillId="0" borderId="102" applyFont="0" applyNumberFormat="0" applyFill="0" applyBorder="1" applyAlignment="1">
      <alignment horizontal="center" vertical="bottom" textRotation="0" wrapText="false" shrinkToFit="false"/>
    </xf>
    <xf xfId="0" fontId="0" numFmtId="0" fillId="0" borderId="103" applyFont="0" applyNumberFormat="0" applyFill="0" applyBorder="1" applyAlignment="1">
      <alignment horizontal="center" vertical="bottom" textRotation="0" wrapText="false" shrinkToFit="false"/>
    </xf>
    <xf xfId="0" fontId="0" numFmtId="0" fillId="0" borderId="106" applyFont="0" applyNumberFormat="0" applyFill="0" applyBorder="1" applyAlignment="1">
      <alignment horizontal="center" vertical="bottom" textRotation="0" wrapText="false" shrinkToFit="false"/>
    </xf>
    <xf xfId="0" fontId="0" numFmtId="0" fillId="0" borderId="84" applyFont="0" applyNumberFormat="0" applyFill="0" applyBorder="1" applyAlignment="1">
      <alignment horizontal="center" vertical="bottom" textRotation="0" wrapText="false" shrinkToFit="false"/>
    </xf>
    <xf xfId="0" fontId="10" numFmtId="0" fillId="0" borderId="0" applyFont="1" applyNumberFormat="0" applyFill="0" applyBorder="0" applyAlignment="1" applyProtection="true">
      <alignment horizontal="center" vertical="bottom" textRotation="0" wrapText="false" shrinkToFit="false"/>
      <protection hidden="true"/>
    </xf>
    <xf xfId="0" fontId="10" numFmtId="0" fillId="0" borderId="80" applyFont="1" applyNumberFormat="0" applyFill="0" applyBorder="1" applyAlignment="1" applyProtection="true">
      <alignment horizontal="center" vertical="bottom" textRotation="0" wrapText="false" shrinkToFit="false"/>
      <protection hidden="true"/>
    </xf>
    <xf xfId="0" fontId="10" numFmtId="0" fillId="0" borderId="64" applyFont="1" applyNumberFormat="0" applyFill="0" applyBorder="1" applyAlignment="1">
      <alignment horizontal="left" vertical="center" textRotation="0" wrapText="true" shrinkToFit="false" indent="1"/>
    </xf>
    <xf xfId="0" fontId="10" numFmtId="0" fillId="0" borderId="63" applyFont="1" applyNumberFormat="0" applyFill="0" applyBorder="1" applyAlignment="1">
      <alignment horizontal="left" vertical="center" textRotation="0" wrapText="true" shrinkToFit="false" indent="1"/>
    </xf>
    <xf xfId="0" fontId="18" numFmtId="0" fillId="0" borderId="106" applyFont="1" applyNumberFormat="0" applyFill="0" applyBorder="1" applyAlignment="1" applyProtection="true">
      <alignment horizontal="left" vertical="center" textRotation="0" wrapText="false" shrinkToFit="false" indent="1"/>
      <protection hidden="true"/>
    </xf>
    <xf xfId="0" fontId="18" numFmtId="0" fillId="0" borderId="84" applyFont="1" applyNumberFormat="0" applyFill="0" applyBorder="1" applyAlignment="1" applyProtection="true">
      <alignment horizontal="left" vertical="center" textRotation="0" wrapText="false" shrinkToFit="false" indent="1"/>
      <protection hidden="true"/>
    </xf>
    <xf xfId="0" fontId="18" numFmtId="0" fillId="0" borderId="105" applyFont="1" applyNumberFormat="0" applyFill="0" applyBorder="1" applyAlignment="1" applyProtection="true">
      <alignment horizontal="left" vertical="center" textRotation="0" wrapText="false" shrinkToFit="false" indent="1"/>
      <protection hidden="true"/>
    </xf>
    <xf xfId="0" fontId="18" numFmtId="0" fillId="0" borderId="66" applyFont="1" applyNumberFormat="0" applyFill="0" applyBorder="1" applyAlignment="1" applyProtection="true">
      <alignment horizontal="left" vertical="center" textRotation="0" wrapText="false" shrinkToFit="false" indent="1"/>
      <protection hidden="true"/>
    </xf>
    <xf xfId="0" fontId="18" numFmtId="0" fillId="0" borderId="24" applyFont="1" applyNumberFormat="0" applyFill="0" applyBorder="1" applyAlignment="1" applyProtection="true">
      <alignment horizontal="left" vertical="center" textRotation="0" wrapText="false" shrinkToFit="false" indent="1"/>
      <protection hidden="true"/>
    </xf>
    <xf xfId="0" fontId="18" numFmtId="0" fillId="0" borderId="104" applyFont="1" applyNumberFormat="0" applyFill="0" applyBorder="1" applyAlignment="1" applyProtection="true">
      <alignment horizontal="left" vertical="center" textRotation="0" wrapText="false" shrinkToFit="false" indent="1"/>
      <protection hidden="true"/>
    </xf>
    <xf xfId="0" fontId="18" numFmtId="0" fillId="0" borderId="100" applyFont="1" applyNumberFormat="0" applyFill="0" applyBorder="1" applyAlignment="1" applyProtection="true">
      <alignment horizontal="left" vertical="bottom" textRotation="0" wrapText="false" shrinkToFit="false" indent="1"/>
      <protection hidden="true"/>
    </xf>
    <xf xfId="0" fontId="18" numFmtId="0" fillId="0" borderId="71" applyFont="1" applyNumberFormat="0" applyFill="0" applyBorder="1" applyAlignment="1" applyProtection="true">
      <alignment horizontal="left" vertical="bottom" textRotation="0" wrapText="false" shrinkToFit="false" indent="1"/>
      <protection hidden="true"/>
    </xf>
    <xf xfId="0" fontId="18" numFmtId="0" fillId="0" borderId="102" applyFont="1" applyNumberFormat="0" applyFill="0" applyBorder="1" applyAlignment="1" applyProtection="true">
      <alignment horizontal="left" vertical="bottom" textRotation="0" wrapText="false" shrinkToFit="false" indent="1"/>
      <protection hidden="true"/>
    </xf>
    <xf xfId="0" fontId="18" numFmtId="0" fillId="0" borderId="103" applyFont="1" applyNumberFormat="0" applyFill="0" applyBorder="1" applyAlignment="1" applyProtection="true">
      <alignment horizontal="left" vertical="bottom" textRotation="0" wrapText="false" shrinkToFit="false" indent="1"/>
      <protection hidden="true"/>
    </xf>
    <xf xfId="0" fontId="9" numFmtId="0" fillId="15" borderId="107" applyFont="1" applyNumberFormat="0" applyFill="1" applyBorder="1" applyAlignment="1" applyProtection="true">
      <alignment horizontal="center" vertical="center" textRotation="0" wrapText="true" shrinkToFit="false"/>
      <protection hidden="true"/>
    </xf>
    <xf xfId="0" fontId="44" numFmtId="0" fillId="16" borderId="108" applyFont="1" applyNumberFormat="0" applyFill="1" applyBorder="1" applyAlignment="1" applyProtection="true">
      <alignment horizontal="center" vertical="bottom" textRotation="0" wrapText="false" shrinkToFit="false"/>
      <protection hidden="true"/>
    </xf>
    <xf xfId="0" fontId="44" numFmtId="0" fillId="16" borderId="109" applyFont="1" applyNumberFormat="0" applyFill="1" applyBorder="1" applyAlignment="1" applyProtection="true">
      <alignment horizontal="center" vertical="bottom" textRotation="0" wrapText="false" shrinkToFit="false"/>
      <protection hidden="true"/>
    </xf>
    <xf xfId="0" fontId="45" numFmtId="0" fillId="0" borderId="45" applyFont="1" applyNumberFormat="0" applyFill="0" applyBorder="1" applyAlignment="1" applyProtection="true">
      <alignment horizontal="center" vertical="center" textRotation="0" wrapText="false" shrinkToFit="false"/>
      <protection hidden="true"/>
    </xf>
    <xf xfId="0" fontId="44" numFmtId="0" fillId="0" borderId="46" applyFont="1" applyNumberFormat="0" applyFill="0" applyBorder="1" applyAlignment="0" applyProtection="true">
      <protection hidden="true"/>
    </xf>
    <xf xfId="0" fontId="44" numFmtId="0" fillId="0" borderId="47" applyFont="1" applyNumberFormat="0" applyFill="0" applyBorder="1" applyAlignment="0" applyProtection="true">
      <protection hidden="true"/>
    </xf>
    <xf xfId="0" fontId="45" numFmtId="0" fillId="0" borderId="46" applyFont="1" applyNumberFormat="0" applyFill="0" applyBorder="1" applyAlignment="1" applyProtection="true">
      <alignment horizontal="center" vertical="center" textRotation="0" wrapText="false" shrinkToFit="false"/>
      <protection hidden="true"/>
    </xf>
    <xf xfId="0" fontId="45" numFmtId="0" fillId="0" borderId="47" applyFont="1" applyNumberFormat="0" applyFill="0" applyBorder="1" applyAlignment="1" applyProtection="true">
      <alignment horizontal="center" vertical="center" textRotation="0" wrapText="false" shrinkToFit="false"/>
      <protection hidden="true"/>
    </xf>
    <xf xfId="0" fontId="18" numFmtId="0" fillId="0" borderId="64" applyFont="1" applyNumberFormat="0" applyFill="0" applyBorder="1" applyAlignment="1" applyProtection="true">
      <alignment horizontal="left" vertical="center" textRotation="0" wrapText="false" shrinkToFit="false" indent="1"/>
      <protection hidden="true"/>
    </xf>
    <xf xfId="0" fontId="18" numFmtId="0" fillId="0" borderId="63" applyFont="1" applyNumberFormat="0" applyFill="0" applyBorder="1" applyAlignment="1" applyProtection="true">
      <alignment horizontal="left" vertical="center" textRotation="0" wrapText="false" shrinkToFit="false" indent="1"/>
      <protection hidden="true"/>
    </xf>
    <xf xfId="0" fontId="18" numFmtId="0" fillId="0" borderId="102" applyFont="1" applyNumberFormat="0" applyFill="0" applyBorder="1" applyAlignment="1" applyProtection="true">
      <alignment horizontal="left" vertical="center" textRotation="0" wrapText="false" shrinkToFit="false" indent="1"/>
      <protection hidden="true"/>
    </xf>
    <xf xfId="0" fontId="18" numFmtId="0" fillId="0" borderId="103" applyFont="1" applyNumberFormat="0" applyFill="0" applyBorder="1" applyAlignment="1" applyProtection="true">
      <alignment horizontal="left" vertical="center" textRotation="0" wrapText="false" shrinkToFit="false" indent="1"/>
      <protection hidden="true"/>
    </xf>
    <xf xfId="0" fontId="46" numFmtId="0" fillId="4" borderId="0" applyFont="1" applyNumberFormat="0" applyFill="1" applyBorder="0" applyAlignment="1" applyProtection="true">
      <alignment horizontal="left" vertical="center" textRotation="0" wrapText="false" shrinkToFit="false" indent="4"/>
      <protection hidden="true"/>
    </xf>
    <xf xfId="0" fontId="46" numFmtId="0" fillId="4" borderId="80" applyFont="1" applyNumberFormat="0" applyFill="1" applyBorder="1" applyAlignment="1" applyProtection="true">
      <alignment horizontal="left" vertical="center" textRotation="0" wrapText="false" shrinkToFit="false" indent="4"/>
      <protection hidden="true"/>
    </xf>
    <xf xfId="0" fontId="8" numFmtId="0" fillId="16" borderId="45" applyFont="1" applyNumberFormat="0" applyFill="1" applyBorder="1" applyAlignment="1" applyProtection="true">
      <alignment horizontal="center" vertical="center" textRotation="0" wrapText="false" shrinkToFit="false"/>
      <protection hidden="true"/>
    </xf>
    <xf xfId="0" fontId="44" numFmtId="0" fillId="16" borderId="46" applyFont="1" applyNumberFormat="0" applyFill="1" applyBorder="1" applyAlignment="0" applyProtection="true">
      <protection hidden="true"/>
    </xf>
    <xf xfId="0" fontId="44" numFmtId="0" fillId="16" borderId="47" applyFont="1" applyNumberFormat="0" applyFill="1" applyBorder="1" applyAlignment="0" applyProtection="true">
      <protection hidden="true"/>
    </xf>
    <xf xfId="0" fontId="46" numFmtId="0" fillId="0" borderId="36" applyFont="1" applyNumberFormat="0" applyFill="0" applyBorder="1" applyAlignment="1" applyProtection="true">
      <alignment horizontal="center" vertical="center" textRotation="0" wrapText="false" shrinkToFit="false"/>
      <protection hidden="true"/>
    </xf>
    <xf xfId="0" fontId="46" numFmtId="0" fillId="0" borderId="37" applyFont="1" applyNumberFormat="0" applyFill="0" applyBorder="1" applyAlignment="1" applyProtection="true">
      <alignment horizontal="center" vertical="center" textRotation="0" wrapText="false" shrinkToFit="false"/>
      <protection hidden="true"/>
    </xf>
    <xf xfId="0" fontId="46" numFmtId="0" fillId="0" borderId="19" applyFont="1" applyNumberFormat="0" applyFill="0" applyBorder="1" applyAlignment="1" applyProtection="true">
      <alignment horizontal="center" vertical="center" textRotation="0" wrapText="false" shrinkToFit="false"/>
      <protection hidden="true"/>
    </xf>
    <xf xfId="0" fontId="46" numFmtId="0" fillId="0" borderId="44" applyFont="1" applyNumberFormat="0" applyFill="0" applyBorder="1" applyAlignment="1" applyProtection="true">
      <alignment horizontal="center" vertical="center" textRotation="0" wrapText="false" shrinkToFit="false"/>
      <protection hidden="true"/>
    </xf>
    <xf xfId="0" fontId="8" numFmtId="0" fillId="4" borderId="88" applyFont="1" applyNumberFormat="0" applyFill="1" applyBorder="1" applyAlignment="1" applyProtection="true">
      <alignment horizontal="center" vertical="center" textRotation="0" wrapText="false" shrinkToFit="false"/>
      <protection hidden="true"/>
    </xf>
    <xf xfId="0" fontId="8" numFmtId="0" fillId="4" borderId="0" applyFont="1" applyNumberFormat="0" applyFill="1" applyBorder="0" applyAlignment="1" applyProtection="true">
      <alignment horizontal="center" vertical="center" textRotation="0" wrapText="false" shrinkToFit="false"/>
      <protection hidden="true"/>
    </xf>
    <xf xfId="0" fontId="47" numFmtId="0" fillId="4" borderId="110" applyFont="1" applyNumberFormat="0" applyFill="1" applyBorder="1" applyAlignment="1" applyProtection="true">
      <alignment horizontal="center" vertical="center" textRotation="0" wrapText="false" shrinkToFit="false"/>
      <protection hidden="true"/>
    </xf>
    <xf xfId="0" fontId="47" numFmtId="0" fillId="4" borderId="111" applyFont="1" applyNumberFormat="0" applyFill="1" applyBorder="1" applyAlignment="1" applyProtection="true">
      <alignment horizontal="center" vertical="center" textRotation="0" wrapText="false" shrinkToFit="false"/>
      <protection hidden="true"/>
    </xf>
    <xf xfId="0" fontId="47" numFmtId="0" fillId="4" borderId="112" applyFont="1" applyNumberFormat="0" applyFill="1" applyBorder="1" applyAlignment="1" applyProtection="true">
      <alignment horizontal="center" vertical="center" textRotation="0" wrapText="false" shrinkToFit="false"/>
      <protection hidden="true"/>
    </xf>
    <xf xfId="0" fontId="8" numFmtId="0" fillId="16" borderId="107" applyFont="1" applyNumberFormat="0" applyFill="1" applyBorder="1" applyAlignment="1" applyProtection="true">
      <alignment horizontal="center" vertical="center" textRotation="0" wrapText="false" shrinkToFit="false"/>
      <protection hidden="true"/>
    </xf>
    <xf xfId="0" fontId="8" numFmtId="0" fillId="16" borderId="108" applyFont="1" applyNumberFormat="0" applyFill="1" applyBorder="1" applyAlignment="1" applyProtection="true">
      <alignment horizontal="center" vertical="center" textRotation="0" wrapText="false" shrinkToFit="false"/>
      <protection hidden="true"/>
    </xf>
    <xf xfId="0" fontId="8" numFmtId="0" fillId="16" borderId="109" applyFont="1" applyNumberFormat="0" applyFill="1" applyBorder="1" applyAlignment="1" applyProtection="true">
      <alignment horizontal="center" vertical="center" textRotation="0" wrapText="false" shrinkToFit="false"/>
      <protection hidden="true"/>
    </xf>
    <xf xfId="0" fontId="48" numFmtId="0" fillId="0" borderId="45" applyFont="1" applyNumberFormat="0" applyFill="0" applyBorder="1" applyAlignment="1" applyProtection="true">
      <alignment horizontal="left" vertical="bottom" textRotation="0" wrapText="true" shrinkToFit="false"/>
      <protection hidden="true"/>
    </xf>
    <xf xfId="0" fontId="48" numFmtId="0" fillId="0" borderId="46" applyFont="1" applyNumberFormat="0" applyFill="0" applyBorder="1" applyAlignment="1" applyProtection="true">
      <alignment horizontal="left" vertical="bottom" textRotation="0" wrapText="true" shrinkToFit="false"/>
      <protection hidden="true"/>
    </xf>
    <xf xfId="0" fontId="48" numFmtId="0" fillId="0" borderId="47" applyFont="1" applyNumberFormat="0" applyFill="0" applyBorder="1" applyAlignment="1" applyProtection="true">
      <alignment horizontal="left" vertical="bottom" textRotation="0" wrapText="true" shrinkToFit="false"/>
      <protection hidden="true"/>
    </xf>
    <xf xfId="0" fontId="49" numFmtId="0" fillId="0" borderId="39" applyFont="1" applyNumberFormat="0" applyFill="0" applyBorder="1" applyAlignment="1" applyProtection="true">
      <alignment horizontal="left" vertical="center" textRotation="0" wrapText="false" shrinkToFit="false"/>
      <protection hidden="true"/>
    </xf>
    <xf xfId="0" fontId="49" numFmtId="0" fillId="0" borderId="40" applyFont="1" applyNumberFormat="0" applyFill="0" applyBorder="1" applyAlignment="1" applyProtection="true">
      <alignment horizontal="left" vertical="center" textRotation="0" wrapText="false" shrinkToFit="false"/>
      <protection hidden="true"/>
    </xf>
    <xf xfId="0" fontId="49" numFmtId="0" fillId="0" borderId="41" applyFont="1" applyNumberFormat="0" applyFill="0" applyBorder="1" applyAlignment="1" applyProtection="true">
      <alignment horizontal="left" vertical="center" textRotation="0" wrapText="false" shrinkToFit="false"/>
      <protection hidden="true"/>
    </xf>
    <xf xfId="0" fontId="49" numFmtId="0" fillId="0" borderId="36" applyFont="1" applyNumberFormat="0" applyFill="0" applyBorder="1" applyAlignment="1" applyProtection="true">
      <alignment horizontal="left" vertical="center" textRotation="0" wrapText="false" shrinkToFit="false"/>
      <protection hidden="true"/>
    </xf>
    <xf xfId="0" fontId="49" numFmtId="0" fillId="0" borderId="37" applyFont="1" applyNumberFormat="0" applyFill="0" applyBorder="1" applyAlignment="1" applyProtection="true">
      <alignment horizontal="left" vertical="center" textRotation="0" wrapText="false" shrinkToFit="false"/>
      <protection hidden="true"/>
    </xf>
    <xf xfId="0" fontId="49" numFmtId="0" fillId="0" borderId="38" applyFont="1" applyNumberFormat="0" applyFill="0" applyBorder="1" applyAlignment="1" applyProtection="true">
      <alignment horizontal="left" vertical="center" textRotation="0" wrapText="false" shrinkToFit="false"/>
      <protection hidden="true"/>
    </xf>
    <xf xfId="0" fontId="50" numFmtId="0" fillId="4" borderId="108" applyFont="1" applyNumberFormat="0" applyFill="1" applyBorder="1" applyAlignment="1" applyProtection="true">
      <alignment horizontal="center" vertical="center" textRotation="0" wrapText="false" shrinkToFit="false"/>
      <protection hidden="true"/>
    </xf>
    <xf xfId="0" fontId="0" numFmtId="0" fillId="0" borderId="1" applyFont="0" applyNumberFormat="0" applyFill="0" applyBorder="1" applyAlignment="0"/>
    <xf xfId="0" fontId="0" numFmtId="0" fillId="0" borderId="113" applyFont="0" applyNumberFormat="0" applyFill="0" applyBorder="1" applyAlignment="0"/>
    <xf xfId="0" fontId="0" numFmtId="0" fillId="0" borderId="114" applyFont="0" applyNumberFormat="0" applyFill="0" applyBorder="1" applyAlignment="0"/>
    <xf xfId="0" fontId="0" numFmtId="0" fillId="2" borderId="6" applyFont="0" applyNumberFormat="0" applyFill="1" applyBorder="1" applyAlignment="0"/>
    <xf xfId="0" fontId="0" numFmtId="0" fillId="2" borderId="0" applyFont="0" applyNumberFormat="0" applyFill="1" applyBorder="0" applyAlignment="0"/>
    <xf xfId="0" fontId="0" numFmtId="0" fillId="17" borderId="115" applyFont="0" applyNumberFormat="0" applyFill="1" applyBorder="1" applyAlignment="0"/>
    <xf xfId="0" fontId="0" numFmtId="0" fillId="17" borderId="114" applyFont="0" applyNumberFormat="0" applyFill="1" applyBorder="1" applyAlignment="0"/>
    <xf xfId="0" fontId="0" numFmtId="0" fillId="17" borderId="116" applyFont="0" applyNumberFormat="0" applyFill="1" applyBorder="1" applyAlignment="0"/>
    <xf xfId="0" fontId="0" numFmtId="0" fillId="0" borderId="117" applyFont="0" applyNumberFormat="0" applyFill="0" applyBorder="1" applyAlignment="0"/>
    <xf xfId="0" fontId="0" numFmtId="0" fillId="0" borderId="118" applyFont="0" applyNumberFormat="0" applyFill="0" applyBorder="1" applyAlignment="0"/>
    <xf xfId="0" fontId="0" numFmtId="0" fillId="0" borderId="119" applyFont="0" applyNumberFormat="0" applyFill="0" applyBorder="1" applyAlignment="0"/>
    <xf xfId="0" fontId="0" numFmtId="0" fillId="0" borderId="120" applyFont="0" applyNumberFormat="0" applyFill="0" applyBorder="1" applyAlignment="0"/>
    <xf xfId="0" fontId="0" numFmtId="0" fillId="0" borderId="121" applyFont="0" applyNumberFormat="0" applyFill="0" applyBorder="1" applyAlignment="0"/>
    <xf xfId="0" fontId="0" numFmtId="0" fillId="0" borderId="19" applyFont="0" applyNumberFormat="0" applyFill="0" applyBorder="1" applyAlignment="0"/>
    <xf xfId="0" fontId="0" numFmtId="0" fillId="0" borderId="122" applyFont="0" applyNumberFormat="0" applyFill="0" applyBorder="1" applyAlignment="0"/>
    <xf xfId="0" fontId="0" numFmtId="0" fillId="0" borderId="37" applyFont="0" applyNumberFormat="0" applyFill="0" applyBorder="1" applyAlignment="0"/>
    <xf xfId="0" fontId="3" numFmtId="0" fillId="2" borderId="8" applyFont="1" applyNumberFormat="0" applyFill="1" applyBorder="1" applyAlignment="1">
      <alignment horizontal="center" vertical="bottom" textRotation="0" wrapText="false" shrinkToFit="false"/>
    </xf>
    <xf xfId="0" fontId="3" numFmtId="0" fillId="2" borderId="3" applyFont="1" applyNumberFormat="0" applyFill="1" applyBorder="1" applyAlignment="1">
      <alignment horizontal="center" vertical="bottom" textRotation="0" wrapText="false" shrinkToFit="false"/>
    </xf>
    <xf xfId="0" fontId="3" numFmtId="0" fillId="2" borderId="4" applyFont="1" applyNumberFormat="0" applyFill="1" applyBorder="1" applyAlignment="1">
      <alignment horizontal="center" vertical="bottom" textRotation="0" wrapText="false" shrinkToFit="false"/>
    </xf>
    <xf xfId="0" fontId="0" numFmtId="0" fillId="0" borderId="1" applyFont="0" applyNumberFormat="0" applyFill="0" applyBorder="1" applyAlignment="1">
      <alignment horizontal="left" vertical="bottom" textRotation="0" wrapText="false" shrinkToFit="false" indent="1"/>
    </xf>
    <xf xfId="0" fontId="0" numFmtId="0" fillId="0" borderId="94" applyFont="0" applyNumberFormat="0" applyFill="0" applyBorder="1" applyAlignment="1">
      <alignment horizontal="left" vertical="bottom" textRotation="0" wrapText="false" shrinkToFit="false" indent="1"/>
    </xf>
    <xf xfId="0" fontId="0" numFmtId="0" fillId="0" borderId="113" applyFont="0" applyNumberFormat="0" applyFill="0" applyBorder="1" applyAlignment="1">
      <alignment horizontal="left" vertical="bottom" textRotation="0" wrapText="false" shrinkToFit="false" indent="1"/>
    </xf>
    <xf xfId="0" fontId="0" numFmtId="0" fillId="0" borderId="114" applyFont="0" applyNumberFormat="0" applyFill="0" applyBorder="1" applyAlignment="1">
      <alignment horizontal="left" vertical="bottom" textRotation="0" wrapText="false" shrinkToFit="false" indent="1"/>
    </xf>
    <xf xfId="0" fontId="3" numFmtId="0" fillId="11" borderId="21" applyFont="1" applyNumberFormat="0" applyFill="1" applyBorder="1" applyAlignment="1">
      <alignment horizontal="left" vertical="center" textRotation="0" wrapText="false" shrinkToFit="false" indent="1"/>
    </xf>
    <xf xfId="0" fontId="3" numFmtId="0" fillId="11" borderId="0" applyFont="1" applyNumberFormat="0" applyFill="1" applyBorder="0" applyAlignment="1">
      <alignment horizontal="left" vertical="center" textRotation="0" wrapText="false" shrinkToFit="false" indent="1"/>
    </xf>
    <xf xfId="0" fontId="3" numFmtId="0" fillId="11" borderId="101" applyFont="1" applyNumberFormat="0" applyFill="1" applyBorder="1" applyAlignment="1">
      <alignment horizontal="left" vertical="center" textRotation="0" wrapText="false" shrinkToFit="false" indent="1"/>
    </xf>
    <xf xfId="0" fontId="3" numFmtId="0" fillId="11" borderId="24" applyFont="1" applyNumberFormat="0" applyFill="1" applyBorder="1" applyAlignment="1">
      <alignment horizontal="left" vertical="center" textRotation="0" wrapText="false" shrinkToFit="false" indent="1"/>
    </xf>
    <xf xfId="0" fontId="0" numFmtId="0" fillId="0" borderId="0" applyFont="0" applyNumberFormat="0" applyFill="0" applyBorder="0" applyAlignment="1">
      <alignment horizontal="left" vertical="center" textRotation="0" wrapText="false" shrinkToFit="false" indent="2"/>
    </xf>
    <xf xfId="0" fontId="0" numFmtId="0" fillId="0" borderId="49" applyFont="0" applyNumberFormat="0" applyFill="0" applyBorder="1" applyAlignment="1">
      <alignment horizontal="left" vertical="center" textRotation="0" wrapText="false" shrinkToFit="false" indent="2"/>
    </xf>
    <xf xfId="0" fontId="0" numFmtId="0" fillId="0" borderId="24" applyFont="0" applyNumberFormat="0" applyFill="0" applyBorder="1" applyAlignment="1">
      <alignment horizontal="left" vertical="center" textRotation="0" wrapText="false" shrinkToFit="false" indent="2"/>
    </xf>
    <xf xfId="0" fontId="0" numFmtId="0" fillId="0" borderId="48" applyFont="0" applyNumberFormat="0" applyFill="0" applyBorder="1" applyAlignment="1">
      <alignment horizontal="left" vertical="center" textRotation="0" wrapText="false" shrinkToFit="false" indent="2"/>
    </xf>
    <xf xfId="0" fontId="40" numFmtId="0" fillId="18" borderId="107" applyFont="1" applyNumberFormat="0" applyFill="1" applyBorder="1" applyAlignment="1">
      <alignment horizontal="center" vertical="center" textRotation="0" wrapText="false" shrinkToFit="false"/>
    </xf>
    <xf xfId="0" fontId="40" numFmtId="0" fillId="18" borderId="108" applyFont="1" applyNumberFormat="0" applyFill="1" applyBorder="1" applyAlignment="1">
      <alignment horizontal="center" vertical="center" textRotation="0" wrapText="false" shrinkToFit="false"/>
    </xf>
    <xf xfId="0" fontId="40" numFmtId="0" fillId="18" borderId="109" applyFont="1" applyNumberFormat="0" applyFill="1" applyBorder="1" applyAlignment="1">
      <alignment horizontal="center" vertical="center" textRotation="0" wrapText="false" shrinkToFit="false"/>
    </xf>
    <xf xfId="0" fontId="40" numFmtId="0" fillId="18" borderId="21" applyFont="1" applyNumberFormat="0" applyFill="1" applyBorder="1" applyAlignment="1">
      <alignment horizontal="center" vertical="center" textRotation="0" wrapText="false" shrinkToFit="false"/>
    </xf>
    <xf xfId="0" fontId="40" numFmtId="0" fillId="18" borderId="0" applyFont="1" applyNumberFormat="0" applyFill="1" applyBorder="0" applyAlignment="1">
      <alignment horizontal="center" vertical="center" textRotation="0" wrapText="false" shrinkToFit="false"/>
    </xf>
    <xf xfId="0" fontId="40" numFmtId="0" fillId="18" borderId="49" applyFont="1" applyNumberFormat="0" applyFill="1" applyBorder="1" applyAlignment="1">
      <alignment horizontal="center" vertical="center" textRotation="0" wrapText="false" shrinkToFit="false"/>
    </xf>
    <xf xfId="0" fontId="27" numFmtId="0" fillId="0" borderId="123" applyFont="1" applyNumberFormat="0" applyFill="0" applyBorder="1" applyAlignment="1">
      <alignment horizontal="center" vertical="center" textRotation="0" wrapText="false" shrinkToFit="false"/>
    </xf>
    <xf xfId="0" fontId="27" numFmtId="0" fillId="0" borderId="124" applyFont="1" applyNumberFormat="0" applyFill="0" applyBorder="1" applyAlignment="1">
      <alignment horizontal="center" vertical="center" textRotation="0" wrapText="false" shrinkToFit="false"/>
    </xf>
    <xf xfId="0" fontId="0" numFmtId="0" fillId="0" borderId="8" applyFont="0" applyNumberFormat="0" applyFill="0" applyBorder="1" applyAlignment="1">
      <alignment horizontal="center" vertical="bottom" textRotation="0" wrapText="false" shrinkToFit="false"/>
    </xf>
    <xf xfId="0" fontId="0" numFmtId="0" fillId="0" borderId="4" applyFont="0" applyNumberFormat="0" applyFill="0" applyBorder="1" applyAlignment="1">
      <alignment horizontal="center" vertical="bottom" textRotation="0" wrapText="false" shrinkToFit="false"/>
    </xf>
    <xf xfId="0" fontId="4" numFmtId="0" fillId="10" borderId="8" applyFont="1" applyNumberFormat="0" applyFill="1" applyBorder="1" applyAlignment="1">
      <alignment horizontal="center" vertical="bottom" textRotation="0" wrapText="false" shrinkToFit="false"/>
    </xf>
    <xf xfId="0" fontId="4" numFmtId="0" fillId="10" borderId="3" applyFont="1" applyNumberFormat="0" applyFill="1" applyBorder="1" applyAlignment="1">
      <alignment horizontal="center" vertical="bottom" textRotation="0" wrapText="false" shrinkToFit="false"/>
    </xf>
    <xf xfId="0" fontId="4" numFmtId="0" fillId="10" borderId="4" applyFont="1" applyNumberFormat="0" applyFill="1" applyBorder="1" applyAlignment="1">
      <alignment horizontal="center" vertical="bottom" textRotation="0" wrapText="false" shrinkToFit="false"/>
    </xf>
    <xf xfId="0" fontId="0" numFmtId="0" fillId="0" borderId="125" applyFont="0" applyNumberFormat="0" applyFill="0" applyBorder="1" applyAlignment="1">
      <alignment horizontal="left" vertical="top" textRotation="0" wrapText="true" shrinkToFit="false" indent="1"/>
    </xf>
    <xf xfId="0" fontId="0" numFmtId="0" fillId="0" borderId="126" applyFont="0" applyNumberFormat="0" applyFill="0" applyBorder="1" applyAlignment="1">
      <alignment horizontal="left" vertical="top" textRotation="0" wrapText="true" shrinkToFit="false" indent="1"/>
    </xf>
    <xf xfId="0" fontId="0" numFmtId="0" fillId="0" borderId="127" applyFont="0" applyNumberFormat="0" applyFill="0" applyBorder="1" applyAlignment="1">
      <alignment horizontal="left" vertical="top" textRotation="0" wrapText="true" shrinkToFit="false" indent="1"/>
    </xf>
    <xf xfId="0" fontId="0" numFmtId="0" fillId="0" borderId="128" applyFont="0" applyNumberFormat="0" applyFill="0" applyBorder="1" applyAlignment="1">
      <alignment horizontal="left" vertical="top" textRotation="0" wrapText="true" shrinkToFit="false" indent="1"/>
    </xf>
    <xf xfId="0" fontId="0" numFmtId="0" fillId="0" borderId="129" applyFont="0" applyNumberFormat="0" applyFill="0" applyBorder="1" applyAlignment="1">
      <alignment horizontal="left" vertical="top" textRotation="0" wrapText="true" shrinkToFit="false" indent="1"/>
    </xf>
    <xf xfId="0" fontId="0" numFmtId="0" fillId="0" borderId="113" applyFont="0" applyNumberFormat="0" applyFill="0" applyBorder="1" applyAlignment="1">
      <alignment horizontal="left" vertical="top" textRotation="0" wrapText="false" shrinkToFit="false" indent="1"/>
    </xf>
    <xf xfId="0" fontId="0" numFmtId="0" fillId="0" borderId="116" applyFont="0" applyNumberFormat="0" applyFill="0" applyBorder="1" applyAlignment="1">
      <alignment horizontal="left" vertical="top" textRotation="0" wrapText="false" shrinkToFit="false" indent="1"/>
    </xf>
    <xf xfId="0" fontId="0" numFmtId="0" fillId="0" borderId="115" applyFont="0" applyNumberFormat="0" applyFill="0" applyBorder="1" applyAlignment="1">
      <alignment horizontal="left" vertical="top" textRotation="0" wrapText="true" shrinkToFit="false" indent="1"/>
    </xf>
    <xf xfId="0" fontId="0" numFmtId="0" fillId="0" borderId="114" applyFont="0" applyNumberFormat="0" applyFill="0" applyBorder="1" applyAlignment="1">
      <alignment horizontal="left" vertical="top" textRotation="0" wrapText="true" shrinkToFit="false" indent="1"/>
    </xf>
    <xf xfId="0" fontId="0" numFmtId="0" fillId="0" borderId="116" applyFont="0" applyNumberFormat="0" applyFill="0" applyBorder="1" applyAlignment="1">
      <alignment horizontal="left" vertical="top" textRotation="0" wrapText="true" shrinkToFit="false" indent="1"/>
    </xf>
    <xf xfId="0" fontId="0" numFmtId="0" fillId="0" borderId="115" applyFont="0" applyNumberFormat="0" applyFill="0" applyBorder="1" applyAlignment="1">
      <alignment horizontal="left" vertical="top" textRotation="0" wrapText="true" shrinkToFit="false" indent="1"/>
    </xf>
    <xf xfId="0" fontId="0" numFmtId="0" fillId="0" borderId="30" applyFont="0" applyNumberFormat="0" applyFill="0" applyBorder="1" applyAlignment="1">
      <alignment horizontal="left" vertical="top" textRotation="0" wrapText="true" shrinkToFit="false" indent="1"/>
    </xf>
    <xf xfId="0" fontId="39" numFmtId="0" fillId="10" borderId="130" applyFont="1" applyNumberFormat="0" applyFill="1" applyBorder="1" applyAlignment="1">
      <alignment horizontal="center" vertical="bottom" textRotation="0" wrapText="false" shrinkToFit="false"/>
    </xf>
    <xf xfId="0" fontId="39" numFmtId="0" fillId="10" borderId="96" applyFont="1" applyNumberFormat="0" applyFill="1" applyBorder="1" applyAlignment="1">
      <alignment horizontal="center" vertical="bottom" textRotation="0" wrapText="false" shrinkToFit="false"/>
    </xf>
    <xf xfId="0" fontId="39" numFmtId="0" fillId="10" borderId="131" applyFont="1" applyNumberFormat="0" applyFill="1" applyBorder="1" applyAlignment="1">
      <alignment horizontal="center" vertical="bottom" textRotation="0" wrapText="false" shrinkToFit="false"/>
    </xf>
    <xf xfId="0" fontId="0" numFmtId="0" fillId="2" borderId="113" applyFont="0" applyNumberFormat="0" applyFill="1" applyBorder="1" applyAlignment="1">
      <alignment horizontal="center" vertical="bottom" textRotation="0" wrapText="false" shrinkToFit="false"/>
    </xf>
    <xf xfId="0" fontId="0" numFmtId="0" fillId="2" borderId="116" applyFont="0" applyNumberFormat="0" applyFill="1" applyBorder="1" applyAlignment="1">
      <alignment horizontal="center" vertical="bottom" textRotation="0" wrapText="false" shrinkToFit="false"/>
    </xf>
    <xf xfId="0" fontId="0" numFmtId="0" fillId="2" borderId="115" applyFont="0" applyNumberFormat="0" applyFill="1" applyBorder="1" applyAlignment="1">
      <alignment horizontal="center" vertical="bottom" textRotation="0" wrapText="false" shrinkToFit="false"/>
    </xf>
    <xf xfId="0" fontId="0" numFmtId="0" fillId="2" borderId="114" applyFont="0" applyNumberFormat="0" applyFill="1" applyBorder="1" applyAlignment="1">
      <alignment horizontal="center" vertical="bottom" textRotation="0" wrapText="false" shrinkToFit="false"/>
    </xf>
    <xf xfId="0" fontId="0" numFmtId="0" fillId="2" borderId="30" applyFont="0" applyNumberFormat="0" applyFill="1" applyBorder="1" applyAlignment="1">
      <alignment horizontal="center" vertical="bottom" textRotation="0" wrapText="false" shrinkToFit="false"/>
    </xf>
    <xf xfId="0" fontId="0" numFmtId="0" fillId="0" borderId="116" applyFont="0" applyNumberFormat="0" applyFill="0" applyBorder="1" applyAlignment="1">
      <alignment horizontal="left" vertical="top" textRotation="0" wrapText="false" shrinkToFit="false" indent="1"/>
    </xf>
    <xf xfId="0" fontId="0" numFmtId="0" fillId="0" borderId="114" applyFont="0" applyNumberFormat="0" applyFill="0" applyBorder="1" applyAlignment="1">
      <alignment horizontal="left" vertical="top" textRotation="0" wrapText="true" shrinkToFit="false" indent="1"/>
    </xf>
    <xf xfId="0" fontId="0" numFmtId="0" fillId="0" borderId="116" applyFont="0" applyNumberFormat="0" applyFill="0" applyBorder="1" applyAlignment="1">
      <alignment horizontal="left" vertical="top" textRotation="0" wrapText="true" shrinkToFit="false" indent="1"/>
    </xf>
    <xf xfId="0" fontId="14" numFmtId="0" fillId="0" borderId="36" applyFont="1" applyNumberFormat="0" applyFill="0" applyBorder="1" applyAlignment="1" applyProtection="true">
      <alignment horizontal="left" vertical="center" textRotation="0" wrapText="false" shrinkToFit="false" indent="1"/>
      <protection locked="false"/>
    </xf>
    <xf xfId="0" fontId="14" numFmtId="0" fillId="0" borderId="37" applyFont="1" applyNumberFormat="0" applyFill="0" applyBorder="1" applyAlignment="1" applyProtection="true">
      <alignment horizontal="left" vertical="center" textRotation="0" wrapText="false" shrinkToFit="false" indent="1"/>
      <protection locked="false"/>
    </xf>
    <xf xfId="0" fontId="14" numFmtId="0" fillId="0" borderId="38" applyFont="1" applyNumberFormat="0" applyFill="0" applyBorder="1" applyAlignment="1" applyProtection="true">
      <alignment horizontal="left" vertical="center" textRotation="0" wrapText="false" shrinkToFit="false" indent="1"/>
      <protection locked="false"/>
    </xf>
    <xf xfId="0" fontId="14" numFmtId="0" fillId="0" borderId="36" applyFont="1" applyNumberFormat="0" applyFill="0" applyBorder="1" applyAlignment="1" applyProtection="true">
      <alignment horizontal="left" vertical="center" textRotation="0" wrapText="false" shrinkToFit="false" indent="2"/>
      <protection hidden="true"/>
    </xf>
    <xf xfId="0" fontId="14" numFmtId="0" fillId="0" borderId="37" applyFont="1" applyNumberFormat="0" applyFill="0" applyBorder="1" applyAlignment="1" applyProtection="true">
      <alignment horizontal="left" vertical="center" textRotation="0" wrapText="false" shrinkToFit="false" indent="2"/>
      <protection hidden="true"/>
    </xf>
    <xf xfId="0" fontId="14" numFmtId="0" fillId="0" borderId="38" applyFont="1" applyNumberFormat="0" applyFill="0" applyBorder="1" applyAlignment="1" applyProtection="true">
      <alignment horizontal="left" vertical="center" textRotation="0" wrapText="false" shrinkToFit="false" indent="2"/>
      <protection hidden="true"/>
    </xf>
    <xf xfId="0" fontId="13" numFmtId="0" fillId="0" borderId="36" applyFont="1" applyNumberFormat="0" applyFill="0" applyBorder="1" applyAlignment="1">
      <alignment horizontal="left" vertical="center" textRotation="0" wrapText="false" shrinkToFit="false" indent="1"/>
    </xf>
    <xf xfId="0" fontId="13" numFmtId="0" fillId="0" borderId="37" applyFont="1" applyNumberFormat="0" applyFill="0" applyBorder="1" applyAlignment="1">
      <alignment horizontal="left" vertical="center" textRotation="0" wrapText="false" shrinkToFit="false" indent="1"/>
    </xf>
    <xf xfId="0" fontId="13" numFmtId="0" fillId="0" borderId="38" applyFont="1" applyNumberFormat="0" applyFill="0" applyBorder="1" applyAlignment="1">
      <alignment horizontal="left" vertical="center" textRotation="0" wrapText="false" shrinkToFit="false" indent="1"/>
    </xf>
    <xf xfId="0" fontId="13" numFmtId="0" fillId="0" borderId="36" applyFont="1" applyNumberFormat="0" applyFill="0" applyBorder="1" applyAlignment="1" applyProtection="true">
      <alignment horizontal="left" vertical="center" textRotation="0" wrapText="false" shrinkToFit="false" indent="1"/>
      <protection hidden="true"/>
    </xf>
    <xf xfId="0" fontId="13" numFmtId="0" fillId="0" borderId="37" applyFont="1" applyNumberFormat="0" applyFill="0" applyBorder="1" applyAlignment="1" applyProtection="true">
      <alignment horizontal="left" vertical="center" textRotation="0" wrapText="false" shrinkToFit="false" indent="1"/>
      <protection hidden="true"/>
    </xf>
    <xf xfId="0" fontId="13" numFmtId="0" fillId="0" borderId="38" applyFont="1" applyNumberFormat="0" applyFill="0" applyBorder="1" applyAlignment="1" applyProtection="true">
      <alignment horizontal="left" vertical="center" textRotation="0" wrapText="false" shrinkToFit="false" indent="1"/>
      <protection hidden="true"/>
    </xf>
    <xf xfId="0" fontId="10" numFmtId="0" fillId="0" borderId="39" applyFont="1" applyNumberFormat="0" applyFill="0" applyBorder="1" applyAlignment="1" applyProtection="true">
      <alignment horizontal="center" vertical="center" textRotation="0" wrapText="false" shrinkToFit="false"/>
      <protection locked="false"/>
    </xf>
    <xf xfId="0" fontId="10" numFmtId="0" fillId="0" borderId="41" applyFont="1" applyNumberFormat="0" applyFill="0" applyBorder="1" applyAlignment="1" applyProtection="true">
      <alignment horizontal="center" vertical="center" textRotation="0" wrapText="false" shrinkToFit="false"/>
      <protection locked="false"/>
    </xf>
    <xf xfId="0" fontId="10" numFmtId="0" fillId="0" borderId="88" applyFont="1" applyNumberFormat="0" applyFill="0" applyBorder="1" applyAlignment="1" applyProtection="true">
      <alignment horizontal="center" vertical="center" textRotation="0" wrapText="false" shrinkToFit="false"/>
      <protection locked="false"/>
    </xf>
    <xf xfId="0" fontId="10" numFmtId="0" fillId="0" borderId="80" applyFont="1" applyNumberFormat="0" applyFill="0" applyBorder="1" applyAlignment="1" applyProtection="true">
      <alignment horizontal="center" vertical="center" textRotation="0" wrapText="false" shrinkToFit="false"/>
      <protection locked="false"/>
    </xf>
    <xf xfId="0" fontId="10" numFmtId="0" fillId="0" borderId="42" applyFont="1" applyNumberFormat="0" applyFill="0" applyBorder="1" applyAlignment="1" applyProtection="true">
      <alignment horizontal="center" vertical="center" textRotation="0" wrapText="false" shrinkToFit="false"/>
      <protection locked="false"/>
    </xf>
    <xf xfId="0" fontId="10" numFmtId="0" fillId="0" borderId="44" applyFont="1" applyNumberFormat="0" applyFill="0" applyBorder="1" applyAlignment="1" applyProtection="true">
      <alignment horizontal="center" vertical="center" textRotation="0" wrapText="false" shrinkToFit="false"/>
      <protection locked="false"/>
    </xf>
    <xf xfId="0" fontId="38" numFmtId="0" fillId="10" borderId="107" applyFont="1" applyNumberFormat="0" applyFill="1" applyBorder="1" applyAlignment="1">
      <alignment horizontal="center" vertical="center" textRotation="0" wrapText="false" shrinkToFit="false"/>
    </xf>
    <xf xfId="0" fontId="38" numFmtId="0" fillId="10" borderId="108" applyFont="1" applyNumberFormat="0" applyFill="1" applyBorder="1" applyAlignment="1">
      <alignment horizontal="center" vertical="center" textRotation="0" wrapText="false" shrinkToFit="false"/>
    </xf>
    <xf xfId="0" fontId="38" numFmtId="0" fillId="10" borderId="109" applyFont="1" applyNumberFormat="0" applyFill="1" applyBorder="1" applyAlignment="1">
      <alignment horizontal="center" vertical="center" textRotation="0" wrapText="false" shrinkToFit="false"/>
    </xf>
    <xf xfId="0" fontId="38" numFmtId="0" fillId="10" borderId="101" applyFont="1" applyNumberFormat="0" applyFill="1" applyBorder="1" applyAlignment="1">
      <alignment horizontal="center" vertical="center" textRotation="0" wrapText="false" shrinkToFit="false"/>
    </xf>
    <xf xfId="0" fontId="38" numFmtId="0" fillId="10" borderId="24" applyFont="1" applyNumberFormat="0" applyFill="1" applyBorder="1" applyAlignment="1">
      <alignment horizontal="center" vertical="center" textRotation="0" wrapText="false" shrinkToFit="false"/>
    </xf>
    <xf xfId="0" fontId="38" numFmtId="0" fillId="10" borderId="48" applyFont="1" applyNumberFormat="0" applyFill="1" applyBorder="1" applyAlignment="1">
      <alignment horizontal="center" vertical="center" textRotation="0" wrapText="false" shrinkToFit="false"/>
    </xf>
    <xf xfId="0" fontId="10" numFmtId="0" fillId="0" borderId="39" applyFont="1" applyNumberFormat="0" applyFill="0" applyBorder="1" applyAlignment="1">
      <alignment horizontal="center" vertical="center" textRotation="0" wrapText="false" shrinkToFit="false"/>
    </xf>
    <xf xfId="0" fontId="10" numFmtId="0" fillId="0" borderId="41" applyFont="1" applyNumberFormat="0" applyFill="0" applyBorder="1" applyAlignment="1">
      <alignment horizontal="center" vertical="center" textRotation="0" wrapText="false" shrinkToFit="false"/>
    </xf>
    <xf xfId="0" fontId="10" numFmtId="0" fillId="0" borderId="88" applyFont="1" applyNumberFormat="0" applyFill="0" applyBorder="1" applyAlignment="1">
      <alignment horizontal="center" vertical="center" textRotation="0" wrapText="false" shrinkToFit="false"/>
    </xf>
    <xf xfId="0" fontId="10" numFmtId="0" fillId="0" borderId="80" applyFont="1" applyNumberFormat="0" applyFill="0" applyBorder="1" applyAlignment="1">
      <alignment horizontal="center" vertical="center" textRotation="0" wrapText="false" shrinkToFit="false"/>
    </xf>
    <xf xfId="0" fontId="10" numFmtId="0" fillId="0" borderId="42" applyFont="1" applyNumberFormat="0" applyFill="0" applyBorder="1" applyAlignment="1">
      <alignment horizontal="center" vertical="center" textRotation="0" wrapText="false" shrinkToFit="false"/>
    </xf>
    <xf xfId="0" fontId="10" numFmtId="0" fillId="0" borderId="44" applyFont="1" applyNumberFormat="0" applyFill="0" applyBorder="1" applyAlignment="1">
      <alignment horizontal="center" vertical="center" textRotation="0" wrapText="false" shrinkToFit="false"/>
    </xf>
    <xf xfId="0" fontId="10" numFmtId="0" fillId="0" borderId="39" applyFont="1" applyNumberFormat="0" applyFill="0" applyBorder="1" applyAlignment="1">
      <alignment horizontal="center" vertical="bottom" textRotation="0" wrapText="false" shrinkToFit="false"/>
    </xf>
    <xf xfId="0" fontId="10" numFmtId="0" fillId="0" borderId="40" applyFont="1" applyNumberFormat="0" applyFill="0" applyBorder="1" applyAlignment="1">
      <alignment horizontal="center" vertical="bottom" textRotation="0" wrapText="false" shrinkToFit="false"/>
    </xf>
    <xf xfId="0" fontId="10" numFmtId="0" fillId="0" borderId="41" applyFont="1" applyNumberFormat="0" applyFill="0" applyBorder="1" applyAlignment="1">
      <alignment horizontal="center" vertical="bottom" textRotation="0" wrapText="false" shrinkToFit="false"/>
    </xf>
    <xf xfId="0" fontId="10" numFmtId="0" fillId="0" borderId="88" applyFont="1" applyNumberFormat="0" applyFill="0" applyBorder="1" applyAlignment="1">
      <alignment horizontal="center" vertical="bottom" textRotation="0" wrapText="false" shrinkToFit="false"/>
    </xf>
    <xf xfId="0" fontId="10" numFmtId="0" fillId="0" borderId="0" applyFont="1" applyNumberFormat="0" applyFill="0" applyBorder="0" applyAlignment="1">
      <alignment horizontal="center" vertical="bottom" textRotation="0" wrapText="false" shrinkToFit="false"/>
    </xf>
    <xf xfId="0" fontId="10" numFmtId="0" fillId="0" borderId="80" applyFont="1" applyNumberFormat="0" applyFill="0" applyBorder="1" applyAlignment="1">
      <alignment horizontal="center" vertical="bottom" textRotation="0" wrapText="false" shrinkToFit="false"/>
    </xf>
    <xf xfId="0" fontId="10" numFmtId="0" fillId="0" borderId="42" applyFont="1" applyNumberFormat="0" applyFill="0" applyBorder="1" applyAlignment="1">
      <alignment horizontal="center" vertical="bottom" textRotation="0" wrapText="false" shrinkToFit="false"/>
    </xf>
    <xf xfId="0" fontId="10" numFmtId="0" fillId="0" borderId="19" applyFont="1" applyNumberFormat="0" applyFill="0" applyBorder="1" applyAlignment="1">
      <alignment horizontal="center" vertical="bottom" textRotation="0" wrapText="false" shrinkToFit="false"/>
    </xf>
    <xf xfId="0" fontId="10" numFmtId="0" fillId="0" borderId="44" applyFont="1" applyNumberFormat="0" applyFill="0" applyBorder="1" applyAlignment="1">
      <alignment horizontal="center" vertical="bottom" textRotation="0" wrapText="false" shrinkToFit="false"/>
    </xf>
    <xf xfId="0" fontId="10" numFmtId="0" fillId="0" borderId="39" applyFont="1" applyNumberFormat="0" applyFill="0" applyBorder="1" applyAlignment="1">
      <alignment horizontal="left" vertical="center" textRotation="0" wrapText="false" shrinkToFit="false" indent="1"/>
    </xf>
    <xf xfId="0" fontId="10" numFmtId="0" fillId="0" borderId="40" applyFont="1" applyNumberFormat="0" applyFill="0" applyBorder="1" applyAlignment="1">
      <alignment horizontal="left" vertical="center" textRotation="0" wrapText="false" shrinkToFit="false" indent="1"/>
    </xf>
    <xf xfId="0" fontId="10" numFmtId="0" fillId="0" borderId="41" applyFont="1" applyNumberFormat="0" applyFill="0" applyBorder="1" applyAlignment="1">
      <alignment horizontal="left" vertical="center" textRotation="0" wrapText="false" shrinkToFit="false" indent="1"/>
    </xf>
    <xf xfId="0" fontId="10" numFmtId="0" fillId="0" borderId="88" applyFont="1" applyNumberFormat="0" applyFill="0" applyBorder="1" applyAlignment="1">
      <alignment horizontal="left" vertical="center" textRotation="0" wrapText="false" shrinkToFit="false" indent="1"/>
    </xf>
    <xf xfId="0" fontId="10" numFmtId="0" fillId="0" borderId="0" applyFont="1" applyNumberFormat="0" applyFill="0" applyBorder="0" applyAlignment="1">
      <alignment horizontal="left" vertical="center" textRotation="0" wrapText="false" shrinkToFit="false" indent="1"/>
    </xf>
    <xf xfId="0" fontId="10" numFmtId="0" fillId="0" borderId="80" applyFont="1" applyNumberFormat="0" applyFill="0" applyBorder="1" applyAlignment="1">
      <alignment horizontal="left" vertical="center" textRotation="0" wrapText="false" shrinkToFit="false" indent="1"/>
    </xf>
    <xf xfId="0" fontId="10" numFmtId="0" fillId="0" borderId="42" applyFont="1" applyNumberFormat="0" applyFill="0" applyBorder="1" applyAlignment="1">
      <alignment horizontal="left" vertical="center" textRotation="0" wrapText="false" shrinkToFit="false" indent="1"/>
    </xf>
    <xf xfId="0" fontId="10" numFmtId="0" fillId="0" borderId="19" applyFont="1" applyNumberFormat="0" applyFill="0" applyBorder="1" applyAlignment="1">
      <alignment horizontal="left" vertical="center" textRotation="0" wrapText="false" shrinkToFit="false" indent="1"/>
    </xf>
    <xf xfId="0" fontId="10" numFmtId="0" fillId="0" borderId="44" applyFont="1" applyNumberFormat="0" applyFill="0" applyBorder="1" applyAlignment="1">
      <alignment horizontal="left" vertical="center" textRotation="0" wrapText="false" shrinkToFit="false" indent="1"/>
    </xf>
    <xf xfId="0" fontId="10" numFmtId="0" fillId="0" borderId="39" applyFont="1" applyNumberFormat="0" applyFill="0" applyBorder="1" applyAlignment="1" applyProtection="true">
      <alignment horizontal="center" vertical="bottom" textRotation="0" wrapText="false" shrinkToFit="false"/>
      <protection locked="false"/>
    </xf>
    <xf xfId="0" fontId="10" numFmtId="0" fillId="0" borderId="41" applyFont="1" applyNumberFormat="0" applyFill="0" applyBorder="1" applyAlignment="1" applyProtection="true">
      <alignment horizontal="center" vertical="bottom" textRotation="0" wrapText="false" shrinkToFit="false"/>
      <protection locked="false"/>
    </xf>
    <xf xfId="0" fontId="10" numFmtId="0" fillId="0" borderId="88" applyFont="1" applyNumberFormat="0" applyFill="0" applyBorder="1" applyAlignment="1" applyProtection="true">
      <alignment horizontal="center" vertical="bottom" textRotation="0" wrapText="false" shrinkToFit="false"/>
      <protection locked="false"/>
    </xf>
    <xf xfId="0" fontId="10" numFmtId="0" fillId="0" borderId="80" applyFont="1" applyNumberFormat="0" applyFill="0" applyBorder="1" applyAlignment="1" applyProtection="true">
      <alignment horizontal="center" vertical="bottom" textRotation="0" wrapText="false" shrinkToFit="false"/>
      <protection locked="false"/>
    </xf>
    <xf xfId="0" fontId="10" numFmtId="0" fillId="0" borderId="42" applyFont="1" applyNumberFormat="0" applyFill="0" applyBorder="1" applyAlignment="1" applyProtection="true">
      <alignment horizontal="center" vertical="bottom" textRotation="0" wrapText="false" shrinkToFit="false"/>
      <protection locked="false"/>
    </xf>
    <xf xfId="0" fontId="10" numFmtId="0" fillId="0" borderId="44" applyFont="1" applyNumberFormat="0" applyFill="0" applyBorder="1" applyAlignment="1" applyProtection="true">
      <alignment horizontal="center" vertical="bottom" textRotation="0" wrapText="false" shrinkToFit="false"/>
      <protection locked="false"/>
    </xf>
    <xf xfId="0" fontId="10" numFmtId="0" fillId="0" borderId="39" applyFont="1" applyNumberFormat="0" applyFill="0" applyBorder="1" applyAlignment="1" applyProtection="true">
      <alignment horizontal="left" vertical="center" textRotation="0" wrapText="false" shrinkToFit="false" indent="3"/>
      <protection hidden="true"/>
    </xf>
    <xf xfId="0" fontId="10" numFmtId="0" fillId="0" borderId="40" applyFont="1" applyNumberFormat="0" applyFill="0" applyBorder="1" applyAlignment="1" applyProtection="true">
      <alignment horizontal="left" vertical="center" textRotation="0" wrapText="false" shrinkToFit="false" indent="3"/>
      <protection hidden="true"/>
    </xf>
    <xf xfId="0" fontId="10" numFmtId="0" fillId="0" borderId="41" applyFont="1" applyNumberFormat="0" applyFill="0" applyBorder="1" applyAlignment="1" applyProtection="true">
      <alignment horizontal="left" vertical="center" textRotation="0" wrapText="false" shrinkToFit="false" indent="3"/>
      <protection hidden="true"/>
    </xf>
    <xf xfId="0" fontId="10" numFmtId="0" fillId="0" borderId="88" applyFont="1" applyNumberFormat="0" applyFill="0" applyBorder="1" applyAlignment="1" applyProtection="true">
      <alignment horizontal="left" vertical="center" textRotation="0" wrapText="false" shrinkToFit="false" indent="3"/>
      <protection hidden="true"/>
    </xf>
    <xf xfId="0" fontId="10" numFmtId="0" fillId="0" borderId="0" applyFont="1" applyNumberFormat="0" applyFill="0" applyBorder="0" applyAlignment="1" applyProtection="true">
      <alignment horizontal="left" vertical="center" textRotation="0" wrapText="false" shrinkToFit="false" indent="3"/>
      <protection hidden="true"/>
    </xf>
    <xf xfId="0" fontId="10" numFmtId="0" fillId="0" borderId="80" applyFont="1" applyNumberFormat="0" applyFill="0" applyBorder="1" applyAlignment="1" applyProtection="true">
      <alignment horizontal="left" vertical="center" textRotation="0" wrapText="false" shrinkToFit="false" indent="3"/>
      <protection hidden="true"/>
    </xf>
    <xf xfId="0" fontId="10" numFmtId="0" fillId="0" borderId="42" applyFont="1" applyNumberFormat="0" applyFill="0" applyBorder="1" applyAlignment="1" applyProtection="true">
      <alignment horizontal="left" vertical="center" textRotation="0" wrapText="false" shrinkToFit="false" indent="3"/>
      <protection hidden="true"/>
    </xf>
    <xf xfId="0" fontId="10" numFmtId="0" fillId="0" borderId="19" applyFont="1" applyNumberFormat="0" applyFill="0" applyBorder="1" applyAlignment="1" applyProtection="true">
      <alignment horizontal="left" vertical="center" textRotation="0" wrapText="false" shrinkToFit="false" indent="3"/>
      <protection hidden="true"/>
    </xf>
    <xf xfId="0" fontId="10" numFmtId="0" fillId="0" borderId="44" applyFont="1" applyNumberFormat="0" applyFill="0" applyBorder="1" applyAlignment="1" applyProtection="true">
      <alignment horizontal="left" vertical="center" textRotation="0" wrapText="false" shrinkToFit="false" indent="3"/>
      <protection hidden="true"/>
    </xf>
    <xf xfId="0" fontId="13" numFmtId="0" fillId="0" borderId="107" applyFont="1" applyNumberFormat="0" applyFill="0" applyBorder="1" applyAlignment="1">
      <alignment horizontal="center" vertical="center" textRotation="0" wrapText="false" shrinkToFit="false"/>
    </xf>
    <xf xfId="0" fontId="13" numFmtId="0" fillId="0" borderId="108" applyFont="1" applyNumberFormat="0" applyFill="0" applyBorder="1" applyAlignment="1">
      <alignment horizontal="center" vertical="center" textRotation="0" wrapText="false" shrinkToFit="false"/>
    </xf>
    <xf xfId="0" fontId="13" numFmtId="0" fillId="0" borderId="109" applyFont="1" applyNumberFormat="0" applyFill="0" applyBorder="1" applyAlignment="1">
      <alignment horizontal="center" vertical="center" textRotation="0" wrapText="false" shrinkToFit="false"/>
    </xf>
    <xf xfId="0" fontId="13" numFmtId="0" fillId="0" borderId="21" applyFont="1" applyNumberFormat="0" applyFill="0" applyBorder="1" applyAlignment="1">
      <alignment horizontal="center" vertical="center" textRotation="0" wrapText="false" shrinkToFit="false"/>
    </xf>
    <xf xfId="0" fontId="13" numFmtId="0" fillId="0" borderId="0" applyFont="1" applyNumberFormat="0" applyFill="0" applyBorder="0" applyAlignment="1">
      <alignment horizontal="center" vertical="center" textRotation="0" wrapText="false" shrinkToFit="false"/>
    </xf>
    <xf xfId="0" fontId="13" numFmtId="0" fillId="0" borderId="49" applyFont="1" applyNumberFormat="0" applyFill="0" applyBorder="1" applyAlignment="1">
      <alignment horizontal="center" vertical="center" textRotation="0" wrapText="false" shrinkToFit="false"/>
    </xf>
    <xf xfId="0" fontId="13" numFmtId="0" fillId="0" borderId="101" applyFont="1" applyNumberFormat="0" applyFill="0" applyBorder="1" applyAlignment="1">
      <alignment horizontal="center" vertical="center" textRotation="0" wrapText="false" shrinkToFit="false"/>
    </xf>
    <xf xfId="0" fontId="13" numFmtId="0" fillId="0" borderId="24" applyFont="1" applyNumberFormat="0" applyFill="0" applyBorder="1" applyAlignment="1">
      <alignment horizontal="center" vertical="center" textRotation="0" wrapText="false" shrinkToFit="false"/>
    </xf>
    <xf xfId="0" fontId="13" numFmtId="0" fillId="0" borderId="48" applyFont="1" applyNumberFormat="0" applyFill="0" applyBorder="1" applyAlignment="1">
      <alignment horizontal="center" vertical="center" textRotation="0" wrapText="false" shrinkToFit="false"/>
    </xf>
    <xf xfId="0" fontId="13" numFmtId="0" fillId="0" borderId="88" applyFont="1" applyNumberFormat="0" applyFill="0" applyBorder="1" applyAlignment="1" applyProtection="true">
      <alignment horizontal="center" vertical="center" textRotation="0" wrapText="false" shrinkToFit="false"/>
      <protection hidden="true"/>
    </xf>
    <xf xfId="0" fontId="13" numFmtId="0" fillId="0" borderId="0" applyFont="1" applyNumberFormat="0" applyFill="0" applyBorder="0" applyAlignment="1" applyProtection="true">
      <alignment horizontal="center" vertical="center" textRotation="0" wrapText="false" shrinkToFit="false"/>
      <protection hidden="true"/>
    </xf>
    <xf xfId="0" fontId="13" numFmtId="0" fillId="0" borderId="80" applyFont="1" applyNumberFormat="0" applyFill="0" applyBorder="1" applyAlignment="1" applyProtection="true">
      <alignment horizontal="center" vertical="center" textRotation="0" wrapText="false" shrinkToFit="false"/>
      <protection hidden="true"/>
    </xf>
    <xf xfId="0" fontId="17" numFmtId="0" fillId="0" borderId="39" applyFont="1" applyNumberFormat="0" applyFill="0" applyBorder="1" applyAlignment="1">
      <alignment horizontal="center" vertical="bottom" textRotation="0" wrapText="false" shrinkToFit="false"/>
    </xf>
    <xf xfId="0" fontId="17" numFmtId="0" fillId="0" borderId="40" applyFont="1" applyNumberFormat="0" applyFill="0" applyBorder="1" applyAlignment="1">
      <alignment horizontal="center" vertical="bottom" textRotation="0" wrapText="false" shrinkToFit="false"/>
    </xf>
    <xf xfId="0" fontId="17" numFmtId="0" fillId="0" borderId="41" applyFont="1" applyNumberFormat="0" applyFill="0" applyBorder="1" applyAlignment="1">
      <alignment horizontal="center" vertical="bottom" textRotation="0" wrapText="false" shrinkToFit="false"/>
    </xf>
    <xf xfId="0" fontId="17" numFmtId="0" fillId="0" borderId="88" applyFont="1" applyNumberFormat="0" applyFill="0" applyBorder="1" applyAlignment="1">
      <alignment horizontal="center" vertical="bottom" textRotation="0" wrapText="false" shrinkToFit="false"/>
    </xf>
    <xf xfId="0" fontId="17" numFmtId="0" fillId="0" borderId="0" applyFont="1" applyNumberFormat="0" applyFill="0" applyBorder="0" applyAlignment="1">
      <alignment horizontal="center" vertical="bottom" textRotation="0" wrapText="false" shrinkToFit="false"/>
    </xf>
    <xf xfId="0" fontId="17" numFmtId="0" fillId="0" borderId="80" applyFont="1" applyNumberFormat="0" applyFill="0" applyBorder="1" applyAlignment="1">
      <alignment horizontal="center" vertical="bottom" textRotation="0" wrapText="false" shrinkToFit="false"/>
    </xf>
    <xf xfId="0" fontId="17" numFmtId="0" fillId="0" borderId="42" applyFont="1" applyNumberFormat="0" applyFill="0" applyBorder="1" applyAlignment="1">
      <alignment horizontal="center" vertical="bottom" textRotation="0" wrapText="false" shrinkToFit="false"/>
    </xf>
    <xf xfId="0" fontId="17" numFmtId="0" fillId="0" borderId="19" applyFont="1" applyNumberFormat="0" applyFill="0" applyBorder="1" applyAlignment="1">
      <alignment horizontal="center" vertical="bottom" textRotation="0" wrapText="false" shrinkToFit="false"/>
    </xf>
    <xf xfId="0" fontId="17" numFmtId="0" fillId="0" borderId="44" applyFont="1" applyNumberFormat="0" applyFill="0" applyBorder="1" applyAlignment="1">
      <alignment horizontal="center" vertical="bottom" textRotation="0" wrapText="false" shrinkToFit="false"/>
    </xf>
    <xf xfId="0" fontId="17" numFmtId="0" fillId="0" borderId="39" applyFont="1" applyNumberFormat="0" applyFill="0" applyBorder="1" applyAlignment="1" applyProtection="true">
      <alignment horizontal="center" vertical="bottom" textRotation="0" wrapText="false" shrinkToFit="false"/>
      <protection locked="false"/>
    </xf>
    <xf xfId="0" fontId="17" numFmtId="0" fillId="0" borderId="40" applyFont="1" applyNumberFormat="0" applyFill="0" applyBorder="1" applyAlignment="1" applyProtection="true">
      <alignment horizontal="center" vertical="bottom" textRotation="0" wrapText="false" shrinkToFit="false"/>
      <protection locked="false"/>
    </xf>
    <xf xfId="0" fontId="17" numFmtId="0" fillId="0" borderId="41" applyFont="1" applyNumberFormat="0" applyFill="0" applyBorder="1" applyAlignment="1" applyProtection="true">
      <alignment horizontal="center" vertical="bottom" textRotation="0" wrapText="false" shrinkToFit="false"/>
      <protection locked="false"/>
    </xf>
    <xf xfId="0" fontId="17" numFmtId="0" fillId="0" borderId="42" applyFont="1" applyNumberFormat="0" applyFill="0" applyBorder="1" applyAlignment="1" applyProtection="true">
      <alignment horizontal="center" vertical="bottom" textRotation="0" wrapText="false" shrinkToFit="false"/>
      <protection locked="false"/>
    </xf>
    <xf xfId="0" fontId="17" numFmtId="0" fillId="0" borderId="19" applyFont="1" applyNumberFormat="0" applyFill="0" applyBorder="1" applyAlignment="1" applyProtection="true">
      <alignment horizontal="center" vertical="bottom" textRotation="0" wrapText="false" shrinkToFit="false"/>
      <protection locked="false"/>
    </xf>
    <xf xfId="0" fontId="17" numFmtId="0" fillId="0" borderId="44" applyFont="1" applyNumberFormat="0" applyFill="0" applyBorder="1" applyAlignment="1" applyProtection="true">
      <alignment horizontal="center" vertical="bottom" textRotation="0" wrapText="false" shrinkToFit="false"/>
      <protection locked="false"/>
    </xf>
    <xf xfId="0" fontId="17" numFmtId="0" fillId="0" borderId="88" applyFont="1" applyNumberFormat="0" applyFill="0" applyBorder="1" applyAlignment="1" applyProtection="true">
      <alignment horizontal="center" vertical="bottom" textRotation="0" wrapText="false" shrinkToFit="false"/>
      <protection locked="false"/>
    </xf>
    <xf xfId="0" fontId="17" numFmtId="0" fillId="0" borderId="0" applyFont="1" applyNumberFormat="0" applyFill="0" applyBorder="0" applyAlignment="1" applyProtection="true">
      <alignment horizontal="center" vertical="bottom" textRotation="0" wrapText="false" shrinkToFit="false"/>
      <protection locked="false"/>
    </xf>
    <xf xfId="0" fontId="17" numFmtId="0" fillId="0" borderId="80" applyFont="1" applyNumberFormat="0" applyFill="0" applyBorder="1" applyAlignment="1" applyProtection="true">
      <alignment horizontal="center" vertical="bottom" textRotation="0" wrapText="false" shrinkToFit="false"/>
      <protection locked="false"/>
    </xf>
    <xf xfId="0" fontId="10" numFmtId="0" fillId="0" borderId="39" applyFont="1" applyNumberFormat="0" applyFill="0" applyBorder="1" applyAlignment="1" applyProtection="true">
      <alignment horizontal="left" vertical="center" textRotation="0" wrapText="true" shrinkToFit="false"/>
      <protection locked="false"/>
    </xf>
    <xf xfId="0" fontId="10" numFmtId="0" fillId="0" borderId="40" applyFont="1" applyNumberFormat="0" applyFill="0" applyBorder="1" applyAlignment="1" applyProtection="true">
      <alignment horizontal="left" vertical="center" textRotation="0" wrapText="true" shrinkToFit="false"/>
      <protection locked="false"/>
    </xf>
    <xf xfId="0" fontId="10" numFmtId="0" fillId="0" borderId="41" applyFont="1" applyNumberFormat="0" applyFill="0" applyBorder="1" applyAlignment="1" applyProtection="true">
      <alignment horizontal="left" vertical="center" textRotation="0" wrapText="true" shrinkToFit="false"/>
      <protection locked="false"/>
    </xf>
    <xf xfId="0" fontId="10" numFmtId="0" fillId="0" borderId="88" applyFont="1" applyNumberFormat="0" applyFill="0" applyBorder="1" applyAlignment="1" applyProtection="true">
      <alignment horizontal="left" vertical="center" textRotation="0" wrapText="true" shrinkToFit="false"/>
      <protection locked="false"/>
    </xf>
    <xf xfId="0" fontId="10" numFmtId="0" fillId="0" borderId="0" applyFont="1" applyNumberFormat="0" applyFill="0" applyBorder="0" applyAlignment="1" applyProtection="true">
      <alignment horizontal="left" vertical="center" textRotation="0" wrapText="true" shrinkToFit="false"/>
      <protection locked="false"/>
    </xf>
    <xf xfId="0" fontId="10" numFmtId="0" fillId="0" borderId="80" applyFont="1" applyNumberFormat="0" applyFill="0" applyBorder="1" applyAlignment="1" applyProtection="true">
      <alignment horizontal="left" vertical="center" textRotation="0" wrapText="true" shrinkToFit="false"/>
      <protection locked="false"/>
    </xf>
    <xf xfId="0" fontId="10" numFmtId="0" fillId="0" borderId="42" applyFont="1" applyNumberFormat="0" applyFill="0" applyBorder="1" applyAlignment="1" applyProtection="true">
      <alignment horizontal="left" vertical="center" textRotation="0" wrapText="true" shrinkToFit="false"/>
      <protection locked="false"/>
    </xf>
    <xf xfId="0" fontId="10" numFmtId="0" fillId="0" borderId="19" applyFont="1" applyNumberFormat="0" applyFill="0" applyBorder="1" applyAlignment="1" applyProtection="true">
      <alignment horizontal="left" vertical="center" textRotation="0" wrapText="true" shrinkToFit="false"/>
      <protection locked="false"/>
    </xf>
    <xf xfId="0" fontId="10" numFmtId="0" fillId="0" borderId="44" applyFont="1" applyNumberFormat="0" applyFill="0" applyBorder="1" applyAlignment="1" applyProtection="true">
      <alignment horizontal="left" vertical="center" textRotation="0" wrapText="true" shrinkToFit="false"/>
      <protection locked="false"/>
    </xf>
    <xf xfId="0" fontId="17" numFmtId="0" fillId="0" borderId="39" applyFont="1" applyNumberFormat="0" applyFill="0" applyBorder="1" applyAlignment="1" applyProtection="true">
      <alignment horizontal="center" vertical="center" textRotation="0" wrapText="false" shrinkToFit="false"/>
      <protection locked="false"/>
    </xf>
    <xf xfId="0" fontId="17" numFmtId="0" fillId="0" borderId="40" applyFont="1" applyNumberFormat="0" applyFill="0" applyBorder="1" applyAlignment="1" applyProtection="true">
      <alignment horizontal="center" vertical="center" textRotation="0" wrapText="false" shrinkToFit="false"/>
      <protection locked="false"/>
    </xf>
    <xf xfId="0" fontId="17" numFmtId="0" fillId="0" borderId="41" applyFont="1" applyNumberFormat="0" applyFill="0" applyBorder="1" applyAlignment="1" applyProtection="true">
      <alignment horizontal="center" vertical="center" textRotation="0" wrapText="false" shrinkToFit="false"/>
      <protection locked="false"/>
    </xf>
    <xf xfId="0" fontId="17" numFmtId="0" fillId="0" borderId="42" applyFont="1" applyNumberFormat="0" applyFill="0" applyBorder="1" applyAlignment="1" applyProtection="true">
      <alignment horizontal="center" vertical="center" textRotation="0" wrapText="false" shrinkToFit="false"/>
      <protection locked="false"/>
    </xf>
    <xf xfId="0" fontId="17" numFmtId="0" fillId="0" borderId="19" applyFont="1" applyNumberFormat="0" applyFill="0" applyBorder="1" applyAlignment="1" applyProtection="true">
      <alignment horizontal="center" vertical="center" textRotation="0" wrapText="false" shrinkToFit="false"/>
      <protection locked="false"/>
    </xf>
    <xf xfId="0" fontId="17" numFmtId="0" fillId="0" borderId="44" applyFont="1" applyNumberFormat="0" applyFill="0" applyBorder="1" applyAlignment="1" applyProtection="true">
      <alignment horizontal="center" vertical="center" textRotation="0" wrapText="false" shrinkToFit="false"/>
      <protection locked="false"/>
    </xf>
    <xf xfId="0" fontId="22" numFmtId="0" fillId="5" borderId="0" applyFont="1" applyNumberFormat="0" applyFill="1" applyBorder="0" applyAlignment="1">
      <alignment horizontal="center" vertical="center" textRotation="0" wrapText="false" shrinkToFit="false"/>
    </xf>
    <xf xfId="0" fontId="22" numFmtId="0" fillId="0" borderId="0" applyFont="1" applyNumberFormat="0" applyFill="0" applyBorder="0" applyAlignment="1">
      <alignment horizontal="left" vertical="center" textRotation="0" wrapText="true" shrinkToFit="false"/>
    </xf>
    <xf xfId="0" fontId="22" numFmtId="0" fillId="0" borderId="0" applyFont="1" applyNumberFormat="0" applyFill="0" applyBorder="0" applyAlignment="1">
      <alignment horizontal="left" vertical="center" textRotation="0" wrapText="false" shrinkToFit="false"/>
    </xf>
    <xf xfId="0" fontId="3" numFmtId="0" fillId="5" borderId="0" applyFont="1" applyNumberFormat="0" applyFill="1" applyBorder="0" applyAlignment="1">
      <alignment horizontal="center" vertical="center" textRotation="0" wrapText="false" shrinkToFit="false"/>
    </xf>
    <xf xfId="0" fontId="25" numFmtId="0" fillId="19" borderId="0" applyFont="1" applyNumberFormat="0" applyFill="1" applyBorder="0" applyAlignment="1">
      <alignment horizontal="center" vertical="center" textRotation="0" wrapText="false" shrinkToFit="false"/>
    </xf>
    <xf xfId="0" fontId="51" numFmtId="0" fillId="5" borderId="22" applyFont="1" applyNumberFormat="0" applyFill="1" applyBorder="1" applyAlignment="1">
      <alignment horizontal="center" vertical="center" textRotation="0" wrapText="true" shrinkToFit="false"/>
    </xf>
    <xf xfId="0" fontId="51" numFmtId="0" fillId="5" borderId="50" applyFont="1" applyNumberFormat="0" applyFill="1" applyBorder="1" applyAlignment="1">
      <alignment horizontal="center" vertical="center" textRotation="0" wrapText="true" shrinkToFit="false"/>
    </xf>
    <xf xfId="0" fontId="52" numFmtId="0" fillId="19" borderId="45" applyFont="1" applyNumberFormat="0" applyFill="1" applyBorder="1" applyAlignment="1">
      <alignment horizontal="center" vertical="center" textRotation="0" wrapText="true" shrinkToFit="false"/>
    </xf>
    <xf xfId="0" fontId="52" numFmtId="0" fillId="19" borderId="46" applyFont="1" applyNumberFormat="0" applyFill="1" applyBorder="1" applyAlignment="1">
      <alignment horizontal="center" vertical="center" textRotation="0" wrapText="true" shrinkToFit="false"/>
    </xf>
    <xf xfId="0" fontId="52" numFmtId="0" fillId="19" borderId="0" applyFont="1" applyNumberFormat="0" applyFill="1" applyBorder="0" applyAlignment="1" applyProtection="true">
      <alignment horizontal="center" vertical="center" textRotation="0" wrapText="true" shrinkToFit="false"/>
      <protection locked="false"/>
    </xf>
    <xf xfId="0" fontId="0" numFmtId="0" fillId="5" borderId="0" applyFont="0" applyNumberFormat="0" applyFill="1" applyBorder="0" applyAlignment="1" applyProtection="true">
      <alignment horizontal="center" vertical="bottom" textRotation="0" wrapText="false" shrinkToFit="false"/>
      <protection locked="false"/>
    </xf>
    <xf xfId="0" fontId="51" numFmtId="0" fillId="0" borderId="0" applyFont="1" applyNumberFormat="0" applyFill="0" applyBorder="0" applyAlignment="1">
      <alignment horizontal="center" vertical="center" textRotation="0" wrapText="false" shrinkToFit="false"/>
    </xf>
    <xf xfId="0" fontId="22" numFmtId="0" fillId="0" borderId="0" applyFont="1" applyNumberFormat="0" applyFill="0" applyBorder="0" applyAlignment="1" applyProtection="true">
      <alignment horizontal="center" vertical="center" textRotation="0" wrapText="true" shrinkToFit="false"/>
      <protection locked="false"/>
    </xf>
    <xf xfId="0" fontId="22" numFmtId="0" fillId="0" borderId="0" applyFont="1" applyNumberFormat="0" applyFill="0" applyBorder="0" applyAlignment="1">
      <alignment horizontal="center" vertical="center" textRotation="0" wrapText="false" shrinkToFit="false"/>
    </xf>
    <xf xfId="0" fontId="25" numFmtId="0" fillId="5" borderId="0" applyFont="1" applyNumberFormat="0" applyFill="1" applyBorder="0" applyAlignment="1">
      <alignment horizontal="center" vertical="center" textRotation="0" wrapText="false" shrinkToFit="false"/>
    </xf>
    <xf xfId="0" fontId="2" numFmtId="0" fillId="0" borderId="6" applyFont="1" applyNumberFormat="0" applyFill="0" applyBorder="1" applyAlignment="1">
      <alignment horizontal="left" vertical="center" textRotation="0" wrapText="false" shrinkToFit="false" indent="1"/>
    </xf>
    <xf xfId="0" fontId="7" numFmtId="0" fillId="0" borderId="132" applyFont="1" applyNumberFormat="0" applyFill="0" applyBorder="1" applyAlignment="1" applyProtection="true">
      <alignment horizontal="center" vertical="center" textRotation="0" wrapText="false" shrinkToFit="false"/>
      <protection hidden="tru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noThreeD="1"/>
</file>

<file path=xl/drawings/_rels/drawing1.xml.rels><?xml version="1.0" encoding="UTF-8" standalone="yes"?>
<Relationships xmlns="http://schemas.openxmlformats.org/package/2006/relationships"><Relationship Id="rId1" Type="http://schemas.openxmlformats.org/officeDocument/2006/relationships/image" Target="../media/3abac14930fa863fb9ef1e3d8efac45b.png"/></Relationships>
</file>

<file path=xl/drawings/_rels/vmlDrawing8.vml.rels><?xml version="1.0" encoding="UTF-8" standalone="yes"?>
<Relationships xmlns="http://schemas.openxmlformats.org/package/2006/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323850</xdr:colOff>
      <xdr:row>4</xdr:row>
      <xdr:rowOff>19050</xdr:rowOff>
    </xdr:to>
    <xdr:pic>
      <xdr:nvPicPr>
        <xdr:cNvPr id="1" name="Image 5" descr=""/>
        <xdr:cNvPicPr>
          <a:picLocks noChangeAspect="1"/>
        </xdr:cNvPicPr>
      </xdr:nvPicPr>
      <xdr:blipFill>
        <a:blip xmlns:r="http://schemas.openxmlformats.org/officeDocument/2006/relationships" r:embed="rId1"/>
        <a:stretch>
          <a:fillRect/>
        </a:stretch>
      </xdr:blipFill>
      <xdr:spPr>
        <a:xfrm rot="0">
          <a:ext cx="2609850" cy="7810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69850</xdr:colOff>
          <xdr:row>4</xdr:row>
          <xdr:rowOff>50800</xdr:rowOff>
        </xdr:from>
        <xdr:to>
          <xdr:col>1</xdr:col>
          <xdr:colOff>736600</xdr:colOff>
          <xdr:row>5</xdr:row>
          <xdr:rowOff>57150</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700-00000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Oui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5</xdr:row>
          <xdr:rowOff>50800</xdr:rowOff>
        </xdr:from>
        <xdr:to>
          <xdr:col>1</xdr:col>
          <xdr:colOff>736600</xdr:colOff>
          <xdr:row>6</xdr:row>
          <xdr:rowOff>298450</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700-00000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Oui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57150</xdr:colOff>
          <xdr:row>4</xdr:row>
          <xdr:rowOff>38100</xdr:rowOff>
        </xdr:from>
        <xdr:to>
          <xdr:col>2</xdr:col>
          <xdr:colOff>704850</xdr:colOff>
          <xdr:row>5</xdr:row>
          <xdr:rowOff>19050</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700-00000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Non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5</xdr:row>
          <xdr:rowOff>107950</xdr:rowOff>
        </xdr:from>
        <xdr:to>
          <xdr:col>2</xdr:col>
          <xdr:colOff>527050</xdr:colOff>
          <xdr:row>6</xdr:row>
          <xdr:rowOff>266700</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700-00000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Non</a:t>
              </a:r>
            </a:p>
          </xdr:txBody>
        </xdr:sp>
        <xdr:clientData fLocksWithSheet="0"/>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ps"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ps"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ps"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ps"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ps"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ps"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_comments_vml1" Type="http://schemas.openxmlformats.org/officeDocument/2006/relationships/vmlDrawing" Target="../drawings/vmlDrawing8.vml"/><Relationship Id="rId7" Type="http://schemas.openxmlformats.org/officeDocument/2006/relationships/ctrlProp" Target="../ctrlProps/ctrlProp4.xml"/><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 Id="rId3" Type="http://schemas.openxmlformats.org/officeDocument/2006/relationships/vmlDrawing" Target="../drawings/vmlDrawing1.vml"/><Relationship Id="rId1ps"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G46"/>
  <sheetViews>
    <sheetView tabSelected="0" workbookViewId="0" showGridLines="true" showRowColHeaders="1" topLeftCell="A22">
      <selection activeCell="C18" sqref="C18:F19"/>
    </sheetView>
  </sheetViews>
  <sheetFormatPr defaultRowHeight="14.4" outlineLevelRow="0" outlineLevelCol="0"/>
  <cols>
    <col min="6" max="6" width="11.7265625" customWidth="true" style="0"/>
    <col min="7" max="7" width="17" customWidth="true" style="0"/>
  </cols>
  <sheetData>
    <row r="1" spans="1:7">
      <c r="A1"/>
    </row>
    <row r="18" spans="1:7">
      <c r="C18" s="328" t="s">
        <v>0</v>
      </c>
      <c r="D18" s="328"/>
      <c r="E18" s="328"/>
      <c r="F18" s="328"/>
    </row>
    <row r="19" spans="1:7">
      <c r="C19" s="328"/>
      <c r="D19" s="328"/>
      <c r="E19" s="328"/>
      <c r="F19" s="328"/>
    </row>
    <row r="20" spans="1:7">
      <c r="C20" s="328" t="s">
        <v>1</v>
      </c>
      <c r="D20" s="328"/>
      <c r="E20" s="328"/>
      <c r="F20" s="328"/>
    </row>
    <row r="21" spans="1:7">
      <c r="C21" s="328"/>
      <c r="D21" s="328"/>
      <c r="E21" s="328"/>
      <c r="F21" s="328"/>
    </row>
    <row r="24" spans="1:7">
      <c r="B24" s="329" t="s">
        <v>2</v>
      </c>
      <c r="C24" s="329"/>
    </row>
    <row r="26" spans="1:7">
      <c r="B26" s="52"/>
      <c r="C26" s="52"/>
      <c r="D26" s="324" t="s">
        <v>3</v>
      </c>
      <c r="E26" s="324"/>
      <c r="F26" s="326" t="s">
        <v>4</v>
      </c>
      <c r="G26" s="326"/>
    </row>
    <row r="27" spans="1:7">
      <c r="B27" s="52"/>
      <c r="C27" s="52"/>
      <c r="D27" s="324" t="s">
        <v>5</v>
      </c>
      <c r="E27" s="324"/>
      <c r="F27" s="326" t="s">
        <v>6</v>
      </c>
      <c r="G27" s="326"/>
    </row>
    <row r="28" spans="1:7">
      <c r="B28" s="52"/>
      <c r="C28" s="52"/>
      <c r="D28" s="324" t="s">
        <v>7</v>
      </c>
      <c r="E28" s="324"/>
      <c r="F28" s="326" t="s">
        <v>8</v>
      </c>
      <c r="G28" s="326"/>
    </row>
    <row r="29" spans="1:7">
      <c r="B29" s="52"/>
      <c r="C29" s="52"/>
      <c r="D29" s="324" t="s">
        <v>9</v>
      </c>
      <c r="E29" s="324"/>
      <c r="F29" s="326"/>
      <c r="G29" s="326"/>
    </row>
    <row r="30" spans="1:7">
      <c r="B30" s="52"/>
      <c r="C30" s="52"/>
      <c r="D30" s="52"/>
      <c r="E30" s="52"/>
      <c r="F30" s="52"/>
      <c r="G30" s="52"/>
    </row>
    <row r="31" spans="1:7">
      <c r="B31" s="52"/>
      <c r="C31" s="52"/>
      <c r="D31" s="52"/>
      <c r="E31" s="52"/>
      <c r="F31" s="52"/>
      <c r="G31" s="52"/>
    </row>
    <row r="32" spans="1:7">
      <c r="B32" s="52"/>
      <c r="C32" s="52"/>
      <c r="D32" s="52"/>
      <c r="E32" s="52"/>
      <c r="F32" s="52"/>
      <c r="G32" s="52"/>
    </row>
    <row r="33" spans="1:7">
      <c r="B33" s="52"/>
      <c r="C33" s="52"/>
      <c r="D33" s="52"/>
      <c r="E33" s="52"/>
      <c r="F33" s="52"/>
      <c r="G33" s="52"/>
    </row>
    <row r="34" spans="1:7">
      <c r="B34" s="52"/>
      <c r="C34" s="52"/>
      <c r="D34" s="52"/>
      <c r="E34" s="52"/>
      <c r="F34" s="52"/>
      <c r="G34" s="52"/>
    </row>
    <row r="35" spans="1:7">
      <c r="B35" s="324" t="s">
        <v>10</v>
      </c>
      <c r="C35" s="324"/>
      <c r="D35" s="327"/>
      <c r="E35" s="327"/>
      <c r="F35" s="327"/>
      <c r="G35" s="327"/>
    </row>
    <row r="36" spans="1:7">
      <c r="B36" s="53"/>
      <c r="C36" s="53"/>
      <c r="D36" s="53"/>
      <c r="E36" s="53"/>
      <c r="F36" s="53"/>
      <c r="G36" s="53"/>
    </row>
    <row r="37" spans="1:7">
      <c r="B37" s="52"/>
      <c r="C37" s="52"/>
      <c r="D37" s="52"/>
      <c r="E37" s="52"/>
      <c r="F37" s="52"/>
      <c r="G37" s="52"/>
    </row>
    <row r="38" spans="1:7">
      <c r="B38" s="52"/>
      <c r="C38" s="52"/>
      <c r="D38" s="52"/>
      <c r="E38" s="52"/>
      <c r="F38" s="52"/>
      <c r="G38" s="52"/>
    </row>
    <row r="39" spans="1:7">
      <c r="B39" s="325" t="s">
        <v>11</v>
      </c>
      <c r="C39" s="326"/>
      <c r="D39" s="326"/>
      <c r="E39" s="326"/>
      <c r="F39" s="326"/>
      <c r="G39" s="326"/>
    </row>
    <row r="40" spans="1:7">
      <c r="B40" s="52"/>
      <c r="C40" s="52"/>
      <c r="D40" s="52"/>
      <c r="E40" s="52"/>
      <c r="F40" s="52"/>
      <c r="G40" s="52"/>
    </row>
    <row r="41" spans="1:7">
      <c r="B41" s="52"/>
      <c r="C41" s="52"/>
      <c r="D41" s="52"/>
      <c r="E41" s="52"/>
      <c r="F41" s="52"/>
      <c r="G41" s="52"/>
    </row>
    <row r="42" spans="1:7">
      <c r="B42" s="324" t="s">
        <v>12</v>
      </c>
      <c r="C42" s="324"/>
      <c r="D42" s="52"/>
      <c r="E42" s="52"/>
      <c r="F42" s="52"/>
      <c r="G42" s="52"/>
    </row>
    <row r="43" spans="1:7">
      <c r="B43" s="53"/>
      <c r="C43" s="53"/>
      <c r="D43" s="53"/>
      <c r="E43" s="53"/>
      <c r="F43" s="53"/>
      <c r="G43" s="53"/>
    </row>
    <row r="44" spans="1:7">
      <c r="B44" s="52"/>
      <c r="C44" s="52"/>
      <c r="D44" s="52"/>
      <c r="E44" s="52"/>
      <c r="F44" s="52"/>
      <c r="G44" s="52"/>
    </row>
    <row r="45" spans="1:7">
      <c r="B45" s="324" t="s">
        <v>13</v>
      </c>
      <c r="C45" s="324"/>
      <c r="D45" s="52"/>
      <c r="E45" s="52"/>
      <c r="F45" s="52"/>
      <c r="G45" s="52"/>
    </row>
    <row r="46" spans="1:7">
      <c r="B46" s="53"/>
      <c r="C46" s="53"/>
      <c r="D46" s="53"/>
      <c r="E46" s="53"/>
      <c r="F46" s="53"/>
      <c r="G46" s="53"/>
    </row>
  </sheetData>
  <mergeCells>
    <mergeCell ref="F28:G28"/>
    <mergeCell ref="C18:F19"/>
    <mergeCell ref="C20:F21"/>
    <mergeCell ref="B24:C24"/>
    <mergeCell ref="F26:G26"/>
    <mergeCell ref="F27:G27"/>
    <mergeCell ref="D27:E27"/>
    <mergeCell ref="D26:E26"/>
    <mergeCell ref="D28:E28"/>
    <mergeCell ref="D29:E29"/>
    <mergeCell ref="B35:C35"/>
    <mergeCell ref="B39:G39"/>
    <mergeCell ref="B42:C42"/>
    <mergeCell ref="B45:C45"/>
    <mergeCell ref="D35:G35"/>
    <mergeCell ref="F29:G29"/>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drawing r:id="rId2"/>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S80"/>
  <sheetViews>
    <sheetView tabSelected="0" workbookViewId="0" showGridLines="true" showRowColHeaders="1" topLeftCell="F36">
      <selection activeCell="C68" sqref="C68"/>
    </sheetView>
  </sheetViews>
  <sheetFormatPr defaultRowHeight="14.4" defaultColWidth="9.1796875" outlineLevelRow="0" outlineLevelCol="0"/>
  <cols>
    <col min="1" max="1" width="15" customWidth="true" style="0"/>
    <col min="2" max="2" width="15" customWidth="true" style="0"/>
    <col min="3" max="3" width="15" customWidth="true" style="5"/>
    <col min="4" max="4" width="15" customWidth="true" style="0"/>
    <col min="5" max="5" width="15" customWidth="true" style="0"/>
    <col min="6" max="6" width="15" customWidth="true" style="0"/>
    <col min="7" max="7" width="15" customWidth="true" style="0"/>
    <col min="8" max="8" width="15" customWidth="true" style="13"/>
    <col min="9" max="9" width="15" customWidth="true" style="13"/>
    <col min="10" max="10" width="15" customWidth="true" style="13"/>
    <col min="11" max="11" width="15" customWidth="true" style="13"/>
    <col min="12" max="12" width="15" customWidth="true" style="13"/>
    <col min="13" max="13" width="15" customWidth="true" style="13"/>
    <col min="14" max="14" width="15" customWidth="true" style="13"/>
  </cols>
  <sheetData>
    <row r="1" spans="1:19" customHeight="1" ht="21">
      <c r="A1" s="384" t="s">
        <v>14</v>
      </c>
      <c r="B1" s="392"/>
      <c r="C1" s="392"/>
      <c r="D1" s="392"/>
      <c r="E1" s="392"/>
      <c r="F1" s="392"/>
      <c r="G1" s="392"/>
      <c r="H1" s="392"/>
      <c r="I1" s="392"/>
      <c r="J1" s="392"/>
      <c r="K1" s="392"/>
      <c r="L1" s="392"/>
      <c r="M1" s="392"/>
      <c r="N1" s="392"/>
      <c r="S1"/>
    </row>
    <row r="2" spans="1:19" customHeight="1" ht="21">
      <c r="A2" s="384" t="s">
        <v>15</v>
      </c>
      <c r="B2" s="392"/>
      <c r="C2" s="392"/>
      <c r="D2" s="392"/>
      <c r="E2" s="392"/>
      <c r="F2" s="392"/>
      <c r="G2" s="392"/>
      <c r="H2" s="392"/>
      <c r="I2" s="392"/>
      <c r="J2" s="392"/>
      <c r="K2" s="392"/>
      <c r="L2" s="392"/>
      <c r="M2" s="392"/>
      <c r="N2" s="392"/>
      <c r="S2"/>
    </row>
    <row r="3" spans="1:19">
      <c r="S3"/>
    </row>
    <row r="4" spans="1:19">
      <c r="S4"/>
    </row>
    <row r="5" spans="1:19" customHeight="1" ht="14.5">
      <c r="A5" s="393" t="s">
        <v>16</v>
      </c>
      <c r="B5" s="385"/>
      <c r="C5" s="385"/>
      <c r="D5" s="385"/>
      <c r="E5" s="385"/>
      <c r="F5" s="385"/>
      <c r="G5" s="385"/>
      <c r="H5" s="385"/>
      <c r="I5" s="385"/>
      <c r="J5" s="385"/>
      <c r="K5" s="385"/>
      <c r="L5" s="385"/>
      <c r="M5" s="385"/>
      <c r="N5" s="385"/>
      <c r="S5"/>
    </row>
    <row r="6" spans="1:19">
      <c r="S6"/>
    </row>
    <row r="7" spans="1:19" customHeight="1" ht="14.5">
      <c r="A7" s="393" t="s">
        <v>17</v>
      </c>
      <c r="B7" s="385"/>
      <c r="C7" s="385"/>
      <c r="D7" s="385"/>
      <c r="E7" s="385"/>
      <c r="F7" s="385"/>
      <c r="G7" s="385"/>
      <c r="H7" s="385"/>
      <c r="I7" s="385"/>
      <c r="J7" s="385"/>
      <c r="K7" s="385"/>
      <c r="L7" s="385"/>
      <c r="M7" s="385"/>
      <c r="N7" s="385"/>
      <c r="S7"/>
    </row>
    <row r="8" spans="1:19">
      <c r="S8"/>
    </row>
    <row r="9" spans="1:19" customHeight="1" ht="14.5">
      <c r="A9" s="393" t="s">
        <v>18</v>
      </c>
      <c r="B9" s="385"/>
      <c r="C9" s="385"/>
      <c r="D9" s="385"/>
      <c r="E9" s="385"/>
      <c r="F9" s="385"/>
      <c r="G9" s="385"/>
      <c r="H9" s="385"/>
      <c r="I9" s="385"/>
      <c r="J9" s="385"/>
      <c r="K9" s="385"/>
      <c r="L9" s="385"/>
      <c r="M9" s="385"/>
      <c r="N9" s="385"/>
      <c r="S9"/>
    </row>
    <row r="10" spans="1:19">
      <c r="Q10" s="337"/>
      <c r="R10" s="337"/>
      <c r="S10" s="337"/>
    </row>
    <row r="11" spans="1:19" customHeight="1" ht="18.5">
      <c r="A11" s="394" t="s">
        <v>19</v>
      </c>
      <c r="B11" s="395"/>
      <c r="C11" s="395"/>
      <c r="D11" s="395"/>
      <c r="E11" s="395"/>
      <c r="F11" s="395"/>
      <c r="G11" s="395"/>
      <c r="H11" s="395"/>
      <c r="I11" s="395"/>
      <c r="J11" s="395"/>
      <c r="K11" s="395"/>
      <c r="L11" s="395"/>
      <c r="M11" s="395"/>
      <c r="N11" s="395"/>
      <c r="S11"/>
    </row>
    <row r="12" spans="1:19" customHeight="1" ht="18.5">
      <c r="A12" s="3"/>
      <c r="B12" s="3"/>
      <c r="C12" s="3"/>
      <c r="D12" s="3"/>
      <c r="E12" s="3"/>
      <c r="F12" s="3"/>
      <c r="G12" s="3"/>
      <c r="H12" s="3"/>
      <c r="I12" s="3"/>
      <c r="J12" s="3"/>
      <c r="K12" s="3"/>
      <c r="L12" s="3"/>
      <c r="M12" s="3"/>
      <c r="N12" s="3"/>
      <c r="S12"/>
    </row>
    <row r="13" spans="1:19" customHeight="1" ht="18.5">
      <c r="A13" s="3"/>
      <c r="B13" s="3"/>
      <c r="C13" s="3"/>
      <c r="D13" s="3"/>
      <c r="E13" s="3"/>
      <c r="F13" s="3"/>
      <c r="G13" s="3"/>
      <c r="H13" s="3"/>
      <c r="I13" s="3"/>
      <c r="J13" s="3"/>
      <c r="K13" s="3"/>
      <c r="L13" s="3"/>
      <c r="M13" s="3"/>
      <c r="N13" s="3"/>
      <c r="S13"/>
    </row>
    <row r="14" spans="1:19" customHeight="1" ht="20.15">
      <c r="A14" s="3"/>
      <c r="B14" s="383" t="s">
        <v>20</v>
      </c>
      <c r="C14" s="383"/>
      <c r="D14" s="383"/>
      <c r="E14" s="383"/>
      <c r="F14" s="383"/>
      <c r="G14" s="4"/>
      <c r="H14" s="386" t="s">
        <v>21</v>
      </c>
      <c r="I14" s="387"/>
      <c r="J14" s="387"/>
      <c r="K14" s="387"/>
      <c r="L14" s="387"/>
      <c r="M14" s="387"/>
      <c r="N14" s="388"/>
      <c r="S14"/>
    </row>
    <row r="15" spans="1:19" customHeight="1" ht="18.5">
      <c r="A15" s="3"/>
      <c r="B15" s="4"/>
      <c r="C15" s="4"/>
      <c r="D15" s="4"/>
      <c r="E15" s="4"/>
      <c r="F15" s="4"/>
      <c r="G15" s="4"/>
      <c r="H15" s="4"/>
      <c r="I15" s="4"/>
      <c r="J15" s="4"/>
      <c r="K15" s="4"/>
      <c r="L15" s="4"/>
      <c r="M15" s="4"/>
      <c r="N15" s="4"/>
      <c r="S15"/>
    </row>
    <row r="16" spans="1:19" customHeight="1" ht="18.5">
      <c r="A16" s="3"/>
      <c r="B16" s="383" t="s">
        <v>22</v>
      </c>
      <c r="C16" s="383"/>
      <c r="D16" s="383"/>
      <c r="E16" s="383"/>
      <c r="F16" s="383"/>
      <c r="G16" s="4"/>
      <c r="H16" s="396"/>
      <c r="I16" s="397"/>
      <c r="J16" s="397"/>
      <c r="K16" s="397"/>
      <c r="L16" s="397"/>
      <c r="M16" s="397"/>
      <c r="N16" s="398"/>
      <c r="S16"/>
    </row>
    <row r="17" spans="1:19" customHeight="1" ht="18.5">
      <c r="A17" s="3"/>
      <c r="B17" s="383"/>
      <c r="C17" s="383"/>
      <c r="D17" s="383"/>
      <c r="E17" s="383"/>
      <c r="F17" s="383"/>
      <c r="G17" s="4"/>
      <c r="H17" s="399"/>
      <c r="I17" s="400"/>
      <c r="J17" s="400"/>
      <c r="K17" s="400"/>
      <c r="L17" s="400"/>
      <c r="M17" s="400"/>
      <c r="N17" s="401"/>
      <c r="S17"/>
    </row>
    <row r="18" spans="1:19" customHeight="1" ht="18.5">
      <c r="A18" s="3"/>
      <c r="B18" s="4"/>
      <c r="C18" s="4"/>
      <c r="D18" s="4"/>
      <c r="E18" s="4"/>
      <c r="F18" s="4"/>
      <c r="G18" s="4"/>
      <c r="H18" s="4"/>
      <c r="I18" s="4"/>
      <c r="J18" s="4"/>
      <c r="K18" s="4"/>
      <c r="L18" s="4"/>
      <c r="M18" s="4"/>
      <c r="N18" s="4"/>
      <c r="S18"/>
    </row>
    <row r="19" spans="1:19" customHeight="1" ht="18.5">
      <c r="A19" s="3"/>
      <c r="B19" s="383" t="s">
        <v>23</v>
      </c>
      <c r="C19" s="383"/>
      <c r="D19" s="383"/>
      <c r="E19" s="383"/>
      <c r="F19" s="383"/>
      <c r="G19" s="4"/>
      <c r="H19" s="386" t="s">
        <v>24</v>
      </c>
      <c r="I19" s="387"/>
      <c r="J19" s="387"/>
      <c r="K19" s="387"/>
      <c r="L19" s="387"/>
      <c r="M19" s="387"/>
      <c r="N19" s="388"/>
      <c r="S19"/>
    </row>
    <row r="20" spans="1:19" customHeight="1" ht="18.5">
      <c r="A20" s="3"/>
      <c r="B20" s="383" t="s">
        <v>22</v>
      </c>
      <c r="C20" s="383"/>
      <c r="D20" s="383"/>
      <c r="E20" s="383"/>
      <c r="F20" s="383"/>
      <c r="G20" s="4"/>
      <c r="H20" s="386"/>
      <c r="I20" s="387"/>
      <c r="J20" s="387"/>
      <c r="K20" s="387"/>
      <c r="L20" s="387"/>
      <c r="M20" s="387"/>
      <c r="N20" s="388"/>
      <c r="S20"/>
    </row>
    <row r="21" spans="1:19" customHeight="1" ht="18.5">
      <c r="A21" s="3"/>
      <c r="B21" s="4"/>
      <c r="C21" s="4"/>
      <c r="D21" s="4"/>
      <c r="E21" s="4"/>
      <c r="F21" s="4"/>
      <c r="G21" s="4"/>
      <c r="H21" s="4"/>
      <c r="I21" s="4"/>
      <c r="J21" s="4"/>
      <c r="K21" s="4"/>
      <c r="L21" s="4"/>
      <c r="M21" s="4"/>
      <c r="N21" s="4"/>
      <c r="S21"/>
    </row>
    <row r="22" spans="1:19" customHeight="1" ht="18.5">
      <c r="A22" s="3"/>
      <c r="B22" s="383" t="s">
        <v>25</v>
      </c>
      <c r="C22" s="383"/>
      <c r="D22" s="383"/>
      <c r="E22" s="383"/>
      <c r="F22" s="383"/>
      <c r="G22" s="4"/>
      <c r="H22" s="386" t="s">
        <v>26</v>
      </c>
      <c r="I22" s="387"/>
      <c r="J22" s="387"/>
      <c r="K22" s="387"/>
      <c r="L22" s="387"/>
      <c r="M22" s="387"/>
      <c r="N22" s="388"/>
      <c r="S22"/>
    </row>
    <row r="23" spans="1:19" customHeight="1" ht="18.5">
      <c r="A23" s="3"/>
      <c r="B23" s="4"/>
      <c r="C23" s="4"/>
      <c r="D23" s="4"/>
      <c r="E23" s="4"/>
      <c r="F23" s="4"/>
      <c r="G23" s="4"/>
      <c r="H23" s="4"/>
      <c r="I23" s="4"/>
      <c r="J23" s="4"/>
      <c r="K23" s="4"/>
      <c r="L23" s="4"/>
      <c r="M23" s="4"/>
      <c r="N23" s="4"/>
      <c r="S23"/>
    </row>
    <row r="24" spans="1:19" customHeight="1" ht="18.5">
      <c r="A24" s="3"/>
      <c r="B24" s="383" t="s">
        <v>27</v>
      </c>
      <c r="C24" s="383"/>
      <c r="D24" s="383"/>
      <c r="E24" s="383"/>
      <c r="F24" s="383"/>
      <c r="G24" s="4"/>
      <c r="H24" s="386" t="s">
        <v>28</v>
      </c>
      <c r="I24" s="387"/>
      <c r="J24" s="387"/>
      <c r="K24" s="387"/>
      <c r="L24" s="387"/>
      <c r="M24" s="387"/>
      <c r="N24" s="388"/>
      <c r="S24"/>
    </row>
    <row r="25" spans="1:19" customHeight="1" ht="18.5">
      <c r="A25" s="3"/>
      <c r="B25" s="4"/>
      <c r="C25" s="4"/>
      <c r="D25" s="4"/>
      <c r="E25" s="4"/>
      <c r="F25" s="4"/>
      <c r="G25" s="4"/>
      <c r="H25" s="4"/>
      <c r="I25" s="4"/>
      <c r="J25" s="4"/>
      <c r="K25" s="4"/>
      <c r="L25" s="4"/>
      <c r="M25" s="4"/>
      <c r="N25" s="4"/>
      <c r="S25"/>
    </row>
    <row r="26" spans="1:19" customHeight="1" ht="18.5">
      <c r="A26" s="3"/>
      <c r="B26" s="383" t="s">
        <v>29</v>
      </c>
      <c r="C26" s="383"/>
      <c r="D26" s="383"/>
      <c r="E26" s="383"/>
      <c r="F26" s="383"/>
      <c r="G26" s="4"/>
      <c r="H26" s="386" t="s">
        <v>30</v>
      </c>
      <c r="I26" s="387"/>
      <c r="J26" s="387"/>
      <c r="K26" s="387"/>
      <c r="L26" s="387"/>
      <c r="M26" s="387"/>
      <c r="N26" s="388"/>
      <c r="S26"/>
    </row>
    <row r="27" spans="1:19" customHeight="1" ht="18.5">
      <c r="A27" s="3"/>
      <c r="B27" s="4"/>
      <c r="C27" s="4"/>
      <c r="D27" s="4"/>
      <c r="E27" s="4"/>
      <c r="F27" s="4"/>
      <c r="G27" s="4"/>
      <c r="H27" s="4"/>
      <c r="I27" s="4"/>
      <c r="J27" s="4"/>
      <c r="K27" s="4"/>
      <c r="L27" s="4"/>
      <c r="M27" s="4"/>
      <c r="N27" s="4"/>
      <c r="S27"/>
    </row>
    <row r="28" spans="1:19" customHeight="1" ht="18.5">
      <c r="A28" s="3"/>
      <c r="B28" s="4"/>
      <c r="C28" s="4"/>
      <c r="D28" s="4"/>
      <c r="E28" s="4"/>
      <c r="F28" s="4"/>
      <c r="G28" s="4"/>
      <c r="H28" s="4"/>
      <c r="I28" s="4"/>
      <c r="J28" s="4"/>
      <c r="K28" s="4"/>
      <c r="L28" s="4"/>
      <c r="M28" s="4"/>
      <c r="N28" s="4"/>
      <c r="S28"/>
    </row>
    <row r="29" spans="1:19" customHeight="1" ht="18.5">
      <c r="A29" s="3"/>
      <c r="B29" s="4"/>
      <c r="C29" s="4"/>
      <c r="D29" s="4"/>
      <c r="E29" s="4"/>
      <c r="F29" s="4"/>
      <c r="G29" s="4"/>
      <c r="H29" s="4"/>
      <c r="I29" s="4"/>
      <c r="J29" s="4"/>
      <c r="K29" s="4"/>
      <c r="L29" s="4"/>
      <c r="M29" s="4"/>
      <c r="N29" s="4"/>
      <c r="S29"/>
    </row>
    <row r="30" spans="1:19" customHeight="1" ht="18.5">
      <c r="A30" s="3"/>
      <c r="B30" s="383" t="s">
        <v>31</v>
      </c>
      <c r="C30" s="383"/>
      <c r="D30" s="383"/>
      <c r="E30" s="383"/>
      <c r="F30" s="383"/>
      <c r="G30" s="4"/>
      <c r="H30" s="386" t="s">
        <v>32</v>
      </c>
      <c r="I30" s="387"/>
      <c r="J30" s="387"/>
      <c r="K30" s="387"/>
      <c r="L30" s="387"/>
      <c r="M30" s="387"/>
      <c r="N30" s="388"/>
      <c r="S30"/>
    </row>
    <row r="31" spans="1:19">
      <c r="S31"/>
    </row>
    <row r="32" spans="1:19">
      <c r="S32"/>
    </row>
    <row r="33" spans="1:19">
      <c r="S33"/>
    </row>
    <row r="34" spans="1:19">
      <c r="S34"/>
    </row>
    <row r="35" spans="1:19" customHeight="1" ht="21">
      <c r="B35" s="384" t="s">
        <v>0</v>
      </c>
      <c r="C35" s="385"/>
      <c r="D35" s="385"/>
      <c r="E35" s="385"/>
      <c r="F35" s="385"/>
      <c r="G35" s="385"/>
      <c r="H35" s="385"/>
      <c r="I35" s="385"/>
      <c r="J35" s="385"/>
      <c r="K35" s="385"/>
      <c r="L35" s="385"/>
      <c r="S35"/>
    </row>
    <row r="36" spans="1:19">
      <c r="S36"/>
    </row>
    <row r="37" spans="1:19" customHeight="1" ht="14.5">
      <c r="B37" s="343" t="s">
        <v>33</v>
      </c>
      <c r="C37" s="344"/>
      <c r="D37" s="344"/>
      <c r="E37" s="344"/>
      <c r="F37" s="344"/>
      <c r="G37" s="344"/>
      <c r="H37" s="344"/>
      <c r="I37" s="344"/>
      <c r="J37" s="344"/>
      <c r="K37" s="344"/>
      <c r="L37" s="345"/>
      <c r="S37"/>
    </row>
    <row r="38" spans="1:19" customHeight="1" ht="15">
      <c r="B38" s="346"/>
      <c r="C38" s="347"/>
      <c r="D38" s="347"/>
      <c r="E38" s="347"/>
      <c r="F38" s="347"/>
      <c r="G38" s="347"/>
      <c r="H38" s="347"/>
      <c r="I38" s="347"/>
      <c r="J38" s="347"/>
      <c r="K38" s="347"/>
      <c r="L38" s="348"/>
      <c r="S38"/>
    </row>
    <row r="39" spans="1:19">
      <c r="B39" s="12" t="s">
        <v>34</v>
      </c>
      <c r="C39" s="7"/>
      <c r="D39" s="8"/>
      <c r="E39" s="10" t="s">
        <v>35</v>
      </c>
      <c r="F39" t="s">
        <v>36</v>
      </c>
      <c r="G39" s="9" t="s">
        <v>37</v>
      </c>
      <c r="S39"/>
    </row>
    <row r="40" spans="1:19" customHeight="1" ht="15">
      <c r="B40" s="402" t="s">
        <v>38</v>
      </c>
      <c r="C40" s="403"/>
      <c r="D40" s="404"/>
      <c r="E40" s="10" t="s">
        <v>39</v>
      </c>
      <c r="F40" t="s">
        <v>40</v>
      </c>
      <c r="G40" s="9" t="s">
        <v>37</v>
      </c>
      <c r="S40"/>
    </row>
    <row r="41" spans="1:19" customHeight="1" ht="15">
      <c r="B41" s="405"/>
      <c r="C41" s="406"/>
      <c r="D41" s="407"/>
      <c r="E41" s="11" t="s">
        <v>41</v>
      </c>
      <c r="F41" s="54" t="s">
        <v>42</v>
      </c>
      <c r="G41" s="55" t="s">
        <v>43</v>
      </c>
      <c r="S41"/>
    </row>
    <row r="42" spans="1:19" customHeight="1" ht="15">
      <c r="A42" s="337"/>
      <c r="B42" s="337"/>
      <c r="C42" s="337"/>
      <c r="D42" s="337"/>
      <c r="E42" s="337"/>
      <c r="F42" s="337"/>
      <c r="G42" s="337"/>
      <c r="H42" s="337"/>
      <c r="I42" s="337"/>
      <c r="J42" s="337"/>
      <c r="K42" s="337"/>
      <c r="L42" s="337"/>
      <c r="M42" s="337"/>
      <c r="N42" s="337"/>
      <c r="S42"/>
    </row>
    <row r="43" spans="1:19" customHeight="1" ht="15">
      <c r="A43" s="341"/>
      <c r="B43" s="341"/>
      <c r="C43" s="341"/>
      <c r="D43" s="341"/>
      <c r="E43" s="341"/>
      <c r="F43" s="341"/>
      <c r="G43" s="341"/>
      <c r="H43" s="341"/>
      <c r="I43" s="341"/>
      <c r="J43" s="341"/>
      <c r="K43" s="341"/>
      <c r="L43" s="341"/>
      <c r="M43" s="341"/>
      <c r="N43" s="341"/>
      <c r="S43"/>
    </row>
    <row r="44" spans="1:19" customHeight="1" ht="15">
      <c r="A44" s="355" t="s">
        <v>44</v>
      </c>
      <c r="B44" s="355" t="s">
        <v>45</v>
      </c>
      <c r="C44" s="332" t="s">
        <v>46</v>
      </c>
      <c r="D44" s="358"/>
      <c r="E44" s="358"/>
      <c r="F44" s="358"/>
      <c r="G44" s="358"/>
      <c r="H44" s="359"/>
      <c r="I44" s="332" t="s">
        <v>47</v>
      </c>
      <c r="J44" s="358"/>
      <c r="K44" s="358"/>
      <c r="L44" s="358"/>
      <c r="M44" s="358"/>
      <c r="N44" s="359"/>
      <c r="S44"/>
    </row>
    <row r="45" spans="1:19" customHeight="1" ht="15">
      <c r="A45" s="356"/>
      <c r="B45" s="356"/>
      <c r="C45" s="360"/>
      <c r="D45" s="361"/>
      <c r="E45" s="361"/>
      <c r="F45" s="361"/>
      <c r="G45" s="361"/>
      <c r="H45" s="362"/>
      <c r="I45" s="363"/>
      <c r="J45" s="364"/>
      <c r="K45" s="364"/>
      <c r="L45" s="364"/>
      <c r="M45" s="364"/>
      <c r="N45" s="365"/>
      <c r="S45"/>
    </row>
    <row r="46" spans="1:19">
      <c r="A46" s="356"/>
      <c r="B46" s="356"/>
      <c r="C46" s="360"/>
      <c r="D46" s="361"/>
      <c r="E46" s="361"/>
      <c r="F46" s="361"/>
      <c r="G46" s="361"/>
      <c r="H46" s="362"/>
      <c r="I46" s="353" t="s">
        <v>48</v>
      </c>
      <c r="J46" s="354"/>
      <c r="K46" s="351" t="s">
        <v>49</v>
      </c>
      <c r="L46" s="353" t="s">
        <v>50</v>
      </c>
      <c r="M46" s="354"/>
      <c r="N46" s="351" t="s">
        <v>49</v>
      </c>
      <c r="S46"/>
    </row>
    <row r="47" spans="1:19">
      <c r="A47" s="357"/>
      <c r="B47" s="357"/>
      <c r="C47" s="363"/>
      <c r="D47" s="364"/>
      <c r="E47" s="364"/>
      <c r="F47" s="364"/>
      <c r="G47" s="364"/>
      <c r="H47" s="365"/>
      <c r="I47" s="14" t="s">
        <v>51</v>
      </c>
      <c r="J47" s="14" t="s">
        <v>52</v>
      </c>
      <c r="K47" s="352"/>
      <c r="L47" s="14" t="s">
        <v>53</v>
      </c>
      <c r="M47" s="14" t="s">
        <v>54</v>
      </c>
      <c r="N47" s="352"/>
      <c r="S47"/>
    </row>
    <row r="48" spans="1:19" customHeight="1" ht="15">
      <c r="A48" s="15"/>
      <c r="B48" s="15"/>
      <c r="C48" s="381"/>
      <c r="D48" s="337"/>
      <c r="E48" s="337"/>
      <c r="F48" s="337"/>
      <c r="G48" s="337"/>
      <c r="H48" s="382"/>
      <c r="K48" s="57"/>
      <c r="N48" s="57"/>
      <c r="S48"/>
    </row>
    <row r="49" spans="1:19" customHeight="1" ht="15">
      <c r="A49" s="16" t="s">
        <v>55</v>
      </c>
      <c r="B49" s="16" t="s">
        <v>56</v>
      </c>
      <c r="C49" s="340" t="s">
        <v>57</v>
      </c>
      <c r="D49" s="341"/>
      <c r="E49" s="341"/>
      <c r="F49" s="341"/>
      <c r="G49" s="341"/>
      <c r="H49" s="342"/>
      <c r="I49" s="56">
        <v>1</v>
      </c>
      <c r="J49" s="56"/>
      <c r="K49" s="17" t="s">
        <v>58</v>
      </c>
      <c r="L49" s="56"/>
      <c r="M49" s="56"/>
      <c r="N49" s="17"/>
      <c r="S49"/>
    </row>
    <row r="50" spans="1:19" customHeight="1" ht="15">
      <c r="A50" s="16" t="s">
        <v>59</v>
      </c>
      <c r="B50" s="16" t="s">
        <v>56</v>
      </c>
      <c r="C50" s="340" t="s">
        <v>57</v>
      </c>
      <c r="D50" s="341"/>
      <c r="E50" s="341"/>
      <c r="F50" s="341"/>
      <c r="G50" s="341"/>
      <c r="H50" s="342"/>
      <c r="I50" s="56">
        <v>1</v>
      </c>
      <c r="J50" s="56"/>
      <c r="K50" s="17" t="s">
        <v>60</v>
      </c>
      <c r="L50" s="56"/>
      <c r="M50" s="56"/>
      <c r="N50" s="17"/>
      <c r="S50"/>
    </row>
    <row r="51" spans="1:19" customHeight="1" ht="15">
      <c r="A51" s="16" t="s">
        <v>61</v>
      </c>
      <c r="B51" s="16" t="s">
        <v>56</v>
      </c>
      <c r="C51" s="340" t="s">
        <v>57</v>
      </c>
      <c r="D51" s="341"/>
      <c r="E51" s="341"/>
      <c r="F51" s="341"/>
      <c r="G51" s="341"/>
      <c r="H51" s="342"/>
      <c r="I51" s="56">
        <v>1</v>
      </c>
      <c r="J51" s="56"/>
      <c r="K51" s="17" t="s">
        <v>62</v>
      </c>
      <c r="L51" s="56"/>
      <c r="M51" s="56"/>
      <c r="N51" s="17"/>
      <c r="S51"/>
    </row>
    <row r="52" spans="1:19" customHeight="1" ht="15">
      <c r="A52" s="16" t="s">
        <v>63</v>
      </c>
      <c r="B52" s="16" t="s">
        <v>56</v>
      </c>
      <c r="C52" s="340" t="s">
        <v>57</v>
      </c>
      <c r="D52" s="341"/>
      <c r="E52" s="341"/>
      <c r="F52" s="341"/>
      <c r="G52" s="341"/>
      <c r="H52" s="342"/>
      <c r="I52" s="56"/>
      <c r="J52" s="56"/>
      <c r="K52" s="17"/>
      <c r="L52" s="56"/>
      <c r="M52" s="56">
        <v>1</v>
      </c>
      <c r="N52" s="17" t="s">
        <v>58</v>
      </c>
      <c r="S52"/>
    </row>
    <row r="53" spans="1:19" customHeight="1" ht="15">
      <c r="A53" s="16" t="s">
        <v>64</v>
      </c>
      <c r="B53" s="16" t="s">
        <v>56</v>
      </c>
      <c r="C53" s="340" t="s">
        <v>57</v>
      </c>
      <c r="D53" s="341"/>
      <c r="E53" s="341"/>
      <c r="F53" s="341"/>
      <c r="G53" s="341"/>
      <c r="H53" s="342"/>
      <c r="I53" s="56"/>
      <c r="J53" s="56"/>
      <c r="K53" s="17"/>
      <c r="L53" s="56"/>
      <c r="M53" s="56">
        <v>1</v>
      </c>
      <c r="N53" s="17" t="s">
        <v>60</v>
      </c>
      <c r="S53"/>
    </row>
    <row r="54" spans="1:19" customHeight="1" ht="15">
      <c r="A54" s="16" t="s">
        <v>65</v>
      </c>
      <c r="B54" s="16" t="s">
        <v>56</v>
      </c>
      <c r="C54" s="340" t="s">
        <v>57</v>
      </c>
      <c r="D54" s="341"/>
      <c r="E54" s="341"/>
      <c r="F54" s="341"/>
      <c r="G54" s="341"/>
      <c r="H54" s="342"/>
      <c r="I54" s="56"/>
      <c r="J54" s="56"/>
      <c r="K54" s="17"/>
      <c r="L54" s="56">
        <v>1</v>
      </c>
      <c r="M54" s="56"/>
      <c r="N54" s="17"/>
      <c r="S54"/>
    </row>
    <row r="55" spans="1:19" customHeight="1" ht="16.5">
      <c r="I55" s="18">
        <f>SUM(I48:I49)</f>
        <v>1</v>
      </c>
      <c r="J55" s="18">
        <f>SUM(J48:J49)</f>
        <v>0</v>
      </c>
      <c r="L55" s="18">
        <f>SUM(L48:L49)</f>
        <v>0</v>
      </c>
      <c r="M55" s="18">
        <f>SUM(M48:M49)</f>
        <v>0</v>
      </c>
      <c r="N55" s="9"/>
      <c r="S55"/>
    </row>
    <row r="56" spans="1:19">
      <c r="C56" s="375" t="s">
        <v>66</v>
      </c>
      <c r="D56" s="376"/>
      <c r="E56" s="376"/>
      <c r="F56" s="376"/>
      <c r="G56" s="377"/>
      <c r="H56" s="18">
        <f>(I55+J55+L55+M55)</f>
        <v>1</v>
      </c>
      <c r="N56" s="9"/>
      <c r="S56"/>
    </row>
    <row r="57" spans="1:19">
      <c r="C57" s="375" t="s">
        <v>67</v>
      </c>
      <c r="D57" s="376"/>
      <c r="E57" s="376"/>
      <c r="F57" s="376"/>
      <c r="G57" s="377"/>
      <c r="H57" s="75">
        <v>1</v>
      </c>
      <c r="I57" s="76">
        <f>I55/(I55+J55+L55+M55)</f>
        <v>1</v>
      </c>
      <c r="J57" s="76">
        <f>J55/(I55+J55+L55+M55)</f>
        <v>0</v>
      </c>
      <c r="L57" s="76">
        <f>L55/(I55+J55+L55+M55)</f>
        <v>0</v>
      </c>
      <c r="M57" s="76">
        <f>M55/(I55+J55+L55+M55)</f>
        <v>0</v>
      </c>
      <c r="N57" s="9"/>
      <c r="S57"/>
    </row>
    <row r="58" spans="1:19" customHeight="1" ht="16.5">
      <c r="A58" s="341"/>
      <c r="B58" s="341"/>
      <c r="C58" s="378"/>
      <c r="D58" s="341"/>
      <c r="E58" s="341"/>
      <c r="F58" s="341"/>
      <c r="G58" s="341"/>
      <c r="H58" s="369"/>
      <c r="I58" s="369"/>
      <c r="J58" s="369"/>
      <c r="K58" s="369"/>
      <c r="L58" s="369"/>
      <c r="M58" s="369"/>
      <c r="N58" s="379"/>
      <c r="S58"/>
    </row>
    <row r="59" spans="1:19" customHeight="1" ht="14.5">
      <c r="A59" s="337"/>
      <c r="B59" s="337"/>
      <c r="C59" s="380"/>
      <c r="D59" s="337"/>
      <c r="E59" s="337"/>
      <c r="F59" s="337"/>
      <c r="G59" s="337"/>
      <c r="H59" s="338"/>
      <c r="I59" s="338"/>
      <c r="J59" s="338"/>
      <c r="K59" s="338"/>
      <c r="L59" s="338"/>
      <c r="M59" s="338"/>
      <c r="N59" s="338"/>
      <c r="S59"/>
    </row>
    <row r="60" spans="1:19" customHeight="1" ht="14.5">
      <c r="A60" s="337"/>
      <c r="B60" s="337"/>
      <c r="C60" s="380"/>
      <c r="D60" s="337"/>
      <c r="E60" s="337"/>
      <c r="F60" s="337"/>
      <c r="G60" s="337"/>
      <c r="H60" s="338"/>
      <c r="I60" s="338"/>
      <c r="J60" s="338"/>
      <c r="K60" s="338"/>
      <c r="L60" s="338"/>
      <c r="M60" s="338"/>
      <c r="N60" s="338"/>
      <c r="S60"/>
    </row>
    <row r="61" spans="1:19" customHeight="1" ht="14.5">
      <c r="C61" s="332" t="s">
        <v>68</v>
      </c>
      <c r="D61" s="333"/>
      <c r="E61" s="333"/>
      <c r="F61" s="333"/>
      <c r="G61" s="333"/>
      <c r="H61" s="334"/>
      <c r="I61" s="334"/>
      <c r="J61" s="334"/>
      <c r="K61" s="334"/>
      <c r="L61" s="334"/>
      <c r="M61" s="334"/>
      <c r="N61" s="335"/>
      <c r="S61"/>
    </row>
    <row r="62" spans="1:19" customHeight="1" ht="14.5">
      <c r="C62" s="336"/>
      <c r="D62" s="337"/>
      <c r="E62" s="337"/>
      <c r="F62" s="337"/>
      <c r="G62" s="337"/>
      <c r="H62" s="338"/>
      <c r="I62" s="338"/>
      <c r="J62" s="338"/>
      <c r="K62" s="338"/>
      <c r="L62" s="338"/>
      <c r="M62" s="338"/>
      <c r="N62" s="339"/>
      <c r="S62"/>
    </row>
    <row r="63" spans="1:19" customHeight="1" ht="14.5">
      <c r="C63" s="367"/>
      <c r="D63" s="337"/>
      <c r="E63" s="337"/>
      <c r="F63" s="337"/>
      <c r="G63" s="337"/>
      <c r="H63" s="338"/>
      <c r="I63" s="338"/>
      <c r="J63" s="338"/>
      <c r="K63" s="366" t="s">
        <v>69</v>
      </c>
      <c r="L63" s="338"/>
      <c r="M63" s="366" t="s">
        <v>70</v>
      </c>
      <c r="N63" s="339"/>
      <c r="S63"/>
    </row>
    <row r="64" spans="1:19" customHeight="1" ht="15">
      <c r="C64" s="368"/>
      <c r="D64" s="341"/>
      <c r="E64" s="341"/>
      <c r="F64" s="341"/>
      <c r="G64" s="341"/>
      <c r="H64" s="369"/>
      <c r="I64" s="369"/>
      <c r="J64" s="369"/>
      <c r="K64" s="19" t="s">
        <v>71</v>
      </c>
      <c r="L64" s="19" t="s">
        <v>72</v>
      </c>
      <c r="M64" s="19" t="s">
        <v>71</v>
      </c>
      <c r="N64" s="21" t="s">
        <v>72</v>
      </c>
      <c r="S64"/>
    </row>
    <row r="65" spans="1:19" customHeight="1" ht="15">
      <c r="C65" s="370" t="s">
        <v>73</v>
      </c>
      <c r="D65" s="371"/>
      <c r="E65" s="371"/>
      <c r="F65" s="199"/>
      <c r="G65" s="372"/>
      <c r="H65" s="373"/>
      <c r="I65" s="373"/>
      <c r="J65" s="374"/>
      <c r="K65" s="196">
        <f>I55</f>
        <v>1</v>
      </c>
      <c r="L65" s="320">
        <f>K65/(M65+K65)</f>
        <v>1</v>
      </c>
      <c r="M65" s="196">
        <f>M55</f>
        <v>0</v>
      </c>
      <c r="N65" s="321">
        <f>(M65/(K65+M65))</f>
        <v>0</v>
      </c>
      <c r="S65"/>
    </row>
    <row r="66" spans="1:19" customHeight="1" ht="15">
      <c r="C66" s="349" t="s">
        <v>74</v>
      </c>
      <c r="D66" s="350"/>
      <c r="E66" s="350"/>
      <c r="F66" s="43"/>
      <c r="G66" s="330" t="s">
        <v>75</v>
      </c>
      <c r="H66" s="330"/>
      <c r="I66" s="329" t="s">
        <v>4</v>
      </c>
      <c r="J66" s="331"/>
      <c r="L66" s="96"/>
      <c r="M66" s="197"/>
      <c r="N66" s="198"/>
      <c r="S66"/>
    </row>
    <row r="67" spans="1:19" customHeight="1" ht="15">
      <c r="C67" s="218"/>
      <c r="D67" s="219"/>
      <c r="E67" s="220"/>
      <c r="F67" s="43" t="s">
        <v>35</v>
      </c>
      <c r="G67" s="330" t="s">
        <v>76</v>
      </c>
      <c r="H67" s="330"/>
      <c r="I67" s="329" t="s">
        <v>37</v>
      </c>
      <c r="J67" s="331"/>
      <c r="K67" s="13">
        <v>1</v>
      </c>
      <c r="L67" s="96" t="s">
        <v>77</v>
      </c>
      <c r="M67" s="197">
        <v>1</v>
      </c>
      <c r="N67" s="198" t="s">
        <v>77</v>
      </c>
      <c r="S67"/>
    </row>
    <row r="68" spans="1:19" customHeight="1" ht="15">
      <c r="C68" s="696" t="s">
        <v>78</v>
      </c>
      <c r="D68" s="219"/>
      <c r="E68" s="220"/>
      <c r="F68" s="43" t="s">
        <v>41</v>
      </c>
      <c r="G68" s="330" t="s">
        <v>79</v>
      </c>
      <c r="H68" s="330"/>
      <c r="I68" s="329" t="s">
        <v>43</v>
      </c>
      <c r="J68" s="331"/>
      <c r="K68" s="13">
        <v>1</v>
      </c>
      <c r="L68" s="96" t="s">
        <v>80</v>
      </c>
      <c r="M68" s="197">
        <v>0</v>
      </c>
      <c r="N68" s="198" t="s">
        <v>81</v>
      </c>
      <c r="S68"/>
    </row>
    <row r="69" spans="1:19" customHeight="1" ht="18.75" s="200" customFormat="1">
      <c r="A69" s="200"/>
      <c r="B69" s="200"/>
      <c r="C69" s="5"/>
      <c r="D69" s="200"/>
      <c r="E69" s="200"/>
      <c r="F69" s="200"/>
      <c r="G69" s="87"/>
      <c r="H69" s="389" t="s">
        <v>82</v>
      </c>
      <c r="I69" s="390"/>
      <c r="J69" s="391"/>
      <c r="K69" s="215">
        <f>SUM(K66:K69)</f>
        <v>2</v>
      </c>
      <c r="L69" s="323">
        <f>K69/(M69+K69)</f>
        <v>0.66666666666667</v>
      </c>
      <c r="M69" s="215">
        <f>SUM(M66:M69)</f>
        <v>1</v>
      </c>
      <c r="N69" s="322">
        <f>(M69/(K69+M69))</f>
        <v>0.33333333333333</v>
      </c>
      <c r="O69" s="200"/>
      <c r="P69" s="200"/>
      <c r="Q69" s="200"/>
      <c r="S69" s="200"/>
    </row>
    <row r="70" spans="1:19" customHeight="1" ht="14" s="200" customFormat="1">
      <c r="B70" s="201"/>
      <c r="C70" s="202"/>
      <c r="D70" s="202"/>
      <c r="E70" s="202"/>
      <c r="F70" s="203"/>
      <c r="G70" s="204"/>
      <c r="H70" s="204"/>
      <c r="I70" s="204"/>
      <c r="J70" s="205"/>
      <c r="K70" s="206"/>
      <c r="L70" s="205"/>
      <c r="M70" s="206"/>
      <c r="S70" s="200"/>
    </row>
    <row r="71" spans="1:19" customHeight="1" ht="14" s="200" customFormat="1">
      <c r="B71" s="201"/>
      <c r="C71" s="202"/>
      <c r="D71" s="202"/>
      <c r="E71" s="202"/>
      <c r="F71" s="203"/>
      <c r="G71" s="204"/>
      <c r="H71" s="204"/>
      <c r="I71" s="204"/>
      <c r="J71" s="205"/>
      <c r="K71" s="206"/>
      <c r="L71" s="205"/>
      <c r="M71" s="206"/>
      <c r="S71" s="200"/>
    </row>
    <row r="72" spans="1:19" customHeight="1" ht="14" s="200" customFormat="1">
      <c r="B72" s="201"/>
      <c r="C72" s="202"/>
      <c r="D72" s="202"/>
      <c r="E72" s="202"/>
      <c r="F72" s="203"/>
      <c r="G72" s="204"/>
      <c r="H72" s="204"/>
      <c r="I72" s="204"/>
      <c r="J72" s="205"/>
      <c r="K72" s="206"/>
      <c r="L72" s="205"/>
      <c r="M72" s="206"/>
      <c r="S72" s="200"/>
    </row>
    <row r="73" spans="1:19" s="200" customFormat="1">
      <c r="B73" s="201"/>
      <c r="C73" s="207" t="s">
        <v>83</v>
      </c>
      <c r="D73" s="207"/>
      <c r="E73" s="103"/>
      <c r="F73" s="208"/>
      <c r="G73" s="206"/>
      <c r="H73" s="206"/>
      <c r="I73" s="206"/>
      <c r="J73" s="206"/>
      <c r="K73" s="206"/>
      <c r="L73" s="206"/>
      <c r="M73" s="206"/>
      <c r="S73" s="200"/>
    </row>
    <row r="74" spans="1:19" customHeight="1" ht="18" s="200" customFormat="1">
      <c r="B74" s="201"/>
      <c r="C74" s="209"/>
      <c r="D74" s="209"/>
      <c r="E74" s="210"/>
      <c r="F74" s="208"/>
      <c r="G74" s="206"/>
      <c r="H74" s="206"/>
      <c r="I74" s="206"/>
      <c r="J74" s="206"/>
      <c r="K74" s="206"/>
      <c r="L74" s="206"/>
      <c r="M74" s="206"/>
      <c r="Q74" s="211"/>
      <c r="R74" s="211"/>
      <c r="S74" s="200"/>
    </row>
    <row r="75" spans="1:19" customHeight="1" ht="14" s="200" customFormat="1">
      <c r="B75" s="201"/>
      <c r="C75" s="212" t="s">
        <v>84</v>
      </c>
      <c r="D75" s="212"/>
      <c r="E75" s="212"/>
      <c r="F75" s="208"/>
      <c r="G75" s="206" t="s">
        <v>85</v>
      </c>
      <c r="H75" s="206"/>
      <c r="I75" s="206"/>
      <c r="J75" s="206"/>
      <c r="K75" s="206" t="s">
        <v>86</v>
      </c>
      <c r="L75" s="206"/>
      <c r="M75" s="206"/>
      <c r="S75" s="200"/>
    </row>
    <row r="76" spans="1:19" customHeight="1" ht="14" s="200" customFormat="1">
      <c r="B76" s="201"/>
      <c r="C76" s="212"/>
      <c r="D76" s="212"/>
      <c r="E76" s="212"/>
      <c r="F76" s="208"/>
      <c r="G76" s="206"/>
      <c r="H76" s="206"/>
      <c r="I76" s="206"/>
      <c r="J76" s="206"/>
      <c r="K76" s="206"/>
      <c r="L76" s="206"/>
      <c r="M76" s="206"/>
      <c r="S76" s="200"/>
    </row>
    <row r="77" spans="1:19" customHeight="1" ht="18" s="200" customFormat="1">
      <c r="B77" s="201"/>
      <c r="C77" s="210"/>
      <c r="D77" s="210"/>
      <c r="E77" s="212"/>
      <c r="F77" s="213"/>
      <c r="G77" s="206"/>
      <c r="H77" s="206"/>
      <c r="I77" s="206"/>
      <c r="J77" s="206"/>
      <c r="K77" s="206"/>
      <c r="L77" s="206"/>
      <c r="M77" s="206"/>
      <c r="S77" s="200"/>
    </row>
    <row r="78" spans="1:19" customHeight="1" ht="12.5" s="200" customFormat="1">
      <c r="B78" s="201"/>
      <c r="C78" s="211" t="s">
        <v>87</v>
      </c>
      <c r="D78" s="211"/>
      <c r="E78" s="211"/>
      <c r="F78" s="211"/>
      <c r="G78" s="214"/>
      <c r="H78" s="211"/>
      <c r="I78" s="211"/>
      <c r="J78" s="211"/>
      <c r="K78" s="211"/>
      <c r="L78" s="211"/>
      <c r="M78" s="211"/>
      <c r="N78" s="211"/>
      <c r="O78" s="211"/>
      <c r="P78" s="211"/>
      <c r="S78" s="200"/>
    </row>
    <row r="79" spans="1:19" customHeight="1" ht="13" s="200" customFormat="1">
      <c r="B79" s="201"/>
      <c r="C79" s="209"/>
      <c r="D79" s="209"/>
      <c r="S79" s="200"/>
    </row>
    <row r="80" spans="1:19" customHeight="1" ht="12.5" s="200" customFormat="1">
      <c r="B80" s="201"/>
      <c r="S80" s="200"/>
    </row>
  </sheetData>
  <sheetProtection formatCells="0" formatColumns="0" formatRows="0" insertColumns="0" insertRows="0" insertHyperlinks="0" deleteColumns="0" deleteRows="0" sort="0" autoFilter="0" pivotTables="0"/>
  <mergeCells>
    <mergeCell ref="H69:J69"/>
    <mergeCell ref="A1:N1"/>
    <mergeCell ref="A2:N2"/>
    <mergeCell ref="A5:N5"/>
    <mergeCell ref="A7:N7"/>
    <mergeCell ref="A9:N9"/>
    <mergeCell ref="A11:N11"/>
    <mergeCell ref="B14:F14"/>
    <mergeCell ref="B16:F17"/>
    <mergeCell ref="B19:F19"/>
    <mergeCell ref="B20:F20"/>
    <mergeCell ref="H14:N14"/>
    <mergeCell ref="H16:N17"/>
    <mergeCell ref="H19:N19"/>
    <mergeCell ref="H20:N20"/>
    <mergeCell ref="B40:D41"/>
    <mergeCell ref="B24:F24"/>
    <mergeCell ref="B26:F26"/>
    <mergeCell ref="B30:F30"/>
    <mergeCell ref="B35:L35"/>
    <mergeCell ref="H22:N22"/>
    <mergeCell ref="H24:N24"/>
    <mergeCell ref="H26:N26"/>
    <mergeCell ref="H30:N30"/>
    <mergeCell ref="N46:N47"/>
    <mergeCell ref="Q10:S10"/>
    <mergeCell ref="K63:L63"/>
    <mergeCell ref="M63:N63"/>
    <mergeCell ref="C63:J64"/>
    <mergeCell ref="C65:E65"/>
    <mergeCell ref="G65:H65"/>
    <mergeCell ref="I65:J65"/>
    <mergeCell ref="C56:G56"/>
    <mergeCell ref="C57:G57"/>
    <mergeCell ref="A58:N58"/>
    <mergeCell ref="A59:N60"/>
    <mergeCell ref="C48:H48"/>
    <mergeCell ref="B22:F22"/>
    <mergeCell ref="G67:H67"/>
    <mergeCell ref="I67:J67"/>
    <mergeCell ref="C61:N62"/>
    <mergeCell ref="C49:H49"/>
    <mergeCell ref="B37:L38"/>
    <mergeCell ref="C66:E66"/>
    <mergeCell ref="G66:H66"/>
    <mergeCell ref="I66:J66"/>
    <mergeCell ref="K46:K47"/>
    <mergeCell ref="L46:M46"/>
    <mergeCell ref="A42:N43"/>
    <mergeCell ref="A44:A47"/>
    <mergeCell ref="B44:B47"/>
    <mergeCell ref="C44:H47"/>
    <mergeCell ref="I44:N45"/>
    <mergeCell ref="I46:J46"/>
    <mergeCell ref="C50:H50"/>
    <mergeCell ref="C51:H51"/>
    <mergeCell ref="C52:H52"/>
    <mergeCell ref="C53:H53"/>
    <mergeCell ref="C54:H54"/>
    <mergeCell ref="G68:H68"/>
    <mergeCell ref="I68:J68"/>
    <mergeCell ref="C68:E68"/>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V295"/>
  <sheetViews>
    <sheetView tabSelected="1" workbookViewId="0" showGridLines="true" showRowColHeaders="1" topLeftCell="A42">
      <selection activeCell="E6" sqref="E6"/>
    </sheetView>
  </sheetViews>
  <sheetFormatPr defaultRowHeight="14.4" defaultColWidth="11.453125" outlineLevelRow="0" outlineLevelCol="0"/>
  <cols>
    <col min="1" max="1" width="15.7265625" customWidth="true" style="58"/>
    <col min="2" max="2" width="19.26953125" customWidth="true" style="58"/>
    <col min="3" max="3" width="12.54296875" customWidth="true" style="58"/>
    <col min="4" max="4" width="11.453125" style="58"/>
    <col min="5" max="5" width="8.7265625" customWidth="true" style="58"/>
    <col min="6" max="6" width="8.7265625" customWidth="true" style="58"/>
    <col min="7" max="7" width="8.7265625" customWidth="true" style="58"/>
    <col min="8" max="8" width="8.7265625" customWidth="true" style="58"/>
    <col min="9" max="9" width="8.7265625" customWidth="true" style="58"/>
    <col min="10" max="10" width="8.7265625" customWidth="true" style="58"/>
    <col min="11" max="11" width="8.7265625" customWidth="true" style="58"/>
    <col min="12" max="12" width="11.453125" style="58"/>
    <col min="13" max="13" width="8.7265625" customWidth="true" style="58"/>
    <col min="14" max="14" width="8.7265625" customWidth="true" style="58"/>
    <col min="15" max="15" width="8.7265625" customWidth="true" style="58"/>
    <col min="16" max="16" width="8.7265625" customWidth="true" style="58"/>
    <col min="17" max="17" width="8.7265625" customWidth="true" style="58"/>
    <col min="18" max="18" width="8.7265625" customWidth="true" style="58"/>
    <col min="19" max="19" width="8.7265625" customWidth="true" style="58"/>
    <col min="20" max="20" width="11.453125" style="58"/>
    <col min="21" max="21" width="13.54296875" customWidth="true" style="58"/>
    <col min="22" max="22" width="11.453125" style="58"/>
  </cols>
  <sheetData>
    <row r="1" spans="1:22" customHeight="1" ht="111">
      <c r="A1" s="496" t="s">
        <v>88</v>
      </c>
      <c r="B1" s="497"/>
      <c r="C1" s="497"/>
      <c r="D1" s="497"/>
      <c r="E1" s="497"/>
      <c r="F1" s="497"/>
      <c r="G1" s="497"/>
      <c r="H1" s="497"/>
      <c r="I1" s="497"/>
      <c r="J1" s="497"/>
      <c r="K1" s="497"/>
      <c r="L1" s="497"/>
      <c r="M1" s="497"/>
      <c r="N1" s="497"/>
      <c r="O1" s="497"/>
      <c r="P1" s="497"/>
      <c r="Q1" s="497"/>
      <c r="R1" s="497"/>
      <c r="S1" s="497"/>
      <c r="T1" s="497"/>
      <c r="U1" s="497"/>
      <c r="V1" s="498"/>
    </row>
    <row r="2" spans="1:22" customHeight="1" ht="23.25">
      <c r="A2" s="505" t="s">
        <v>89</v>
      </c>
      <c r="B2" s="505"/>
      <c r="C2" s="505"/>
      <c r="D2" s="505"/>
      <c r="E2" s="505"/>
      <c r="F2" s="505"/>
      <c r="G2" s="505"/>
      <c r="H2" s="505"/>
      <c r="I2" s="505"/>
      <c r="J2" s="505"/>
      <c r="K2" s="505"/>
      <c r="L2" s="505"/>
      <c r="M2" s="505"/>
      <c r="N2" s="505"/>
      <c r="O2" s="505"/>
      <c r="P2" s="505"/>
      <c r="Q2" s="505"/>
      <c r="R2" s="505"/>
      <c r="S2" s="505"/>
      <c r="T2" s="505"/>
      <c r="U2" s="505"/>
      <c r="V2" s="505"/>
    </row>
    <row r="3" spans="1:22" customHeight="1" ht="15.5">
      <c r="A3" s="479" t="s">
        <v>90</v>
      </c>
      <c r="B3" s="479"/>
      <c r="C3" s="479"/>
      <c r="D3" s="479"/>
      <c r="E3" s="479"/>
      <c r="F3" s="480"/>
      <c r="G3" s="499" t="s">
        <v>91</v>
      </c>
      <c r="H3" s="500"/>
      <c r="I3" s="500"/>
      <c r="J3" s="500"/>
      <c r="K3" s="500"/>
      <c r="L3" s="500"/>
      <c r="M3" s="500"/>
      <c r="N3" s="500"/>
      <c r="O3" s="500"/>
      <c r="P3" s="500"/>
      <c r="Q3" s="500"/>
      <c r="R3" s="500"/>
      <c r="S3" s="500"/>
      <c r="T3" s="501"/>
      <c r="U3" s="488"/>
      <c r="V3" s="489"/>
    </row>
    <row r="4" spans="1:22" customHeight="1" ht="15.5">
      <c r="A4" s="479" t="s">
        <v>92</v>
      </c>
      <c r="B4" s="479"/>
      <c r="C4" s="479"/>
      <c r="D4" s="480"/>
      <c r="E4" s="502" t="s">
        <v>93</v>
      </c>
      <c r="F4" s="503"/>
      <c r="G4" s="503"/>
      <c r="H4" s="503"/>
      <c r="I4" s="503"/>
      <c r="J4" s="503"/>
      <c r="K4" s="503"/>
      <c r="L4" s="503"/>
      <c r="M4" s="503"/>
      <c r="N4" s="503"/>
      <c r="O4" s="503"/>
      <c r="P4" s="503"/>
      <c r="Q4" s="503"/>
      <c r="R4" s="503"/>
      <c r="S4" s="503"/>
      <c r="T4" s="504"/>
      <c r="U4" s="488"/>
      <c r="V4" s="489"/>
    </row>
    <row r="5" spans="1:22" customHeight="1" ht="15.5">
      <c r="A5" s="479" t="s">
        <v>94</v>
      </c>
      <c r="B5" s="479"/>
      <c r="C5" s="479"/>
      <c r="D5" s="480"/>
      <c r="E5" s="502" t="s">
        <v>95</v>
      </c>
      <c r="F5" s="503"/>
      <c r="G5" s="503"/>
      <c r="H5" s="503"/>
      <c r="I5" s="503"/>
      <c r="J5" s="503"/>
      <c r="K5" s="503"/>
      <c r="L5" s="503"/>
      <c r="M5" s="503"/>
      <c r="N5" s="503"/>
      <c r="O5" s="503"/>
      <c r="P5" s="503"/>
      <c r="Q5" s="503"/>
      <c r="R5" s="503"/>
      <c r="S5" s="503"/>
      <c r="T5" s="504"/>
      <c r="U5" s="488"/>
      <c r="V5" s="489"/>
    </row>
    <row r="6" spans="1:22" customHeight="1" ht="18.5">
      <c r="A6" s="479" t="s">
        <v>96</v>
      </c>
      <c r="B6" s="479"/>
      <c r="C6" s="479"/>
      <c r="D6" s="480"/>
      <c r="E6" s="697">
        <v>1</v>
      </c>
      <c r="F6" s="59">
        <v>2</v>
      </c>
      <c r="G6" s="59">
        <v>3</v>
      </c>
      <c r="H6" s="59">
        <v>4</v>
      </c>
      <c r="I6" s="59">
        <v>5</v>
      </c>
      <c r="J6" s="59">
        <v>6</v>
      </c>
      <c r="K6" s="59">
        <v>7</v>
      </c>
      <c r="L6" s="488"/>
      <c r="M6" s="489"/>
      <c r="N6" s="489"/>
      <c r="O6" s="489"/>
      <c r="P6" s="489"/>
      <c r="Q6" s="489"/>
      <c r="R6" s="489"/>
      <c r="S6" s="489"/>
      <c r="T6" s="489"/>
      <c r="U6" s="489"/>
      <c r="V6" s="489"/>
    </row>
    <row r="7" spans="1:22" customHeight="1" ht="15.5">
      <c r="A7" s="479" t="s">
        <v>97</v>
      </c>
      <c r="B7" s="479"/>
      <c r="C7" s="479"/>
      <c r="D7" s="480"/>
      <c r="E7" s="484" t="s">
        <v>98</v>
      </c>
      <c r="F7" s="485"/>
      <c r="G7" s="485"/>
      <c r="H7" s="485"/>
      <c r="I7" s="485"/>
      <c r="J7" s="485"/>
      <c r="K7" s="485"/>
      <c r="L7" s="486"/>
      <c r="M7" s="487"/>
      <c r="N7" s="488"/>
      <c r="O7" s="489"/>
      <c r="P7" s="489"/>
      <c r="Q7" s="489"/>
      <c r="R7" s="489"/>
      <c r="S7" s="489"/>
      <c r="T7" s="489"/>
      <c r="U7" s="489"/>
      <c r="V7" s="489"/>
    </row>
    <row r="8" spans="1:22" customHeight="1" ht="15">
      <c r="A8" s="74"/>
      <c r="B8" s="74"/>
      <c r="C8" s="74"/>
      <c r="D8" s="74"/>
      <c r="E8" s="74"/>
      <c r="F8" s="74"/>
      <c r="G8" s="74"/>
      <c r="H8" s="74"/>
      <c r="I8" s="74"/>
      <c r="J8" s="74"/>
      <c r="K8" s="74"/>
      <c r="L8" s="74"/>
      <c r="M8" s="74"/>
      <c r="N8" s="74"/>
      <c r="O8" s="74"/>
      <c r="P8" s="74"/>
      <c r="Q8" s="74"/>
      <c r="R8" s="74"/>
      <c r="S8" s="74"/>
      <c r="T8" s="74"/>
      <c r="U8" s="74"/>
      <c r="V8" s="74"/>
    </row>
    <row r="9" spans="1:22" customHeight="1" ht="15">
      <c r="A9" s="60"/>
      <c r="B9" s="60"/>
      <c r="C9" s="60"/>
      <c r="D9" s="61"/>
      <c r="E9" s="60"/>
      <c r="F9" s="62"/>
      <c r="G9" s="62"/>
      <c r="H9" s="62"/>
      <c r="I9" s="62"/>
      <c r="J9" s="62"/>
      <c r="K9" s="62"/>
      <c r="L9" s="62"/>
      <c r="M9" s="60"/>
      <c r="N9" s="60"/>
      <c r="O9" s="60"/>
      <c r="P9" s="60"/>
      <c r="Q9" s="60"/>
      <c r="R9" s="60"/>
      <c r="S9" s="60"/>
      <c r="T9" s="60"/>
      <c r="U9" s="60"/>
      <c r="V9" s="60"/>
    </row>
    <row r="10" spans="1:22" customHeight="1" ht="21.75">
      <c r="A10" s="490" t="s">
        <v>99</v>
      </c>
      <c r="B10" s="491"/>
      <c r="C10" s="491"/>
      <c r="D10" s="491"/>
      <c r="E10" s="491"/>
      <c r="F10" s="491"/>
      <c r="G10" s="491"/>
      <c r="H10" s="491"/>
      <c r="I10" s="491"/>
      <c r="J10" s="491"/>
      <c r="K10" s="491"/>
      <c r="L10" s="491"/>
      <c r="M10" s="491"/>
      <c r="N10" s="491"/>
      <c r="O10" s="491"/>
      <c r="P10" s="491"/>
      <c r="Q10" s="491"/>
      <c r="R10" s="491"/>
      <c r="S10" s="491"/>
      <c r="T10" s="491"/>
      <c r="U10" s="491"/>
      <c r="V10" s="492"/>
    </row>
    <row r="11" spans="1:22" customHeight="1" ht="15.5">
      <c r="A11" s="63"/>
      <c r="B11" s="62"/>
      <c r="C11" s="62"/>
      <c r="D11" s="64"/>
      <c r="E11" s="65"/>
      <c r="F11" s="62"/>
      <c r="G11" s="62"/>
      <c r="H11" s="62"/>
      <c r="I11" s="62"/>
      <c r="J11" s="62"/>
      <c r="K11" s="62"/>
      <c r="L11" s="62"/>
      <c r="M11" s="60"/>
      <c r="N11" s="60"/>
      <c r="O11" s="60"/>
      <c r="P11" s="60"/>
      <c r="Q11" s="60"/>
      <c r="R11" s="60"/>
      <c r="S11" s="60"/>
      <c r="T11" s="60"/>
      <c r="U11" s="60"/>
      <c r="V11" s="60"/>
    </row>
    <row r="12" spans="1:22" customHeight="1" ht="15">
      <c r="A12" s="63"/>
      <c r="B12" s="62"/>
      <c r="C12" s="62"/>
      <c r="D12" s="64"/>
      <c r="E12" s="481" t="s">
        <v>100</v>
      </c>
      <c r="F12" s="482"/>
      <c r="G12" s="482"/>
      <c r="H12" s="482"/>
      <c r="I12" s="482"/>
      <c r="J12" s="482"/>
      <c r="K12" s="483"/>
      <c r="L12" s="66"/>
      <c r="M12" s="493" t="s">
        <v>100</v>
      </c>
      <c r="N12" s="494"/>
      <c r="O12" s="494"/>
      <c r="P12" s="494"/>
      <c r="Q12" s="494"/>
      <c r="R12" s="494"/>
      <c r="S12" s="495"/>
      <c r="T12" s="60"/>
      <c r="U12" s="60"/>
      <c r="V12" s="60"/>
    </row>
    <row r="13" spans="1:22" customHeight="1" ht="15">
      <c r="A13" s="66"/>
      <c r="B13" s="67"/>
      <c r="C13" s="67"/>
      <c r="D13" s="68"/>
      <c r="E13" s="69">
        <v>1</v>
      </c>
      <c r="F13" s="70">
        <v>2</v>
      </c>
      <c r="G13" s="70">
        <v>3</v>
      </c>
      <c r="H13" s="70">
        <v>4</v>
      </c>
      <c r="I13" s="70">
        <v>5</v>
      </c>
      <c r="J13" s="70">
        <v>6</v>
      </c>
      <c r="K13" s="70">
        <v>7</v>
      </c>
      <c r="L13" s="71"/>
      <c r="M13" s="72">
        <v>1</v>
      </c>
      <c r="N13" s="73">
        <v>2</v>
      </c>
      <c r="O13" s="73">
        <v>3</v>
      </c>
      <c r="P13" s="73">
        <v>4</v>
      </c>
      <c r="Q13" s="73">
        <v>5</v>
      </c>
      <c r="R13" s="73">
        <v>6</v>
      </c>
      <c r="S13" s="73">
        <v>7</v>
      </c>
      <c r="T13" s="71"/>
      <c r="U13" s="71"/>
      <c r="V13" s="71"/>
    </row>
    <row r="14" spans="1:22" customHeight="1" ht="15">
      <c r="A14" s="467" t="s">
        <v>101</v>
      </c>
      <c r="B14" s="468"/>
      <c r="C14" s="468"/>
      <c r="D14" s="469"/>
      <c r="E14" s="470" t="s">
        <v>48</v>
      </c>
      <c r="F14" s="471"/>
      <c r="G14" s="471"/>
      <c r="H14" s="471"/>
      <c r="I14" s="471"/>
      <c r="J14" s="471"/>
      <c r="K14" s="472"/>
      <c r="L14" s="216" t="s">
        <v>102</v>
      </c>
      <c r="M14" s="470" t="s">
        <v>50</v>
      </c>
      <c r="N14" s="473"/>
      <c r="O14" s="473"/>
      <c r="P14" s="473"/>
      <c r="Q14" s="473"/>
      <c r="R14" s="473"/>
      <c r="S14" s="474"/>
      <c r="T14" s="216" t="s">
        <v>102</v>
      </c>
      <c r="U14" s="217" t="s">
        <v>103</v>
      </c>
      <c r="V14" s="217" t="s">
        <v>72</v>
      </c>
    </row>
    <row r="15" spans="1:22" customHeight="1" ht="18">
      <c r="A15" s="410" t="s">
        <v>104</v>
      </c>
      <c r="B15" s="411"/>
      <c r="C15" s="411"/>
      <c r="D15" s="411"/>
      <c r="E15" s="411"/>
      <c r="F15" s="411"/>
      <c r="G15" s="411"/>
      <c r="H15" s="411"/>
      <c r="I15" s="411"/>
      <c r="J15" s="411"/>
      <c r="K15" s="411"/>
      <c r="L15" s="411"/>
      <c r="M15" s="411"/>
      <c r="N15" s="411"/>
      <c r="O15" s="411"/>
      <c r="P15" s="411"/>
      <c r="Q15" s="411"/>
      <c r="R15" s="411"/>
      <c r="S15" s="411"/>
      <c r="T15" s="411"/>
      <c r="U15" s="411"/>
      <c r="V15" s="412"/>
    </row>
    <row r="16" spans="1:22">
      <c r="A16" s="222"/>
      <c r="B16" s="475"/>
      <c r="C16" s="475"/>
      <c r="D16" s="476"/>
      <c r="E16" s="224"/>
      <c r="F16" s="224"/>
      <c r="G16" s="224"/>
      <c r="H16" s="224"/>
      <c r="I16" s="224"/>
      <c r="J16" s="224"/>
      <c r="K16" s="225"/>
      <c r="L16" s="253">
        <f>SUM(E16:K16)</f>
        <v>0</v>
      </c>
      <c r="M16" s="233"/>
      <c r="N16" s="234"/>
      <c r="O16" s="234"/>
      <c r="P16" s="234"/>
      <c r="Q16" s="234"/>
      <c r="R16" s="234"/>
      <c r="S16" s="235"/>
      <c r="T16" s="253">
        <f>SUM(M16:S16)</f>
        <v>0</v>
      </c>
      <c r="U16" s="262">
        <f>SUM(T16,L16)</f>
        <v>0</v>
      </c>
      <c r="V16" s="263" t="b">
        <f>IF(T16&gt;0,T16/U16,)</f>
        <v>0</v>
      </c>
    </row>
    <row r="17" spans="1:22" customHeight="1" ht="15">
      <c r="A17" s="240"/>
      <c r="B17" s="477"/>
      <c r="C17" s="477"/>
      <c r="D17" s="478"/>
      <c r="E17" s="223"/>
      <c r="F17" s="224"/>
      <c r="G17" s="224"/>
      <c r="H17" s="224"/>
      <c r="I17" s="224"/>
      <c r="J17" s="224"/>
      <c r="K17" s="225"/>
      <c r="L17" s="226">
        <f>SUM(E17:K17)</f>
        <v>0</v>
      </c>
      <c r="M17" s="237"/>
      <c r="N17" s="238"/>
      <c r="O17" s="238"/>
      <c r="P17" s="238"/>
      <c r="Q17" s="238"/>
      <c r="R17" s="238"/>
      <c r="S17" s="239"/>
      <c r="T17" s="226">
        <f>SUM(M17:S17)</f>
        <v>0</v>
      </c>
      <c r="U17" s="236">
        <f>SUM(T17,L17)</f>
        <v>0</v>
      </c>
      <c r="V17" s="232" t="b">
        <f>IF(T17&gt;0,T17/U17,)</f>
        <v>0</v>
      </c>
    </row>
    <row r="18" spans="1:22" customHeight="1" ht="15">
      <c r="A18" s="442" t="s">
        <v>105</v>
      </c>
      <c r="B18" s="443"/>
      <c r="C18" s="443"/>
      <c r="D18" s="444"/>
      <c r="E18" s="243">
        <f>SUM(E16:E17)</f>
        <v>0</v>
      </c>
      <c r="F18" s="243">
        <f>SUM(F16:F17)</f>
        <v>0</v>
      </c>
      <c r="G18" s="243">
        <f>SUM(G16:G17)</f>
        <v>0</v>
      </c>
      <c r="H18" s="243">
        <f>SUM(H16:H17)</f>
        <v>0</v>
      </c>
      <c r="I18" s="243">
        <f>SUM(I16:I17)</f>
        <v>0</v>
      </c>
      <c r="J18" s="243">
        <f>SUM(J16:J17)</f>
        <v>0</v>
      </c>
      <c r="K18" s="243">
        <f>SUM(K16:K17)</f>
        <v>0</v>
      </c>
      <c r="L18" s="245">
        <f>SUM(E18:K18)</f>
        <v>0</v>
      </c>
      <c r="M18" s="246">
        <f>SUM(M16:M17)</f>
        <v>0</v>
      </c>
      <c r="N18" s="243">
        <f>SUM(N16:N17)</f>
        <v>0</v>
      </c>
      <c r="O18" s="243">
        <f>SUM(O16:O17)</f>
        <v>0</v>
      </c>
      <c r="P18" s="243">
        <f>SUM(P16:P17)</f>
        <v>0</v>
      </c>
      <c r="Q18" s="243">
        <f>SUM(Q16:Q17)</f>
        <v>0</v>
      </c>
      <c r="R18" s="243">
        <f>SUM(R16:R17)</f>
        <v>0</v>
      </c>
      <c r="S18" s="247">
        <f>SUM(S16:S17)</f>
        <v>0</v>
      </c>
      <c r="T18" s="245">
        <f>SUM(M18:S18)</f>
        <v>0</v>
      </c>
      <c r="U18" s="248">
        <f>SUM(T18,L18)</f>
        <v>0</v>
      </c>
      <c r="V18" s="249" t="b">
        <f>IF(T18&gt;0,T18/U18,)</f>
        <v>0</v>
      </c>
    </row>
    <row r="19" spans="1:22" customHeight="1" ht="18">
      <c r="A19" s="410" t="s">
        <v>106</v>
      </c>
      <c r="B19" s="411"/>
      <c r="C19" s="411"/>
      <c r="D19" s="411"/>
      <c r="E19" s="411"/>
      <c r="F19" s="411"/>
      <c r="G19" s="411"/>
      <c r="H19" s="411"/>
      <c r="I19" s="411"/>
      <c r="J19" s="411"/>
      <c r="K19" s="411"/>
      <c r="L19" s="411"/>
      <c r="M19" s="411"/>
      <c r="N19" s="411"/>
      <c r="O19" s="411"/>
      <c r="P19" s="411"/>
      <c r="Q19" s="411"/>
      <c r="R19" s="411"/>
      <c r="S19" s="411"/>
      <c r="T19" s="411"/>
      <c r="U19" s="411"/>
      <c r="V19" s="412"/>
    </row>
    <row r="20" spans="1:22">
      <c r="A20" s="222"/>
      <c r="B20" s="475"/>
      <c r="C20" s="475"/>
      <c r="D20" s="476"/>
      <c r="E20" s="224"/>
      <c r="F20" s="224"/>
      <c r="G20" s="224"/>
      <c r="H20" s="224"/>
      <c r="I20" s="224"/>
      <c r="J20" s="224"/>
      <c r="K20" s="225"/>
      <c r="L20" s="226">
        <f>SUM(E20:K20)</f>
        <v>0</v>
      </c>
      <c r="M20" s="233"/>
      <c r="N20" s="234"/>
      <c r="O20" s="234"/>
      <c r="P20" s="234"/>
      <c r="Q20" s="234"/>
      <c r="R20" s="234"/>
      <c r="S20" s="235"/>
      <c r="T20" s="226">
        <f>SUM(M20:S20)</f>
        <v>0</v>
      </c>
      <c r="U20" s="236">
        <f>SUM(T20,L20)</f>
        <v>0</v>
      </c>
      <c r="V20" s="232" t="b">
        <f>IF(T20&gt;0,T20/U20,)</f>
        <v>0</v>
      </c>
    </row>
    <row r="21" spans="1:22" customHeight="1" ht="15">
      <c r="A21" s="240"/>
      <c r="B21" s="477"/>
      <c r="C21" s="477"/>
      <c r="D21" s="478"/>
      <c r="E21" s="223"/>
      <c r="F21" s="224"/>
      <c r="G21" s="224"/>
      <c r="H21" s="224"/>
      <c r="I21" s="224"/>
      <c r="J21" s="224"/>
      <c r="K21" s="225"/>
      <c r="L21" s="226">
        <f>SUM(E21:K21)</f>
        <v>0</v>
      </c>
      <c r="M21" s="237"/>
      <c r="N21" s="238"/>
      <c r="O21" s="238"/>
      <c r="P21" s="238"/>
      <c r="Q21" s="238"/>
      <c r="R21" s="238"/>
      <c r="S21" s="239"/>
      <c r="T21" s="226">
        <f>SUM(M21:S21)</f>
        <v>0</v>
      </c>
      <c r="U21" s="236">
        <f>SUM(T21,L21)</f>
        <v>0</v>
      </c>
      <c r="V21" s="232" t="b">
        <f>IF(T21&gt;0,T21/U21,)</f>
        <v>0</v>
      </c>
    </row>
    <row r="22" spans="1:22" customHeight="1" ht="15">
      <c r="A22" s="442" t="s">
        <v>105</v>
      </c>
      <c r="B22" s="443"/>
      <c r="C22" s="443"/>
      <c r="D22" s="444"/>
      <c r="E22" s="243">
        <f>SUM(E20:E21)</f>
        <v>0</v>
      </c>
      <c r="F22" s="243">
        <f>SUM(F20:F21)</f>
        <v>0</v>
      </c>
      <c r="G22" s="243">
        <f>SUM(G20:G21)</f>
        <v>0</v>
      </c>
      <c r="H22" s="243">
        <f>SUM(H20:H21)</f>
        <v>0</v>
      </c>
      <c r="I22" s="243">
        <f>SUM(I20:I21)</f>
        <v>0</v>
      </c>
      <c r="J22" s="243">
        <f>SUM(J20:J21)</f>
        <v>0</v>
      </c>
      <c r="K22" s="243">
        <f>SUM(K20:K21)</f>
        <v>0</v>
      </c>
      <c r="L22" s="245">
        <f>SUM(E22:K22)</f>
        <v>0</v>
      </c>
      <c r="M22" s="254">
        <f>SUM(M20:M21)</f>
        <v>0</v>
      </c>
      <c r="N22" s="254">
        <f>SUM(N20:N21)</f>
        <v>0</v>
      </c>
      <c r="O22" s="254">
        <f>SUM(O20:O21)</f>
        <v>0</v>
      </c>
      <c r="P22" s="254">
        <f>SUM(P20:P21)</f>
        <v>0</v>
      </c>
      <c r="Q22" s="254">
        <f>SUM(Q20:Q21)</f>
        <v>0</v>
      </c>
      <c r="R22" s="254">
        <f>SUM(R20:R21)</f>
        <v>0</v>
      </c>
      <c r="S22" s="254">
        <f>SUM(S20:S21)</f>
        <v>0</v>
      </c>
      <c r="T22" s="245">
        <f>SUM(M22:S22)</f>
        <v>0</v>
      </c>
      <c r="U22" s="248">
        <f>SUM(T22,L22)</f>
        <v>0</v>
      </c>
      <c r="V22" s="249" t="b">
        <f>IF(T22&gt;0,T22/U22,)</f>
        <v>0</v>
      </c>
    </row>
    <row r="23" spans="1:22" customHeight="1" ht="18">
      <c r="A23" s="410" t="s">
        <v>107</v>
      </c>
      <c r="B23" s="411"/>
      <c r="C23" s="411"/>
      <c r="D23" s="411"/>
      <c r="E23" s="411"/>
      <c r="F23" s="411"/>
      <c r="G23" s="411"/>
      <c r="H23" s="411"/>
      <c r="I23" s="411"/>
      <c r="J23" s="411"/>
      <c r="K23" s="411"/>
      <c r="L23" s="411"/>
      <c r="M23" s="411"/>
      <c r="N23" s="411"/>
      <c r="O23" s="411"/>
      <c r="P23" s="411"/>
      <c r="Q23" s="411"/>
      <c r="R23" s="411"/>
      <c r="S23" s="411"/>
      <c r="T23" s="411"/>
      <c r="U23" s="411"/>
      <c r="V23" s="412"/>
    </row>
    <row r="24" spans="1:22">
      <c r="A24" s="222"/>
      <c r="B24" s="475"/>
      <c r="C24" s="475"/>
      <c r="D24" s="476"/>
      <c r="E24" s="223"/>
      <c r="F24" s="224"/>
      <c r="G24" s="224"/>
      <c r="H24" s="224"/>
      <c r="I24" s="224"/>
      <c r="J24" s="224"/>
      <c r="K24" s="225"/>
      <c r="L24" s="252">
        <f>SUM(E24:K24)</f>
        <v>0</v>
      </c>
      <c r="M24" s="233"/>
      <c r="N24" s="234"/>
      <c r="O24" s="234"/>
      <c r="P24" s="234"/>
      <c r="Q24" s="234"/>
      <c r="R24" s="234"/>
      <c r="S24" s="235"/>
      <c r="T24" s="226">
        <f>SUM(M24:S24)</f>
        <v>0</v>
      </c>
      <c r="U24" s="236">
        <f>SUM(T24,L24)</f>
        <v>0</v>
      </c>
      <c r="V24" s="232" t="b">
        <f>IF(T24&gt;0,T24/U24,)</f>
        <v>0</v>
      </c>
    </row>
    <row r="25" spans="1:22" customHeight="1" ht="15">
      <c r="A25" s="240"/>
      <c r="B25" s="477"/>
      <c r="C25" s="477"/>
      <c r="D25" s="478"/>
      <c r="E25" s="223"/>
      <c r="F25" s="224"/>
      <c r="G25" s="224"/>
      <c r="H25" s="224"/>
      <c r="I25" s="224"/>
      <c r="J25" s="224"/>
      <c r="K25" s="225"/>
      <c r="L25" s="253">
        <f>SUM(E25:K25)</f>
        <v>0</v>
      </c>
      <c r="M25" s="237"/>
      <c r="N25" s="238"/>
      <c r="O25" s="238"/>
      <c r="P25" s="238"/>
      <c r="Q25" s="238"/>
      <c r="R25" s="238"/>
      <c r="S25" s="239"/>
      <c r="T25" s="226">
        <f>SUM(M25:S25)</f>
        <v>0</v>
      </c>
      <c r="U25" s="236">
        <f>SUM(T25,L25)</f>
        <v>0</v>
      </c>
      <c r="V25" s="232" t="b">
        <f>IF(T25&gt;0,T25/U25,)</f>
        <v>0</v>
      </c>
    </row>
    <row r="26" spans="1:22" customHeight="1" ht="15">
      <c r="A26" s="442" t="s">
        <v>105</v>
      </c>
      <c r="B26" s="443"/>
      <c r="C26" s="443"/>
      <c r="D26" s="444"/>
      <c r="E26" s="243">
        <f>SUM(E24:E25)</f>
        <v>0</v>
      </c>
      <c r="F26" s="243">
        <f>SUM(F24:F25)</f>
        <v>0</v>
      </c>
      <c r="G26" s="243">
        <f>SUM(G24:G25)</f>
        <v>0</v>
      </c>
      <c r="H26" s="243">
        <f>SUM(H24:H25)</f>
        <v>0</v>
      </c>
      <c r="I26" s="243">
        <f>SUM(I24:I25)</f>
        <v>0</v>
      </c>
      <c r="J26" s="243">
        <f>SUM(J24:J25)</f>
        <v>0</v>
      </c>
      <c r="K26" s="247">
        <f>SUM(K24:K25)</f>
        <v>0</v>
      </c>
      <c r="L26" s="245">
        <f>SUM(E26:K26)</f>
        <v>0</v>
      </c>
      <c r="M26" s="254">
        <f>SUM(M24:M25)</f>
        <v>0</v>
      </c>
      <c r="N26" s="243">
        <f>SUM(N24:N25)</f>
        <v>0</v>
      </c>
      <c r="O26" s="243">
        <f>SUM(O24:O25)</f>
        <v>0</v>
      </c>
      <c r="P26" s="243">
        <f>SUM(P24:P25)</f>
        <v>0</v>
      </c>
      <c r="Q26" s="243">
        <f>SUM(Q24:Q25)</f>
        <v>0</v>
      </c>
      <c r="R26" s="243">
        <f>SUM(R24:R25)</f>
        <v>0</v>
      </c>
      <c r="S26" s="243">
        <f>SUM(S24:S25)</f>
        <v>0</v>
      </c>
      <c r="T26" s="245">
        <f>SUM(M26:S26)</f>
        <v>0</v>
      </c>
      <c r="U26" s="248">
        <f>SUM(T26,L26)</f>
        <v>0</v>
      </c>
      <c r="V26" s="249" t="b">
        <f>IF(T26&gt;0,T26/U26,)</f>
        <v>0</v>
      </c>
    </row>
    <row r="27" spans="1:22" customHeight="1" ht="18">
      <c r="A27" s="410" t="s">
        <v>108</v>
      </c>
      <c r="B27" s="411"/>
      <c r="C27" s="411"/>
      <c r="D27" s="411"/>
      <c r="E27" s="411"/>
      <c r="F27" s="411"/>
      <c r="G27" s="411"/>
      <c r="H27" s="411"/>
      <c r="I27" s="411"/>
      <c r="J27" s="411"/>
      <c r="K27" s="411"/>
      <c r="L27" s="411"/>
      <c r="M27" s="411"/>
      <c r="N27" s="411"/>
      <c r="O27" s="411"/>
      <c r="P27" s="411"/>
      <c r="Q27" s="411"/>
      <c r="R27" s="411"/>
      <c r="S27" s="411"/>
      <c r="T27" s="411"/>
      <c r="U27" s="411"/>
      <c r="V27" s="412"/>
    </row>
    <row r="28" spans="1:22">
      <c r="A28" s="222"/>
      <c r="B28" s="475"/>
      <c r="C28" s="475"/>
      <c r="D28" s="476"/>
      <c r="E28" s="256"/>
      <c r="F28" s="257"/>
      <c r="G28" s="257"/>
      <c r="H28" s="257"/>
      <c r="I28" s="257"/>
      <c r="J28" s="257"/>
      <c r="K28" s="258"/>
      <c r="L28" s="253">
        <f>SUM(E28:K28)</f>
        <v>0</v>
      </c>
      <c r="M28" s="259"/>
      <c r="N28" s="260"/>
      <c r="O28" s="260"/>
      <c r="P28" s="260"/>
      <c r="Q28" s="260"/>
      <c r="R28" s="260"/>
      <c r="S28" s="261"/>
      <c r="T28" s="253">
        <f>SUM(M28:S28)</f>
        <v>0</v>
      </c>
      <c r="U28" s="262">
        <f>SUM(T28,L28)</f>
        <v>0</v>
      </c>
      <c r="V28" s="263" t="b">
        <f>IF(T28&gt;0,T28/U28,)</f>
        <v>0</v>
      </c>
    </row>
    <row r="29" spans="1:22" customHeight="1" ht="15">
      <c r="A29" s="240"/>
      <c r="B29" s="477"/>
      <c r="C29" s="477"/>
      <c r="D29" s="478"/>
      <c r="E29" s="256"/>
      <c r="F29" s="257"/>
      <c r="G29" s="257"/>
      <c r="H29" s="257"/>
      <c r="I29" s="257"/>
      <c r="J29" s="257"/>
      <c r="K29" s="258"/>
      <c r="L29" s="253">
        <f>SUM(E29:K29)</f>
        <v>0</v>
      </c>
      <c r="M29" s="233"/>
      <c r="N29" s="234"/>
      <c r="O29" s="234"/>
      <c r="P29" s="234"/>
      <c r="Q29" s="234"/>
      <c r="R29" s="234"/>
      <c r="S29" s="268"/>
      <c r="T29" s="253">
        <f>SUM(M29:S29)</f>
        <v>0</v>
      </c>
      <c r="U29" s="262">
        <f>SUM(T29,L29)</f>
        <v>0</v>
      </c>
      <c r="V29" s="263" t="b">
        <f>IF(T29&gt;0,T29/U29,)</f>
        <v>0</v>
      </c>
    </row>
    <row r="30" spans="1:22" customHeight="1" ht="15">
      <c r="A30" s="241" t="s">
        <v>105</v>
      </c>
      <c r="B30" s="242"/>
      <c r="C30" s="242"/>
      <c r="D30" s="242"/>
      <c r="E30" s="243">
        <f>SUM(E28:E29)</f>
        <v>0</v>
      </c>
      <c r="F30" s="243">
        <f>SUM(F28:F29)</f>
        <v>0</v>
      </c>
      <c r="G30" s="243">
        <f>SUM(G28:G29)</f>
        <v>0</v>
      </c>
      <c r="H30" s="243">
        <f>SUM(H28:H29)</f>
        <v>0</v>
      </c>
      <c r="I30" s="243">
        <f>SUM(I28:I29)</f>
        <v>0</v>
      </c>
      <c r="J30" s="243">
        <f>SUM(J28:J29)</f>
        <v>0</v>
      </c>
      <c r="K30" s="243">
        <f>SUM(K28:K29)</f>
        <v>0</v>
      </c>
      <c r="L30" s="245">
        <f>SUM(E30:K30)</f>
        <v>0</v>
      </c>
      <c r="M30" s="254">
        <f>SUM(M28:M29)</f>
        <v>0</v>
      </c>
      <c r="N30" s="254">
        <f>SUM(N28:N29)</f>
        <v>0</v>
      </c>
      <c r="O30" s="254">
        <f>SUM(O28:O29)</f>
        <v>0</v>
      </c>
      <c r="P30" s="254">
        <f>SUM(P28:P29)</f>
        <v>0</v>
      </c>
      <c r="Q30" s="254">
        <f>SUM(Q28:Q29)</f>
        <v>0</v>
      </c>
      <c r="R30" s="254">
        <f>SUM(R28:R29)</f>
        <v>0</v>
      </c>
      <c r="S30" s="254">
        <f>SUM(S28:S29)</f>
        <v>0</v>
      </c>
      <c r="T30" s="245">
        <f>SUM(M30:S30)</f>
        <v>0</v>
      </c>
      <c r="U30" s="248">
        <f>SUM(T30,L30)</f>
        <v>0</v>
      </c>
      <c r="V30" s="249" t="b">
        <f>IF(T30&gt;0,T30/U30,)</f>
        <v>0</v>
      </c>
    </row>
    <row r="31" spans="1:22" customHeight="1" ht="18">
      <c r="A31" s="410" t="s">
        <v>109</v>
      </c>
      <c r="B31" s="411"/>
      <c r="C31" s="411"/>
      <c r="D31" s="411"/>
      <c r="E31" s="411"/>
      <c r="F31" s="411"/>
      <c r="G31" s="411"/>
      <c r="H31" s="411"/>
      <c r="I31" s="411"/>
      <c r="J31" s="411"/>
      <c r="K31" s="411"/>
      <c r="L31" s="411"/>
      <c r="M31" s="411"/>
      <c r="N31" s="411"/>
      <c r="O31" s="411"/>
      <c r="P31" s="411"/>
      <c r="Q31" s="411"/>
      <c r="R31" s="411"/>
      <c r="S31" s="411"/>
      <c r="T31" s="411"/>
      <c r="U31" s="411"/>
      <c r="V31" s="412"/>
    </row>
    <row r="32" spans="1:22">
      <c r="A32" s="222"/>
      <c r="B32" s="475"/>
      <c r="C32" s="475"/>
      <c r="D32" s="476"/>
      <c r="E32" s="271"/>
      <c r="F32" s="266"/>
      <c r="G32" s="266"/>
      <c r="H32" s="266"/>
      <c r="I32" s="266"/>
      <c r="J32" s="266"/>
      <c r="K32" s="265"/>
      <c r="L32" s="226">
        <f>SUM(E32:K32)</f>
        <v>0</v>
      </c>
      <c r="M32" s="272"/>
      <c r="N32" s="273"/>
      <c r="O32" s="273"/>
      <c r="P32" s="273"/>
      <c r="Q32" s="273"/>
      <c r="R32" s="273"/>
      <c r="S32" s="274"/>
      <c r="T32" s="226">
        <f>SUM(M32:S32)</f>
        <v>0</v>
      </c>
      <c r="U32" s="236">
        <f>SUM(T32,L32)</f>
        <v>0</v>
      </c>
      <c r="V32" s="232" t="b">
        <f>IF(T32&gt;0,T32/U32,)</f>
        <v>0</v>
      </c>
    </row>
    <row r="33" spans="1:22" customHeight="1" ht="15">
      <c r="A33" s="240"/>
      <c r="B33" s="477"/>
      <c r="C33" s="477"/>
      <c r="D33" s="478"/>
      <c r="E33" s="271"/>
      <c r="F33" s="266"/>
      <c r="G33" s="266"/>
      <c r="H33" s="266"/>
      <c r="I33" s="266"/>
      <c r="J33" s="266"/>
      <c r="K33" s="265"/>
      <c r="L33" s="226">
        <f>SUM(E33:K33)</f>
        <v>0</v>
      </c>
      <c r="M33" s="272"/>
      <c r="N33" s="273"/>
      <c r="O33" s="273"/>
      <c r="P33" s="273"/>
      <c r="Q33" s="273"/>
      <c r="R33" s="273"/>
      <c r="S33" s="274"/>
      <c r="T33" s="226">
        <f>SUM(M33:S33)</f>
        <v>0</v>
      </c>
      <c r="U33" s="236">
        <f>SUM(T33,L33)</f>
        <v>0</v>
      </c>
      <c r="V33" s="232" t="b">
        <f>IF(T33&gt;0,T33/U33,)</f>
        <v>0</v>
      </c>
    </row>
    <row r="34" spans="1:22" customHeight="1" ht="15">
      <c r="A34" s="442" t="s">
        <v>105</v>
      </c>
      <c r="B34" s="443"/>
      <c r="C34" s="443"/>
      <c r="D34" s="444"/>
      <c r="E34" s="243">
        <f>SUM(E32:E33)</f>
        <v>0</v>
      </c>
      <c r="F34" s="243">
        <f>SUM(F32:F33)</f>
        <v>0</v>
      </c>
      <c r="G34" s="243">
        <f>SUM(G32:G33)</f>
        <v>0</v>
      </c>
      <c r="H34" s="243">
        <f>SUM(H32:H33)</f>
        <v>0</v>
      </c>
      <c r="I34" s="243">
        <f>SUM(I32:I33)</f>
        <v>0</v>
      </c>
      <c r="J34" s="243">
        <f>SUM(J32:J33)</f>
        <v>0</v>
      </c>
      <c r="K34" s="247">
        <f>SUM(K32:K33)</f>
        <v>0</v>
      </c>
      <c r="L34" s="245">
        <f>SUM(E34:K34)</f>
        <v>0</v>
      </c>
      <c r="M34" s="243">
        <f>SUM(M32:M33)</f>
        <v>0</v>
      </c>
      <c r="N34" s="243">
        <f>SUM(N32:N33)</f>
        <v>0</v>
      </c>
      <c r="O34" s="243">
        <f>SUM(O32:O33)</f>
        <v>0</v>
      </c>
      <c r="P34" s="243">
        <f>SUM(P32:P33)</f>
        <v>0</v>
      </c>
      <c r="Q34" s="243">
        <f>SUM(Q32:Q33)</f>
        <v>0</v>
      </c>
      <c r="R34" s="243">
        <f>SUM(R32:R33)</f>
        <v>0</v>
      </c>
      <c r="S34" s="247">
        <f>SUM(S32:S33)</f>
        <v>0</v>
      </c>
      <c r="T34" s="245">
        <f>SUM(M34:S34)</f>
        <v>0</v>
      </c>
      <c r="U34" s="248">
        <f>SUM(T34,L34)</f>
        <v>0</v>
      </c>
      <c r="V34" s="249" t="b">
        <f>IF(T34&gt;0,T34/U34,)</f>
        <v>0</v>
      </c>
    </row>
    <row r="35" spans="1:22" customHeight="1" ht="18">
      <c r="A35" s="410" t="s">
        <v>110</v>
      </c>
      <c r="B35" s="411"/>
      <c r="C35" s="411"/>
      <c r="D35" s="411"/>
      <c r="E35" s="411"/>
      <c r="F35" s="411"/>
      <c r="G35" s="411"/>
      <c r="H35" s="411"/>
      <c r="I35" s="411"/>
      <c r="J35" s="411"/>
      <c r="K35" s="411"/>
      <c r="L35" s="411"/>
      <c r="M35" s="411"/>
      <c r="N35" s="411"/>
      <c r="O35" s="411"/>
      <c r="P35" s="411"/>
      <c r="Q35" s="411"/>
      <c r="R35" s="411"/>
      <c r="S35" s="411"/>
      <c r="T35" s="411"/>
      <c r="U35" s="411"/>
      <c r="V35" s="412"/>
    </row>
    <row r="36" spans="1:22">
      <c r="A36" s="222"/>
      <c r="B36" s="475"/>
      <c r="C36" s="475"/>
      <c r="D36" s="476"/>
      <c r="E36" s="271"/>
      <c r="F36" s="266"/>
      <c r="G36" s="266"/>
      <c r="H36" s="266"/>
      <c r="I36" s="266"/>
      <c r="J36" s="266"/>
      <c r="K36" s="265"/>
      <c r="L36" s="226">
        <f>SUM(E36:K36)</f>
        <v>0</v>
      </c>
      <c r="M36" s="272"/>
      <c r="N36" s="273"/>
      <c r="O36" s="273"/>
      <c r="P36" s="273"/>
      <c r="Q36" s="273"/>
      <c r="R36" s="273"/>
      <c r="S36" s="274"/>
      <c r="T36" s="226">
        <f>SUM(M36:S36)</f>
        <v>0</v>
      </c>
      <c r="U36" s="236">
        <f>SUM(T36,L36)</f>
        <v>0</v>
      </c>
      <c r="V36" s="232" t="b">
        <f>IF(T36&gt;0,T36/U36,)</f>
        <v>0</v>
      </c>
    </row>
    <row r="37" spans="1:22" customHeight="1" ht="15">
      <c r="A37" s="240"/>
      <c r="B37" s="477"/>
      <c r="C37" s="477"/>
      <c r="D37" s="478"/>
      <c r="E37" s="271"/>
      <c r="F37" s="266"/>
      <c r="G37" s="266"/>
      <c r="H37" s="266"/>
      <c r="I37" s="266"/>
      <c r="J37" s="266"/>
      <c r="K37" s="265"/>
      <c r="L37" s="226">
        <f>SUM(E37:K37)</f>
        <v>0</v>
      </c>
      <c r="M37" s="272"/>
      <c r="N37" s="273"/>
      <c r="O37" s="273"/>
      <c r="P37" s="273"/>
      <c r="Q37" s="273"/>
      <c r="R37" s="273"/>
      <c r="S37" s="274"/>
      <c r="T37" s="226">
        <f>SUM(M37:S37)</f>
        <v>0</v>
      </c>
      <c r="U37" s="236">
        <f>SUM(T37,L37)</f>
        <v>0</v>
      </c>
      <c r="V37" s="232" t="b">
        <f>IF(T37&gt;0,T37/U37,)</f>
        <v>0</v>
      </c>
    </row>
    <row r="38" spans="1:22" customHeight="1" ht="15">
      <c r="A38" s="415" t="s">
        <v>105</v>
      </c>
      <c r="B38" s="416"/>
      <c r="C38" s="416"/>
      <c r="D38" s="417"/>
      <c r="E38" s="243">
        <f>SUM(E36:E37)</f>
        <v>0</v>
      </c>
      <c r="F38" s="243">
        <f>SUM(F36:F37)</f>
        <v>0</v>
      </c>
      <c r="G38" s="243">
        <f>SUM(G36:G37)</f>
        <v>0</v>
      </c>
      <c r="H38" s="243">
        <f>SUM(H36:H37)</f>
        <v>0</v>
      </c>
      <c r="I38" s="243">
        <f>SUM(I36:I37)</f>
        <v>0</v>
      </c>
      <c r="J38" s="243">
        <f>SUM(J36:J37)</f>
        <v>0</v>
      </c>
      <c r="K38" s="247">
        <f>SUM(K36:K37)</f>
        <v>0</v>
      </c>
      <c r="L38" s="245">
        <f>SUM(E38:K38)</f>
        <v>0</v>
      </c>
      <c r="M38" s="246">
        <f>SUM(M36:M37)</f>
        <v>0</v>
      </c>
      <c r="N38" s="243">
        <f>SUM(N36:N37)</f>
        <v>0</v>
      </c>
      <c r="O38" s="243">
        <f>SUM(O36:O37)</f>
        <v>0</v>
      </c>
      <c r="P38" s="243">
        <f>SUM(P36:P37)</f>
        <v>0</v>
      </c>
      <c r="Q38" s="243">
        <f>SUM(Q36:Q37)</f>
        <v>0</v>
      </c>
      <c r="R38" s="243">
        <f>SUM(R36:R37)</f>
        <v>0</v>
      </c>
      <c r="S38" s="247">
        <f>SUM(S36:S37)</f>
        <v>0</v>
      </c>
      <c r="T38" s="245">
        <f>SUM(M38:S38)</f>
        <v>0</v>
      </c>
      <c r="U38" s="248">
        <f>SUM(T38,L38)</f>
        <v>0</v>
      </c>
      <c r="V38" s="249" t="b">
        <f>IF(T38&gt;0,T38/U38,)</f>
        <v>0</v>
      </c>
    </row>
    <row r="39" spans="1:22" customHeight="1" ht="18">
      <c r="A39" s="410" t="s">
        <v>111</v>
      </c>
      <c r="B39" s="411"/>
      <c r="C39" s="411"/>
      <c r="D39" s="411"/>
      <c r="E39" s="411"/>
      <c r="F39" s="411"/>
      <c r="G39" s="411"/>
      <c r="H39" s="411"/>
      <c r="I39" s="411"/>
      <c r="J39" s="411"/>
      <c r="K39" s="411"/>
      <c r="L39" s="411"/>
      <c r="M39" s="411"/>
      <c r="N39" s="411"/>
      <c r="O39" s="411"/>
      <c r="P39" s="411"/>
      <c r="Q39" s="411"/>
      <c r="R39" s="411"/>
      <c r="S39" s="411"/>
      <c r="T39" s="411"/>
      <c r="U39" s="411"/>
      <c r="V39" s="412"/>
    </row>
    <row r="40" spans="1:22">
      <c r="A40" s="222"/>
      <c r="B40" s="475"/>
      <c r="C40" s="475"/>
      <c r="D40" s="476"/>
      <c r="E40" s="278"/>
      <c r="F40" s="279"/>
      <c r="G40" s="280"/>
      <c r="H40" s="279"/>
      <c r="I40" s="279"/>
      <c r="J40" s="280"/>
      <c r="K40" s="135"/>
      <c r="L40" s="230">
        <f>SUM(E40:K40)</f>
        <v>0</v>
      </c>
      <c r="M40" s="227"/>
      <c r="N40" s="228"/>
      <c r="O40" s="228"/>
      <c r="P40" s="228"/>
      <c r="Q40" s="228"/>
      <c r="R40" s="228"/>
      <c r="S40" s="229"/>
      <c r="T40" s="230">
        <f>SUM(M40:S40)</f>
        <v>0</v>
      </c>
      <c r="U40" s="231">
        <f>SUM(T40,L40)</f>
        <v>0</v>
      </c>
      <c r="V40" s="250" t="b">
        <f>IF(T40&gt;0,T40/U40,)</f>
        <v>0</v>
      </c>
    </row>
    <row r="41" spans="1:22" customHeight="1" ht="15">
      <c r="A41" s="240"/>
      <c r="B41" s="477"/>
      <c r="C41" s="477"/>
      <c r="D41" s="478"/>
      <c r="E41" s="278"/>
      <c r="F41" s="279"/>
      <c r="G41" s="280"/>
      <c r="H41" s="279"/>
      <c r="I41" s="279"/>
      <c r="J41" s="280"/>
      <c r="K41" s="135"/>
      <c r="L41" s="253">
        <f>SUM(E41:K41)</f>
        <v>0</v>
      </c>
      <c r="M41" s="233"/>
      <c r="N41" s="234"/>
      <c r="O41" s="234"/>
      <c r="P41" s="234"/>
      <c r="Q41" s="234"/>
      <c r="R41" s="234"/>
      <c r="S41" s="235"/>
      <c r="T41" s="253">
        <f>SUM(M41:S41)</f>
        <v>0</v>
      </c>
      <c r="U41" s="262">
        <f>SUM(T41,L41)</f>
        <v>0</v>
      </c>
      <c r="V41" s="263" t="b">
        <f>IF(T41&gt;0,T41/U41,)</f>
        <v>0</v>
      </c>
    </row>
    <row r="42" spans="1:22" customHeight="1" ht="15">
      <c r="A42" s="241" t="s">
        <v>105</v>
      </c>
      <c r="B42" s="242"/>
      <c r="C42" s="242"/>
      <c r="D42" s="242"/>
      <c r="E42" s="243">
        <f>SUM(E40:E41)</f>
        <v>0</v>
      </c>
      <c r="F42" s="243">
        <f>SUM(F40:F41)</f>
        <v>0</v>
      </c>
      <c r="G42" s="243">
        <f>SUM(G40:G41)</f>
        <v>0</v>
      </c>
      <c r="H42" s="243">
        <f>SUM(H40:H41)</f>
        <v>0</v>
      </c>
      <c r="I42" s="243">
        <f>SUM(I40:I41)</f>
        <v>0</v>
      </c>
      <c r="J42" s="243">
        <f>SUM(J40:J41)</f>
        <v>0</v>
      </c>
      <c r="K42" s="243">
        <f>SUM(K40:K41)</f>
        <v>0</v>
      </c>
      <c r="L42" s="245">
        <f>SUM(E42:K42)</f>
        <v>0</v>
      </c>
      <c r="M42" s="319">
        <f>SUM(M40:M41)</f>
        <v>0</v>
      </c>
      <c r="N42" s="319">
        <f>SUM(N40:N41)</f>
        <v>0</v>
      </c>
      <c r="O42" s="319">
        <f>SUM(O40:O41)</f>
        <v>0</v>
      </c>
      <c r="P42" s="319">
        <f>SUM(P40:P41)</f>
        <v>0</v>
      </c>
      <c r="Q42" s="319">
        <f>SUM(Q40:Q41)</f>
        <v>0</v>
      </c>
      <c r="R42" s="319">
        <f>SUM(R40:R41)</f>
        <v>0</v>
      </c>
      <c r="S42" s="319">
        <f>SUM(S40:S41)</f>
        <v>0</v>
      </c>
      <c r="T42" s="245">
        <f>SUM(M42:S42)</f>
        <v>0</v>
      </c>
      <c r="U42" s="248">
        <f>SUM(T42,L42)</f>
        <v>0</v>
      </c>
      <c r="V42" s="249" t="b">
        <f>IF(T42&gt;0,T42/U42,)</f>
        <v>0</v>
      </c>
    </row>
    <row r="43" spans="1:22" customHeight="1" ht="18">
      <c r="A43" s="410" t="s">
        <v>112</v>
      </c>
      <c r="B43" s="411"/>
      <c r="C43" s="411"/>
      <c r="D43" s="411"/>
      <c r="E43" s="411"/>
      <c r="F43" s="411"/>
      <c r="G43" s="411"/>
      <c r="H43" s="411"/>
      <c r="I43" s="411"/>
      <c r="J43" s="411"/>
      <c r="K43" s="411"/>
      <c r="L43" s="411"/>
      <c r="M43" s="411"/>
      <c r="N43" s="411"/>
      <c r="O43" s="411"/>
      <c r="P43" s="411"/>
      <c r="Q43" s="411"/>
      <c r="R43" s="411"/>
      <c r="S43" s="411"/>
      <c r="T43" s="411"/>
      <c r="U43" s="411"/>
      <c r="V43" s="412"/>
    </row>
    <row r="44" spans="1:22">
      <c r="A44" s="281" t="s">
        <v>56</v>
      </c>
      <c r="B44" s="440" t="s">
        <v>57</v>
      </c>
      <c r="C44" s="440"/>
      <c r="D44" s="441"/>
      <c r="E44" s="256">
        <v>3</v>
      </c>
      <c r="F44" s="257">
        <v>0</v>
      </c>
      <c r="G44" s="257">
        <v>0</v>
      </c>
      <c r="H44" s="257">
        <v>0</v>
      </c>
      <c r="I44" s="257">
        <v>0</v>
      </c>
      <c r="J44" s="257">
        <v>0</v>
      </c>
      <c r="K44" s="258">
        <v>0</v>
      </c>
      <c r="L44" s="226">
        <v>3</v>
      </c>
      <c r="M44" s="237">
        <v>3</v>
      </c>
      <c r="N44" s="238">
        <v>0</v>
      </c>
      <c r="O44" s="238">
        <v>0</v>
      </c>
      <c r="P44" s="238">
        <v>0</v>
      </c>
      <c r="Q44" s="238">
        <v>0</v>
      </c>
      <c r="R44" s="238">
        <v>0</v>
      </c>
      <c r="S44" s="239">
        <v>0</v>
      </c>
      <c r="T44" s="226">
        <v>3</v>
      </c>
      <c r="U44" s="236">
        <v>6</v>
      </c>
      <c r="V44" s="232" t="s">
        <v>77</v>
      </c>
    </row>
    <row r="45" spans="1:22" customHeight="1" ht="15">
      <c r="A45" s="281"/>
      <c r="B45" s="440"/>
      <c r="C45" s="440"/>
      <c r="D45" s="441"/>
      <c r="E45" s="256"/>
      <c r="F45" s="257"/>
      <c r="G45" s="257"/>
      <c r="H45" s="257"/>
      <c r="I45" s="257"/>
      <c r="J45" s="257"/>
      <c r="K45" s="258"/>
      <c r="L45" s="226">
        <f>SUM(E45:K45)</f>
        <v>0</v>
      </c>
      <c r="M45" s="237"/>
      <c r="N45" s="238"/>
      <c r="O45" s="238"/>
      <c r="P45" s="238"/>
      <c r="Q45" s="238"/>
      <c r="R45" s="238"/>
      <c r="S45" s="239"/>
      <c r="T45" s="226">
        <f>SUM(M45:S45)</f>
        <v>0</v>
      </c>
      <c r="U45" s="236">
        <f>SUM(T45,L45)</f>
        <v>0</v>
      </c>
      <c r="V45" s="232" t="b">
        <f>IF(T45&gt;0,T45/U45,)</f>
        <v>0</v>
      </c>
    </row>
    <row r="46" spans="1:22" customHeight="1" ht="15">
      <c r="A46" s="442" t="s">
        <v>105</v>
      </c>
      <c r="B46" s="443"/>
      <c r="C46" s="443"/>
      <c r="D46" s="444"/>
      <c r="E46" s="243">
        <f>SUM(E44:E45)</f>
        <v>3</v>
      </c>
      <c r="F46" s="243">
        <f>SUM(F44:F45)</f>
        <v>0</v>
      </c>
      <c r="G46" s="243">
        <f>SUM(G44:G45)</f>
        <v>0</v>
      </c>
      <c r="H46" s="243">
        <f>SUM(H44:H45)</f>
        <v>0</v>
      </c>
      <c r="I46" s="243">
        <f>SUM(I44:I45)</f>
        <v>0</v>
      </c>
      <c r="J46" s="243">
        <f>SUM(J44:J45)</f>
        <v>0</v>
      </c>
      <c r="K46" s="243">
        <f>SUM(K44:K45)</f>
        <v>0</v>
      </c>
      <c r="L46" s="245">
        <f>SUM(E46:K46)</f>
        <v>3</v>
      </c>
      <c r="M46" s="243">
        <f>SUM(M44:M45)</f>
        <v>3</v>
      </c>
      <c r="N46" s="243">
        <f>SUM(N44:N45)</f>
        <v>0</v>
      </c>
      <c r="O46" s="243">
        <f>SUM(O44:O45)</f>
        <v>0</v>
      </c>
      <c r="P46" s="243">
        <f>SUM(P44:P45)</f>
        <v>0</v>
      </c>
      <c r="Q46" s="243">
        <f>SUM(Q44:Q45)</f>
        <v>0</v>
      </c>
      <c r="R46" s="243">
        <f>SUM(R44:R45)</f>
        <v>0</v>
      </c>
      <c r="S46" s="243">
        <f>SUM(S44:S45)</f>
        <v>0</v>
      </c>
      <c r="T46" s="245">
        <f>SUM(M46:S46)</f>
        <v>3</v>
      </c>
      <c r="U46" s="248">
        <f>SUM(T46,L46)</f>
        <v>6</v>
      </c>
      <c r="V46" s="249">
        <f>IF(T46&gt;0,T46/U46,)</f>
        <v>0.5</v>
      </c>
    </row>
    <row r="47" spans="1:22" customHeight="1" ht="18">
      <c r="A47" s="410" t="s">
        <v>113</v>
      </c>
      <c r="B47" s="411"/>
      <c r="C47" s="411"/>
      <c r="D47" s="411"/>
      <c r="E47" s="411"/>
      <c r="F47" s="411"/>
      <c r="G47" s="411"/>
      <c r="H47" s="411"/>
      <c r="I47" s="411"/>
      <c r="J47" s="411"/>
      <c r="K47" s="411"/>
      <c r="L47" s="411"/>
      <c r="M47" s="411"/>
      <c r="N47" s="411"/>
      <c r="O47" s="411"/>
      <c r="P47" s="411"/>
      <c r="Q47" s="411"/>
      <c r="R47" s="411"/>
      <c r="S47" s="411"/>
      <c r="T47" s="411"/>
      <c r="U47" s="411"/>
      <c r="V47" s="412"/>
    </row>
    <row r="48" spans="1:22">
      <c r="A48" s="281"/>
      <c r="B48" s="440"/>
      <c r="C48" s="440"/>
      <c r="D48" s="441"/>
      <c r="E48" s="256"/>
      <c r="F48" s="257"/>
      <c r="G48" s="257"/>
      <c r="H48" s="257"/>
      <c r="I48" s="257"/>
      <c r="J48" s="257"/>
      <c r="K48" s="258"/>
      <c r="L48" s="226">
        <f>SUM(E48:K48)</f>
        <v>0</v>
      </c>
      <c r="M48" s="237"/>
      <c r="N48" s="238"/>
      <c r="O48" s="238"/>
      <c r="P48" s="238"/>
      <c r="Q48" s="238"/>
      <c r="R48" s="238"/>
      <c r="S48" s="239"/>
      <c r="T48" s="226">
        <f>SUM(M48:S48)</f>
        <v>0</v>
      </c>
      <c r="U48" s="236">
        <f>SUM(T48,L48)</f>
        <v>0</v>
      </c>
      <c r="V48" s="232" t="b">
        <f>IF(T48&gt;0,T48/U48,)</f>
        <v>0</v>
      </c>
    </row>
    <row r="49" spans="1:22" customHeight="1" ht="15">
      <c r="A49" s="281"/>
      <c r="B49" s="440"/>
      <c r="C49" s="440"/>
      <c r="D49" s="441"/>
      <c r="E49" s="256"/>
      <c r="F49" s="257"/>
      <c r="G49" s="257"/>
      <c r="H49" s="257"/>
      <c r="I49" s="257"/>
      <c r="J49" s="257"/>
      <c r="K49" s="258"/>
      <c r="L49" s="226">
        <f>SUM(E49:K49)</f>
        <v>0</v>
      </c>
      <c r="M49" s="237"/>
      <c r="N49" s="238"/>
      <c r="O49" s="238"/>
      <c r="P49" s="238"/>
      <c r="Q49" s="238"/>
      <c r="R49" s="238"/>
      <c r="S49" s="239"/>
      <c r="T49" s="226">
        <f>SUM(M49:S49)</f>
        <v>0</v>
      </c>
      <c r="U49" s="236">
        <f>SUM(T49,L49)</f>
        <v>0</v>
      </c>
      <c r="V49" s="232" t="b">
        <f>IF(T49&gt;0,T49/U49,)</f>
        <v>0</v>
      </c>
    </row>
    <row r="50" spans="1:22" customHeight="1" ht="15">
      <c r="A50" s="241" t="s">
        <v>105</v>
      </c>
      <c r="B50" s="242"/>
      <c r="C50" s="242"/>
      <c r="D50" s="242"/>
      <c r="E50" s="243">
        <f>SUM(E48:E49)</f>
        <v>0</v>
      </c>
      <c r="F50" s="243">
        <f>SUM(F48:F49)</f>
        <v>0</v>
      </c>
      <c r="G50" s="243">
        <f>SUM(G48:G49)</f>
        <v>0</v>
      </c>
      <c r="H50" s="243">
        <f>SUM(H48:H49)</f>
        <v>0</v>
      </c>
      <c r="I50" s="243">
        <f>SUM(I48:I49)</f>
        <v>0</v>
      </c>
      <c r="J50" s="243">
        <f>SUM(J48:J49)</f>
        <v>0</v>
      </c>
      <c r="K50" s="243">
        <f>SUM(K48:K49)</f>
        <v>0</v>
      </c>
      <c r="L50" s="245">
        <f>SUM(E50:K50)</f>
        <v>0</v>
      </c>
      <c r="M50" s="319">
        <f>SUM(M48:M49)</f>
        <v>0</v>
      </c>
      <c r="N50" s="319">
        <f>SUM(N48:N49)</f>
        <v>0</v>
      </c>
      <c r="O50" s="319">
        <f>SUM(O48:O49)</f>
        <v>0</v>
      </c>
      <c r="P50" s="319">
        <f>SUM(P48:P49)</f>
        <v>0</v>
      </c>
      <c r="Q50" s="319">
        <f>SUM(Q48:Q49)</f>
        <v>0</v>
      </c>
      <c r="R50" s="319">
        <f>SUM(R48:R49)</f>
        <v>0</v>
      </c>
      <c r="S50" s="319">
        <f>SUM(S48:S49)</f>
        <v>0</v>
      </c>
      <c r="T50" s="245">
        <f>SUM(M50:S50)</f>
        <v>0</v>
      </c>
      <c r="U50" s="248">
        <f>SUM(T50,L50)</f>
        <v>0</v>
      </c>
      <c r="V50" s="249" t="b">
        <f>IF(T50&gt;0,T50/U50,)</f>
        <v>0</v>
      </c>
    </row>
    <row r="51" spans="1:22" customHeight="1" ht="18">
      <c r="A51" s="410" t="s">
        <v>114</v>
      </c>
      <c r="B51" s="411"/>
      <c r="C51" s="411"/>
      <c r="D51" s="411"/>
      <c r="E51" s="411"/>
      <c r="F51" s="411"/>
      <c r="G51" s="411"/>
      <c r="H51" s="411"/>
      <c r="I51" s="411"/>
      <c r="J51" s="411"/>
      <c r="K51" s="411"/>
      <c r="L51" s="411"/>
      <c r="M51" s="411"/>
      <c r="N51" s="411"/>
      <c r="O51" s="411"/>
      <c r="P51" s="411"/>
      <c r="Q51" s="411"/>
      <c r="R51" s="411"/>
      <c r="S51" s="411"/>
      <c r="T51" s="411"/>
      <c r="U51" s="411"/>
      <c r="V51" s="412"/>
    </row>
    <row r="52" spans="1:22">
      <c r="A52" s="281"/>
      <c r="B52" s="440"/>
      <c r="C52" s="440"/>
      <c r="D52" s="441"/>
      <c r="E52" s="256"/>
      <c r="F52" s="257"/>
      <c r="G52" s="257"/>
      <c r="H52" s="257"/>
      <c r="I52" s="257"/>
      <c r="J52" s="257"/>
      <c r="K52" s="258"/>
      <c r="L52" s="226">
        <f>SUM(E52:K52)</f>
        <v>0</v>
      </c>
      <c r="M52" s="237"/>
      <c r="N52" s="238"/>
      <c r="O52" s="238"/>
      <c r="P52" s="238"/>
      <c r="Q52" s="238"/>
      <c r="R52" s="238"/>
      <c r="S52" s="239"/>
      <c r="T52" s="226">
        <f>SUM(M52:S52)</f>
        <v>0</v>
      </c>
      <c r="U52" s="236">
        <f>SUM(T52,L52)</f>
        <v>0</v>
      </c>
      <c r="V52" s="232" t="b">
        <f>IF(T52&gt;0,T52/U52,)</f>
        <v>0</v>
      </c>
    </row>
    <row r="53" spans="1:22" customHeight="1" ht="15">
      <c r="A53" s="281"/>
      <c r="B53" s="440"/>
      <c r="C53" s="440"/>
      <c r="D53" s="441"/>
      <c r="E53" s="256"/>
      <c r="F53" s="257"/>
      <c r="G53" s="257"/>
      <c r="H53" s="257"/>
      <c r="I53" s="257"/>
      <c r="J53" s="257"/>
      <c r="K53" s="258"/>
      <c r="L53" s="226">
        <f>SUM(E53:K53)</f>
        <v>0</v>
      </c>
      <c r="M53" s="237"/>
      <c r="N53" s="238"/>
      <c r="O53" s="238"/>
      <c r="P53" s="238"/>
      <c r="Q53" s="238"/>
      <c r="R53" s="238"/>
      <c r="S53" s="239"/>
      <c r="T53" s="226">
        <f>SUM(M53:S53)</f>
        <v>0</v>
      </c>
      <c r="U53" s="236">
        <f>SUM(T53,L53)</f>
        <v>0</v>
      </c>
      <c r="V53" s="232" t="b">
        <f>IF(T53&gt;0,T53/U53,)</f>
        <v>0</v>
      </c>
    </row>
    <row r="54" spans="1:22" customHeight="1" ht="15">
      <c r="A54" s="241" t="s">
        <v>105</v>
      </c>
      <c r="B54" s="242"/>
      <c r="C54" s="242"/>
      <c r="D54" s="242"/>
      <c r="E54" s="243">
        <f>SUM(E52:E53)</f>
        <v>0</v>
      </c>
      <c r="F54" s="243">
        <f>SUM(F52:F53)</f>
        <v>0</v>
      </c>
      <c r="G54" s="243">
        <f>SUM(G52:G53)</f>
        <v>0</v>
      </c>
      <c r="H54" s="243">
        <f>SUM(H52:H53)</f>
        <v>0</v>
      </c>
      <c r="I54" s="243">
        <f>SUM(I52:I53)</f>
        <v>0</v>
      </c>
      <c r="J54" s="243">
        <f>SUM(J52:J53)</f>
        <v>0</v>
      </c>
      <c r="K54" s="243">
        <f>SUM(K52:K53)</f>
        <v>0</v>
      </c>
      <c r="L54" s="245">
        <f>SUM(E54:K54)</f>
        <v>0</v>
      </c>
      <c r="M54" s="319">
        <f>SUM(M52:M53)</f>
        <v>0</v>
      </c>
      <c r="N54" s="319">
        <f>SUM(N52:N53)</f>
        <v>0</v>
      </c>
      <c r="O54" s="319">
        <f>SUM(O52:O53)</f>
        <v>0</v>
      </c>
      <c r="P54" s="319">
        <f>SUM(P52:P53)</f>
        <v>0</v>
      </c>
      <c r="Q54" s="319">
        <f>SUM(Q52:Q53)</f>
        <v>0</v>
      </c>
      <c r="R54" s="319">
        <f>SUM(R52:R53)</f>
        <v>0</v>
      </c>
      <c r="S54" s="319">
        <f>SUM(S52:S53)</f>
        <v>0</v>
      </c>
      <c r="T54" s="245">
        <f>SUM(M54:S54)</f>
        <v>0</v>
      </c>
      <c r="U54" s="248">
        <f>SUM(T54,L54)</f>
        <v>0</v>
      </c>
      <c r="V54" s="249" t="b">
        <f>IF(T54&gt;0,T54/U54,)</f>
        <v>0</v>
      </c>
    </row>
    <row r="55" spans="1:22" customHeight="1" ht="18">
      <c r="A55" s="410" t="s">
        <v>115</v>
      </c>
      <c r="B55" s="411"/>
      <c r="C55" s="411"/>
      <c r="D55" s="411"/>
      <c r="E55" s="411"/>
      <c r="F55" s="411"/>
      <c r="G55" s="411"/>
      <c r="H55" s="411"/>
      <c r="I55" s="411"/>
      <c r="J55" s="411"/>
      <c r="K55" s="411"/>
      <c r="L55" s="411"/>
      <c r="M55" s="411"/>
      <c r="N55" s="411"/>
      <c r="O55" s="411"/>
      <c r="P55" s="411"/>
      <c r="Q55" s="411"/>
      <c r="R55" s="411"/>
      <c r="S55" s="411"/>
      <c r="T55" s="411"/>
      <c r="U55" s="411"/>
      <c r="V55" s="412"/>
    </row>
    <row r="56" spans="1:22">
      <c r="A56" s="281"/>
      <c r="B56" s="440"/>
      <c r="C56" s="440"/>
      <c r="D56" s="441"/>
      <c r="E56" s="256"/>
      <c r="F56" s="257"/>
      <c r="G56" s="257"/>
      <c r="H56" s="257"/>
      <c r="I56" s="257"/>
      <c r="J56" s="257"/>
      <c r="K56" s="258"/>
      <c r="L56" s="226">
        <f>SUM(E56:K56)</f>
        <v>0</v>
      </c>
      <c r="M56" s="237"/>
      <c r="N56" s="238"/>
      <c r="O56" s="238"/>
      <c r="P56" s="238"/>
      <c r="Q56" s="238"/>
      <c r="R56" s="238"/>
      <c r="S56" s="239"/>
      <c r="T56" s="226">
        <f>SUM(M56:S56)</f>
        <v>0</v>
      </c>
      <c r="U56" s="236">
        <f>SUM(T56,L56)</f>
        <v>0</v>
      </c>
      <c r="V56" s="232" t="b">
        <f>IF(T56&gt;0,T56/U56,)</f>
        <v>0</v>
      </c>
    </row>
    <row r="57" spans="1:22" customHeight="1" ht="15">
      <c r="A57" s="281"/>
      <c r="B57" s="440"/>
      <c r="C57" s="440"/>
      <c r="D57" s="441"/>
      <c r="E57" s="256"/>
      <c r="F57" s="257"/>
      <c r="G57" s="257"/>
      <c r="H57" s="257"/>
      <c r="I57" s="257"/>
      <c r="J57" s="257"/>
      <c r="K57" s="258"/>
      <c r="L57" s="226">
        <f>SUM(E57:K57)</f>
        <v>0</v>
      </c>
      <c r="M57" s="237"/>
      <c r="N57" s="238"/>
      <c r="O57" s="238"/>
      <c r="P57" s="238"/>
      <c r="Q57" s="238"/>
      <c r="R57" s="238"/>
      <c r="S57" s="239"/>
      <c r="T57" s="226">
        <f>SUM(M57:S57)</f>
        <v>0</v>
      </c>
      <c r="U57" s="236">
        <f>SUM(T57,L57)</f>
        <v>0</v>
      </c>
      <c r="V57" s="232" t="b">
        <f>IF(T57&gt;0,T57/U57,)</f>
        <v>0</v>
      </c>
    </row>
    <row r="58" spans="1:22" customHeight="1" ht="15">
      <c r="A58" s="241" t="s">
        <v>105</v>
      </c>
      <c r="B58" s="242"/>
      <c r="C58" s="242"/>
      <c r="D58" s="242"/>
      <c r="E58" s="243">
        <f>SUM(E56:E57)</f>
        <v>0</v>
      </c>
      <c r="F58" s="243">
        <f>SUM(F56:F57)</f>
        <v>0</v>
      </c>
      <c r="G58" s="243">
        <f>SUM(G56:G57)</f>
        <v>0</v>
      </c>
      <c r="H58" s="243">
        <f>SUM(H56:H57)</f>
        <v>0</v>
      </c>
      <c r="I58" s="243">
        <f>SUM(I56:I57)</f>
        <v>0</v>
      </c>
      <c r="J58" s="243">
        <f>SUM(J56:J57)</f>
        <v>0</v>
      </c>
      <c r="K58" s="243">
        <f>SUM(K56:K57)</f>
        <v>0</v>
      </c>
      <c r="L58" s="245">
        <f>SUM(E58:K58)</f>
        <v>0</v>
      </c>
      <c r="M58" s="319">
        <f>SUM(M56:M57)</f>
        <v>0</v>
      </c>
      <c r="N58" s="319">
        <f>SUM(N56:N57)</f>
        <v>0</v>
      </c>
      <c r="O58" s="319">
        <f>SUM(O56:O57)</f>
        <v>0</v>
      </c>
      <c r="P58" s="319">
        <f>SUM(P56:P57)</f>
        <v>0</v>
      </c>
      <c r="Q58" s="319">
        <f>SUM(Q56:Q57)</f>
        <v>0</v>
      </c>
      <c r="R58" s="319">
        <f>SUM(R56:R57)</f>
        <v>0</v>
      </c>
      <c r="S58" s="319">
        <f>SUM(S56:S57)</f>
        <v>0</v>
      </c>
      <c r="T58" s="245">
        <f>SUM(M58:S58)</f>
        <v>0</v>
      </c>
      <c r="U58" s="248">
        <f>SUM(T58,L58)</f>
        <v>0</v>
      </c>
      <c r="V58" s="249" t="b">
        <f>IF(T58&gt;0,T58/U58,)</f>
        <v>0</v>
      </c>
    </row>
    <row r="59" spans="1:22" customHeight="1" ht="18">
      <c r="A59" s="410" t="s">
        <v>116</v>
      </c>
      <c r="B59" s="411"/>
      <c r="C59" s="411"/>
      <c r="D59" s="411"/>
      <c r="E59" s="411"/>
      <c r="F59" s="411"/>
      <c r="G59" s="411"/>
      <c r="H59" s="411"/>
      <c r="I59" s="411"/>
      <c r="J59" s="411"/>
      <c r="K59" s="411"/>
      <c r="L59" s="411"/>
      <c r="M59" s="411"/>
      <c r="N59" s="411"/>
      <c r="O59" s="411"/>
      <c r="P59" s="411"/>
      <c r="Q59" s="411"/>
      <c r="R59" s="411"/>
      <c r="S59" s="411"/>
      <c r="T59" s="411"/>
      <c r="U59" s="411"/>
      <c r="V59" s="412"/>
    </row>
    <row r="60" spans="1:22">
      <c r="A60" s="276"/>
      <c r="B60" s="408"/>
      <c r="C60" s="408"/>
      <c r="D60" s="409"/>
      <c r="E60" s="256"/>
      <c r="F60" s="257"/>
      <c r="G60" s="257"/>
      <c r="H60" s="257"/>
      <c r="I60" s="257"/>
      <c r="J60" s="257"/>
      <c r="K60" s="258"/>
      <c r="L60" s="226">
        <f>SUM(E60:K60)</f>
        <v>0</v>
      </c>
      <c r="M60" s="237"/>
      <c r="N60" s="238"/>
      <c r="O60" s="238"/>
      <c r="P60" s="238"/>
      <c r="Q60" s="238"/>
      <c r="R60" s="238"/>
      <c r="S60" s="239"/>
      <c r="T60" s="226">
        <f>SUM(M60:S60)</f>
        <v>0</v>
      </c>
      <c r="U60" s="236">
        <f>SUM(T60,L60)</f>
        <v>0</v>
      </c>
      <c r="V60" s="232" t="b">
        <f>IF(T60&gt;0,T60/U60,)</f>
        <v>0</v>
      </c>
    </row>
    <row r="61" spans="1:22" customHeight="1" ht="15">
      <c r="A61" s="276"/>
      <c r="B61" s="408"/>
      <c r="C61" s="408"/>
      <c r="D61" s="409"/>
      <c r="E61" s="256"/>
      <c r="F61" s="257"/>
      <c r="G61" s="257"/>
      <c r="H61" s="257"/>
      <c r="I61" s="257"/>
      <c r="J61" s="257"/>
      <c r="K61" s="258"/>
      <c r="L61" s="226">
        <f>SUM(E61:K61)</f>
        <v>0</v>
      </c>
      <c r="M61" s="237"/>
      <c r="N61" s="238"/>
      <c r="O61" s="238"/>
      <c r="P61" s="238"/>
      <c r="Q61" s="238"/>
      <c r="R61" s="238"/>
      <c r="S61" s="239"/>
      <c r="T61" s="226">
        <f>SUM(M61:S61)</f>
        <v>0</v>
      </c>
      <c r="U61" s="236">
        <f>SUM(T61,L61)</f>
        <v>0</v>
      </c>
      <c r="V61" s="232" t="b">
        <f>IF(T61&gt;0,T61/U61,)</f>
        <v>0</v>
      </c>
    </row>
    <row r="62" spans="1:22" customHeight="1" ht="15">
      <c r="A62" s="241" t="s">
        <v>105</v>
      </c>
      <c r="B62" s="242"/>
      <c r="C62" s="242"/>
      <c r="D62" s="242"/>
      <c r="E62" s="243">
        <f>SUM(E60:E61)</f>
        <v>0</v>
      </c>
      <c r="F62" s="243">
        <f>SUM(F60:F61)</f>
        <v>0</v>
      </c>
      <c r="G62" s="243">
        <f>SUM(G60:G61)</f>
        <v>0</v>
      </c>
      <c r="H62" s="243">
        <f>SUM(H60:H61)</f>
        <v>0</v>
      </c>
      <c r="I62" s="243">
        <f>SUM(I60:I61)</f>
        <v>0</v>
      </c>
      <c r="J62" s="243">
        <f>SUM(J60:J61)</f>
        <v>0</v>
      </c>
      <c r="K62" s="243">
        <f>SUM(K60:K61)</f>
        <v>0</v>
      </c>
      <c r="L62" s="245">
        <f>SUM(E62:K62)</f>
        <v>0</v>
      </c>
      <c r="M62" s="243">
        <f>SUM(M60:M61)</f>
        <v>0</v>
      </c>
      <c r="N62" s="243">
        <f>SUM(N60:N61)</f>
        <v>0</v>
      </c>
      <c r="O62" s="243">
        <f>SUM(O60:O61)</f>
        <v>0</v>
      </c>
      <c r="P62" s="243">
        <f>SUM(P60:P61)</f>
        <v>0</v>
      </c>
      <c r="Q62" s="243">
        <f>SUM(Q60:Q61)</f>
        <v>0</v>
      </c>
      <c r="R62" s="243">
        <f>SUM(R60:R61)</f>
        <v>0</v>
      </c>
      <c r="S62" s="243">
        <f>SUM(S60:S61)</f>
        <v>0</v>
      </c>
      <c r="T62" s="245">
        <f>SUM(M62:S62)</f>
        <v>0</v>
      </c>
      <c r="U62" s="248">
        <f>SUM(T62,L62)</f>
        <v>0</v>
      </c>
      <c r="V62" s="249" t="b">
        <f>IF(T62&gt;0,T62/U62,)</f>
        <v>0</v>
      </c>
    </row>
    <row r="63" spans="1:22" customHeight="1" ht="18">
      <c r="A63" s="410" t="s">
        <v>117</v>
      </c>
      <c r="B63" s="411"/>
      <c r="C63" s="411"/>
      <c r="D63" s="411"/>
      <c r="E63" s="411"/>
      <c r="F63" s="411"/>
      <c r="G63" s="411"/>
      <c r="H63" s="411"/>
      <c r="I63" s="411"/>
      <c r="J63" s="411"/>
      <c r="K63" s="411"/>
      <c r="L63" s="411"/>
      <c r="M63" s="411"/>
      <c r="N63" s="411"/>
      <c r="O63" s="411"/>
      <c r="P63" s="411"/>
      <c r="Q63" s="411"/>
      <c r="R63" s="411"/>
      <c r="S63" s="411"/>
      <c r="T63" s="411"/>
      <c r="U63" s="411"/>
      <c r="V63" s="412"/>
    </row>
    <row r="64" spans="1:22">
      <c r="A64" s="269"/>
      <c r="B64" s="440"/>
      <c r="C64" s="440"/>
      <c r="D64" s="441"/>
      <c r="E64" s="256"/>
      <c r="F64" s="257"/>
      <c r="G64" s="257"/>
      <c r="H64" s="257"/>
      <c r="I64" s="257"/>
      <c r="J64" s="257"/>
      <c r="K64" s="258"/>
      <c r="L64" s="253">
        <f>SUM(E64:K64)</f>
        <v>0</v>
      </c>
      <c r="M64" s="237"/>
      <c r="N64" s="238"/>
      <c r="O64" s="238"/>
      <c r="P64" s="238"/>
      <c r="Q64" s="238"/>
      <c r="R64" s="238"/>
      <c r="S64" s="239"/>
      <c r="T64" s="253">
        <f>SUM(M64:S64)</f>
        <v>0</v>
      </c>
      <c r="U64" s="236">
        <f>SUM(T64,L64)</f>
        <v>0</v>
      </c>
      <c r="V64" s="232" t="b">
        <f>IF(T64&gt;0,T64/U64,)</f>
        <v>0</v>
      </c>
    </row>
    <row r="65" spans="1:22" customHeight="1" ht="15">
      <c r="A65" s="269"/>
      <c r="B65" s="440"/>
      <c r="C65" s="440"/>
      <c r="D65" s="441"/>
      <c r="E65" s="256"/>
      <c r="F65" s="257"/>
      <c r="G65" s="257"/>
      <c r="H65" s="257"/>
      <c r="I65" s="257"/>
      <c r="J65" s="257"/>
      <c r="K65" s="258"/>
      <c r="L65" s="226">
        <f>SUM(E65:K65)</f>
        <v>0</v>
      </c>
      <c r="M65" s="237"/>
      <c r="N65" s="238"/>
      <c r="O65" s="238"/>
      <c r="P65" s="238"/>
      <c r="Q65" s="238"/>
      <c r="R65" s="238"/>
      <c r="S65" s="239"/>
      <c r="T65" s="226">
        <f>SUM(M65:S65)</f>
        <v>0</v>
      </c>
      <c r="U65" s="236">
        <f>SUM(T65,L65)</f>
        <v>0</v>
      </c>
      <c r="V65" s="232" t="b">
        <f>IF(T65&gt;0,T65/U65,)</f>
        <v>0</v>
      </c>
    </row>
    <row r="66" spans="1:22" customHeight="1" ht="15">
      <c r="A66" s="241" t="s">
        <v>105</v>
      </c>
      <c r="B66" s="242"/>
      <c r="C66" s="242"/>
      <c r="D66" s="242"/>
      <c r="E66" s="243">
        <f>SUM(E64:E65)</f>
        <v>0</v>
      </c>
      <c r="F66" s="243">
        <f>SUM(F64:F65)</f>
        <v>0</v>
      </c>
      <c r="G66" s="243">
        <f>SUM(G64:G65)</f>
        <v>0</v>
      </c>
      <c r="H66" s="243">
        <f>SUM(H64:H65)</f>
        <v>0</v>
      </c>
      <c r="I66" s="243">
        <f>SUM(I64:I65)</f>
        <v>0</v>
      </c>
      <c r="J66" s="243">
        <f>SUM(J64:J65)</f>
        <v>0</v>
      </c>
      <c r="K66" s="243">
        <f>SUM(K64:K65)</f>
        <v>0</v>
      </c>
      <c r="L66" s="245">
        <f>SUM(E66:K66)</f>
        <v>0</v>
      </c>
      <c r="M66" s="243">
        <f>SUM(M64:M65)</f>
        <v>0</v>
      </c>
      <c r="N66" s="243">
        <f>SUM(N64:N65)</f>
        <v>0</v>
      </c>
      <c r="O66" s="243">
        <f>SUM(O64:O65)</f>
        <v>0</v>
      </c>
      <c r="P66" s="243">
        <f>SUM(P64:P65)</f>
        <v>0</v>
      </c>
      <c r="Q66" s="243">
        <f>SUM(Q64:Q65)</f>
        <v>0</v>
      </c>
      <c r="R66" s="243">
        <f>SUM(R64:R65)</f>
        <v>0</v>
      </c>
      <c r="S66" s="243">
        <f>SUM(S64:S65)</f>
        <v>0</v>
      </c>
      <c r="T66" s="245">
        <f>SUM(M66:S66)</f>
        <v>0</v>
      </c>
      <c r="U66" s="248">
        <f>SUM(T66,L66)</f>
        <v>0</v>
      </c>
      <c r="V66" s="249" t="b">
        <f>IF(T66&gt;0,T66/U66,)</f>
        <v>0</v>
      </c>
    </row>
    <row r="67" spans="1:22" customHeight="1" ht="18">
      <c r="A67" s="410" t="s">
        <v>118</v>
      </c>
      <c r="B67" s="411"/>
      <c r="C67" s="411"/>
      <c r="D67" s="411"/>
      <c r="E67" s="411"/>
      <c r="F67" s="411"/>
      <c r="G67" s="411"/>
      <c r="H67" s="411"/>
      <c r="I67" s="411"/>
      <c r="J67" s="411"/>
      <c r="K67" s="411"/>
      <c r="L67" s="411"/>
      <c r="M67" s="411"/>
      <c r="N67" s="411"/>
      <c r="O67" s="411"/>
      <c r="P67" s="411"/>
      <c r="Q67" s="411"/>
      <c r="R67" s="411"/>
      <c r="S67" s="411"/>
      <c r="T67" s="411"/>
      <c r="U67" s="411"/>
      <c r="V67" s="412"/>
    </row>
    <row r="68" spans="1:22">
      <c r="A68" s="255"/>
      <c r="B68" s="408"/>
      <c r="C68" s="408"/>
      <c r="D68" s="409"/>
      <c r="E68" s="256"/>
      <c r="F68" s="257"/>
      <c r="G68" s="257"/>
      <c r="H68" s="257"/>
      <c r="I68" s="257"/>
      <c r="J68" s="257"/>
      <c r="K68" s="258"/>
      <c r="L68" s="253">
        <f>SUM(E68:K68)</f>
        <v>0</v>
      </c>
      <c r="M68" s="233"/>
      <c r="N68" s="234"/>
      <c r="O68" s="234"/>
      <c r="P68" s="234"/>
      <c r="Q68" s="234"/>
      <c r="R68" s="234"/>
      <c r="S68" s="235"/>
      <c r="T68" s="253">
        <f>SUM(M68:S68)</f>
        <v>0</v>
      </c>
      <c r="U68" s="262">
        <f>SUM(T68,L68)</f>
        <v>0</v>
      </c>
      <c r="V68" s="263" t="b">
        <f>IF(T68&gt;0,T68/U68,)</f>
        <v>0</v>
      </c>
    </row>
    <row r="69" spans="1:22" customHeight="1" ht="15">
      <c r="A69" s="255"/>
      <c r="B69" s="408"/>
      <c r="C69" s="408"/>
      <c r="D69" s="409"/>
      <c r="E69" s="256"/>
      <c r="F69" s="257"/>
      <c r="G69" s="257"/>
      <c r="H69" s="257"/>
      <c r="I69" s="257"/>
      <c r="J69" s="257"/>
      <c r="K69" s="258"/>
      <c r="L69" s="253">
        <f>SUM(E69:K69)</f>
        <v>0</v>
      </c>
      <c r="M69" s="233"/>
      <c r="N69" s="234"/>
      <c r="O69" s="234"/>
      <c r="P69" s="234"/>
      <c r="Q69" s="234"/>
      <c r="R69" s="234"/>
      <c r="S69" s="235"/>
      <c r="T69" s="283">
        <f>SUM(M69:S69)</f>
        <v>0</v>
      </c>
      <c r="U69" s="262">
        <f>SUM(T69,L69)</f>
        <v>0</v>
      </c>
      <c r="V69" s="263" t="b">
        <f>IF(T69&gt;0,T69/U69,)</f>
        <v>0</v>
      </c>
    </row>
    <row r="70" spans="1:22" customHeight="1" ht="15">
      <c r="A70" s="241" t="s">
        <v>105</v>
      </c>
      <c r="B70" s="242"/>
      <c r="C70" s="242"/>
      <c r="D70" s="242"/>
      <c r="E70" s="243">
        <f>SUM(E68:E69)</f>
        <v>0</v>
      </c>
      <c r="F70" s="243">
        <f>SUM(F68:F69)</f>
        <v>0</v>
      </c>
      <c r="G70" s="243">
        <f>SUM(G68:G69)</f>
        <v>0</v>
      </c>
      <c r="H70" s="243">
        <f>SUM(H68:H69)</f>
        <v>0</v>
      </c>
      <c r="I70" s="243">
        <f>SUM(I68:I69)</f>
        <v>0</v>
      </c>
      <c r="J70" s="243">
        <f>SUM(J68:J69)</f>
        <v>0</v>
      </c>
      <c r="K70" s="243">
        <f>SUM(K68:K69)</f>
        <v>0</v>
      </c>
      <c r="L70" s="245">
        <f>SUM(E70:K70)</f>
        <v>0</v>
      </c>
      <c r="M70" s="243">
        <f>SUM(M68:M69)</f>
        <v>0</v>
      </c>
      <c r="N70" s="243">
        <f>SUM(N68:N69)</f>
        <v>0</v>
      </c>
      <c r="O70" s="243">
        <f>SUM(O68:O69)</f>
        <v>0</v>
      </c>
      <c r="P70" s="243">
        <f>SUM(P68:P69)</f>
        <v>0</v>
      </c>
      <c r="Q70" s="243">
        <f>SUM(Q68:Q69)</f>
        <v>0</v>
      </c>
      <c r="R70" s="243">
        <f>SUM(R68:R69)</f>
        <v>0</v>
      </c>
      <c r="S70" s="243">
        <f>SUM(S68:S69)</f>
        <v>0</v>
      </c>
      <c r="T70" s="245">
        <f>SUM(M70:S70)</f>
        <v>0</v>
      </c>
      <c r="U70" s="248">
        <f>SUM(T70,L70)</f>
        <v>0</v>
      </c>
      <c r="V70" s="249" t="b">
        <f>IF(T70&gt;0,T70/U70,)</f>
        <v>0</v>
      </c>
    </row>
    <row r="71" spans="1:22" customHeight="1" ht="18">
      <c r="A71" s="410" t="s">
        <v>119</v>
      </c>
      <c r="B71" s="411"/>
      <c r="C71" s="411"/>
      <c r="D71" s="411"/>
      <c r="E71" s="411"/>
      <c r="F71" s="411"/>
      <c r="G71" s="411"/>
      <c r="H71" s="411"/>
      <c r="I71" s="411"/>
      <c r="J71" s="411"/>
      <c r="K71" s="411"/>
      <c r="L71" s="411"/>
      <c r="M71" s="411"/>
      <c r="N71" s="411"/>
      <c r="O71" s="411"/>
      <c r="P71" s="411"/>
      <c r="Q71" s="411"/>
      <c r="R71" s="411"/>
      <c r="S71" s="411"/>
      <c r="T71" s="411"/>
      <c r="U71" s="411"/>
      <c r="V71" s="412"/>
    </row>
    <row r="72" spans="1:22">
      <c r="A72" s="97"/>
      <c r="B72" s="408"/>
      <c r="C72" s="408"/>
      <c r="D72" s="409"/>
      <c r="E72" s="256"/>
      <c r="F72" s="257"/>
      <c r="G72" s="257"/>
      <c r="H72" s="257"/>
      <c r="I72" s="257"/>
      <c r="J72" s="257"/>
      <c r="K72" s="258"/>
      <c r="L72" s="226">
        <f>SUM(E72:K72)</f>
        <v>0</v>
      </c>
      <c r="M72" s="233"/>
      <c r="N72" s="234"/>
      <c r="O72" s="234"/>
      <c r="P72" s="234"/>
      <c r="Q72" s="234"/>
      <c r="R72" s="234"/>
      <c r="S72" s="235"/>
      <c r="T72" s="226">
        <f>SUM(M72:S72)</f>
        <v>0</v>
      </c>
      <c r="U72" s="236">
        <f>SUM(T72,L72)</f>
        <v>0</v>
      </c>
      <c r="V72" s="232" t="b">
        <f>IF(T72&gt;0,T72/U72,)</f>
        <v>0</v>
      </c>
    </row>
    <row r="73" spans="1:22">
      <c r="A73" s="269"/>
      <c r="B73" s="435"/>
      <c r="C73" s="435"/>
      <c r="D73" s="436"/>
      <c r="E73" s="284"/>
      <c r="F73" s="280"/>
      <c r="G73" s="280"/>
      <c r="H73" s="280"/>
      <c r="I73" s="280"/>
      <c r="J73" s="280"/>
      <c r="K73" s="282"/>
      <c r="L73" s="226">
        <f>SUM(E73:K73)</f>
        <v>0</v>
      </c>
      <c r="M73" s="237"/>
      <c r="N73" s="238"/>
      <c r="O73" s="238"/>
      <c r="P73" s="238"/>
      <c r="Q73" s="238"/>
      <c r="R73" s="238"/>
      <c r="S73" s="239"/>
      <c r="T73" s="226">
        <f>SUM(M73:S73)</f>
        <v>0</v>
      </c>
      <c r="U73" s="236">
        <f>SUM(T73,L73)</f>
        <v>0</v>
      </c>
      <c r="V73" s="232" t="b">
        <f>IF(T73&gt;0,T73/U73,)</f>
        <v>0</v>
      </c>
    </row>
    <row r="74" spans="1:22" customHeight="1" ht="15">
      <c r="A74" s="437" t="s">
        <v>105</v>
      </c>
      <c r="B74" s="438"/>
      <c r="C74" s="438"/>
      <c r="D74" s="439"/>
      <c r="E74" s="243">
        <f>SUM(E72:E73)</f>
        <v>0</v>
      </c>
      <c r="F74" s="243">
        <f>SUM(F72:F73)</f>
        <v>0</v>
      </c>
      <c r="G74" s="243">
        <f>SUM(G72:G73)</f>
        <v>0</v>
      </c>
      <c r="H74" s="243">
        <f>SUM(H72:H73)</f>
        <v>0</v>
      </c>
      <c r="I74" s="243">
        <f>SUM(I72:I73)</f>
        <v>0</v>
      </c>
      <c r="J74" s="243">
        <f>SUM(J72:J73)</f>
        <v>0</v>
      </c>
      <c r="K74" s="243">
        <f>SUM(K72:K73)</f>
        <v>0</v>
      </c>
      <c r="L74" s="245">
        <f>SUM(E74:K74)</f>
        <v>0</v>
      </c>
      <c r="M74" s="243">
        <f>SUM(M72:M73)</f>
        <v>0</v>
      </c>
      <c r="N74" s="243">
        <f>SUM(N72:N73)</f>
        <v>0</v>
      </c>
      <c r="O74" s="243">
        <f>SUM(O72:O73)</f>
        <v>0</v>
      </c>
      <c r="P74" s="243">
        <f>SUM(P72:P73)</f>
        <v>0</v>
      </c>
      <c r="Q74" s="243">
        <f>SUM(Q72:Q73)</f>
        <v>0</v>
      </c>
      <c r="R74" s="243">
        <f>SUM(R72:R73)</f>
        <v>0</v>
      </c>
      <c r="S74" s="243">
        <f>SUM(S72:S73)</f>
        <v>0</v>
      </c>
      <c r="T74" s="245">
        <f>SUM(M74:S74)</f>
        <v>0</v>
      </c>
      <c r="U74" s="248">
        <f>SUM(T74,L74)</f>
        <v>0</v>
      </c>
      <c r="V74" s="249" t="b">
        <f>IF(T74&gt;0,T74/U74,)</f>
        <v>0</v>
      </c>
    </row>
    <row r="75" spans="1:22" customHeight="1" ht="18.5">
      <c r="A75" s="285" t="s">
        <v>120</v>
      </c>
      <c r="B75" s="286"/>
      <c r="C75" s="286"/>
      <c r="D75" s="287"/>
      <c r="E75" s="288">
        <f>SUM(E74,E70,E66,E62,E58,E54,E46,E50,E38,E42,E34,E30,E26,E22,E18)</f>
        <v>3</v>
      </c>
      <c r="F75" s="288">
        <f>SUM(F18,F22,F26,F30,F34,F38,F42,F46,F50,F54,F58,F62,F66,F70,F74)</f>
        <v>0</v>
      </c>
      <c r="G75" s="288">
        <f>SUM(G18,G22,G26,G30,G34,G38,G42,G46,G50,G54,G58,G62,G66,G70,G74)</f>
        <v>0</v>
      </c>
      <c r="H75" s="288">
        <f>SUM(H18,H22,H26,H30,H34,H38,H42,H46,H50,H54,H58,H62,H66,H70,H74)</f>
        <v>0</v>
      </c>
      <c r="I75" s="288">
        <f>SUM(I18,I22,I26,I30,I34,I38,I42,I46,I50,I54,I58,I62,I66,I70,I74)</f>
        <v>0</v>
      </c>
      <c r="J75" s="288">
        <f>SUM(J18,J22,J26,J30,J34,J38,J42,J46,J50,J54,J58,J62,J66,J70,J74)</f>
        <v>0</v>
      </c>
      <c r="K75" s="288">
        <f>SUM(K18,K22,K26,K30,K34,K38,K42,K46,K50,K54,K58,K62,K66,K70,K74)</f>
        <v>0</v>
      </c>
      <c r="L75" s="245">
        <f>SUM(L18,L22,L26,L30,L34,L38,L42,L46,L50,L54,L58,L62,L66,L70,L74)</f>
        <v>3</v>
      </c>
      <c r="M75" s="288">
        <f>SUM(M74,M70,M66,M62,M58,M54,M50,M46,M42,M38,M34,M30,M26,M22,M18)</f>
        <v>3</v>
      </c>
      <c r="N75" s="288">
        <f>SUM(N74,N70,N66,N62,N58,N54,N50,N46,N42,N38,N34,N30,N26,N22,N18)</f>
        <v>0</v>
      </c>
      <c r="O75" s="288">
        <f>SUM(O74,O70,O66,O62,O58,O54,O50,O46,O42,O38,O34,O30,O26,O22,O18)</f>
        <v>0</v>
      </c>
      <c r="P75" s="288">
        <f>SUM(P74,P70,P66,P62,P58,P54,P50,P46,P42,P38,P34,P30,P26,P22,P18)</f>
        <v>0</v>
      </c>
      <c r="Q75" s="288">
        <f>SUM(Q74,Q70,Q66,Q62,Q58,Q54,Q50,Q46,Q42,Q38,Q34,Q30,Q26,Q22,Q18)</f>
        <v>0</v>
      </c>
      <c r="R75" s="288">
        <f>SUM(R74,R70,R66,R62,R58,R54,R50,R46,R42,R38,R34,R30,R26,R22,R18)</f>
        <v>0</v>
      </c>
      <c r="S75" s="288">
        <f>SUM(S74,S70,S66,S62,S58,S54,S50,S46,S42,S38,S34,S30,S26,S22,S18)</f>
        <v>0</v>
      </c>
      <c r="T75" s="245">
        <f>SUM(M75:S75)</f>
        <v>3</v>
      </c>
      <c r="U75" s="248">
        <f>SUM(T75,L75)</f>
        <v>6</v>
      </c>
      <c r="V75" s="249">
        <f>IF(T75&gt;0,T75/U75,)</f>
        <v>0.5</v>
      </c>
    </row>
    <row r="76" spans="1:22">
      <c r="A76" s="209"/>
      <c r="B76" s="209"/>
      <c r="C76" s="209"/>
      <c r="D76" s="209"/>
      <c r="E76" s="209"/>
      <c r="F76" s="209"/>
      <c r="G76" s="209"/>
      <c r="H76" s="209"/>
      <c r="I76" s="209"/>
      <c r="J76" s="209"/>
      <c r="K76" s="209"/>
      <c r="L76" s="289"/>
      <c r="M76" s="290"/>
      <c r="N76" s="290"/>
      <c r="O76" s="290"/>
      <c r="P76" s="290"/>
      <c r="Q76" s="290"/>
      <c r="R76" s="290"/>
      <c r="S76" s="290"/>
      <c r="T76" s="289"/>
      <c r="U76" s="291"/>
      <c r="V76" s="292"/>
    </row>
    <row r="77" spans="1:22">
      <c r="A77" s="209"/>
      <c r="B77" s="209"/>
      <c r="C77" s="209"/>
      <c r="D77" s="209"/>
      <c r="E77" s="209"/>
      <c r="F77" s="209"/>
      <c r="G77" s="209"/>
      <c r="H77" s="209"/>
      <c r="I77" s="209"/>
      <c r="J77" s="209"/>
      <c r="K77" s="209"/>
      <c r="L77" s="289"/>
      <c r="M77" s="290"/>
      <c r="N77" s="290"/>
      <c r="O77" s="290"/>
      <c r="P77" s="290"/>
      <c r="Q77" s="290"/>
      <c r="R77" s="290"/>
      <c r="S77" s="290"/>
      <c r="T77" s="289"/>
      <c r="U77" s="291"/>
      <c r="V77" s="292"/>
    </row>
    <row r="78" spans="1:22">
      <c r="A78" s="209"/>
      <c r="B78" s="209"/>
      <c r="C78" s="209"/>
      <c r="D78" s="209"/>
      <c r="E78" s="209"/>
      <c r="F78" s="209"/>
      <c r="G78" s="209"/>
      <c r="H78" s="209"/>
      <c r="I78" s="209"/>
      <c r="J78" s="209"/>
      <c r="K78" s="209"/>
      <c r="L78" s="289"/>
      <c r="M78" s="290"/>
      <c r="N78" s="290"/>
      <c r="O78" s="290"/>
      <c r="P78" s="290"/>
      <c r="Q78" s="290"/>
      <c r="R78" s="290"/>
      <c r="S78" s="290"/>
      <c r="T78" s="289"/>
      <c r="U78" s="291"/>
      <c r="V78" s="292"/>
    </row>
    <row r="79" spans="1:22">
      <c r="A79" s="209"/>
      <c r="B79" s="209"/>
      <c r="C79" s="209"/>
      <c r="D79" s="209"/>
      <c r="E79" s="209"/>
      <c r="F79" s="209"/>
      <c r="G79" s="209"/>
      <c r="H79" s="209"/>
      <c r="I79" s="209"/>
      <c r="J79" s="209"/>
      <c r="K79" s="209"/>
      <c r="L79" s="289"/>
      <c r="M79" s="290"/>
      <c r="N79" s="290"/>
      <c r="O79" s="290"/>
      <c r="P79" s="290"/>
      <c r="Q79" s="290"/>
      <c r="R79" s="290"/>
      <c r="S79" s="290"/>
      <c r="T79" s="289"/>
      <c r="U79" s="291"/>
      <c r="V79" s="292"/>
    </row>
    <row r="80" spans="1:22" customHeight="1" ht="15">
      <c r="A80" s="209"/>
      <c r="B80" s="209"/>
      <c r="C80" s="209"/>
      <c r="D80" s="209"/>
      <c r="E80" s="209"/>
      <c r="F80" s="209"/>
      <c r="G80" s="209"/>
      <c r="H80" s="209"/>
      <c r="I80" s="209"/>
      <c r="J80" s="209"/>
      <c r="K80" s="209"/>
      <c r="L80" s="289"/>
      <c r="M80" s="290"/>
      <c r="N80" s="290"/>
      <c r="O80" s="290"/>
      <c r="P80" s="290"/>
      <c r="Q80" s="290"/>
      <c r="R80" s="290"/>
      <c r="S80" s="290"/>
      <c r="T80" s="289"/>
      <c r="U80" s="291"/>
      <c r="V80" s="292"/>
    </row>
    <row r="81" spans="1:22" customHeight="1" ht="20.5">
      <c r="A81" s="426" t="s">
        <v>121</v>
      </c>
      <c r="B81" s="427"/>
      <c r="C81" s="427"/>
      <c r="D81" s="427"/>
      <c r="E81" s="427"/>
      <c r="F81" s="427"/>
      <c r="G81" s="427"/>
      <c r="H81" s="427"/>
      <c r="I81" s="427"/>
      <c r="J81" s="427"/>
      <c r="K81" s="427"/>
      <c r="L81" s="427"/>
      <c r="M81" s="427"/>
      <c r="N81" s="427"/>
      <c r="O81" s="427"/>
      <c r="P81" s="427"/>
      <c r="Q81" s="427"/>
      <c r="R81" s="427"/>
      <c r="S81" s="427"/>
      <c r="T81" s="427"/>
      <c r="U81" s="427"/>
      <c r="V81" s="428"/>
    </row>
    <row r="82" spans="1:22">
      <c r="A82" s="293"/>
      <c r="B82" s="294"/>
      <c r="C82" s="294"/>
      <c r="D82" s="295"/>
      <c r="E82" s="429" t="s">
        <v>100</v>
      </c>
      <c r="F82" s="430"/>
      <c r="G82" s="430"/>
      <c r="H82" s="430"/>
      <c r="I82" s="430"/>
      <c r="J82" s="430"/>
      <c r="K82" s="431"/>
      <c r="L82" s="296"/>
      <c r="M82" s="432" t="s">
        <v>100</v>
      </c>
      <c r="N82" s="433"/>
      <c r="O82" s="433"/>
      <c r="P82" s="433"/>
      <c r="Q82" s="433"/>
      <c r="R82" s="433"/>
      <c r="S82" s="434"/>
      <c r="T82" s="297"/>
      <c r="U82" s="297"/>
      <c r="V82" s="297"/>
    </row>
    <row r="83" spans="1:22" customHeight="1" ht="15">
      <c r="A83" s="296"/>
      <c r="B83" s="298"/>
      <c r="C83" s="298"/>
      <c r="D83" s="299"/>
      <c r="E83" s="300">
        <v>1</v>
      </c>
      <c r="F83" s="301">
        <v>2</v>
      </c>
      <c r="G83" s="301">
        <v>3</v>
      </c>
      <c r="H83" s="301">
        <v>4</v>
      </c>
      <c r="I83" s="301">
        <v>5</v>
      </c>
      <c r="J83" s="301">
        <v>6</v>
      </c>
      <c r="K83" s="301">
        <v>7</v>
      </c>
      <c r="L83" s="302"/>
      <c r="M83" s="303">
        <v>1</v>
      </c>
      <c r="N83" s="304">
        <v>2</v>
      </c>
      <c r="O83" s="304">
        <v>3</v>
      </c>
      <c r="P83" s="304">
        <v>4</v>
      </c>
      <c r="Q83" s="304">
        <v>5</v>
      </c>
      <c r="R83" s="304">
        <v>6</v>
      </c>
      <c r="S83" s="304">
        <v>7</v>
      </c>
      <c r="T83" s="302"/>
      <c r="U83" s="302"/>
      <c r="V83" s="302"/>
    </row>
    <row r="84" spans="1:22" customHeight="1" ht="15">
      <c r="A84" s="467" t="s">
        <v>101</v>
      </c>
      <c r="B84" s="468"/>
      <c r="C84" s="468"/>
      <c r="D84" s="469"/>
      <c r="E84" s="470" t="s">
        <v>48</v>
      </c>
      <c r="F84" s="471"/>
      <c r="G84" s="471"/>
      <c r="H84" s="471"/>
      <c r="I84" s="471"/>
      <c r="J84" s="471"/>
      <c r="K84" s="472"/>
      <c r="L84" s="216" t="s">
        <v>102</v>
      </c>
      <c r="M84" s="470" t="s">
        <v>50</v>
      </c>
      <c r="N84" s="473"/>
      <c r="O84" s="473"/>
      <c r="P84" s="473"/>
      <c r="Q84" s="473"/>
      <c r="R84" s="473"/>
      <c r="S84" s="474"/>
      <c r="T84" s="216" t="s">
        <v>102</v>
      </c>
      <c r="U84" s="217" t="s">
        <v>103</v>
      </c>
      <c r="V84" s="217" t="s">
        <v>72</v>
      </c>
    </row>
    <row r="85" spans="1:22" customHeight="1" ht="18">
      <c r="A85" s="410" t="s">
        <v>104</v>
      </c>
      <c r="B85" s="411"/>
      <c r="C85" s="411"/>
      <c r="D85" s="411"/>
      <c r="E85" s="411"/>
      <c r="F85" s="411"/>
      <c r="G85" s="411"/>
      <c r="H85" s="411"/>
      <c r="I85" s="411"/>
      <c r="J85" s="411"/>
      <c r="K85" s="411"/>
      <c r="L85" s="411"/>
      <c r="M85" s="411"/>
      <c r="N85" s="411"/>
      <c r="O85" s="411"/>
      <c r="P85" s="411"/>
      <c r="Q85" s="411"/>
      <c r="R85" s="411"/>
      <c r="S85" s="411"/>
      <c r="T85" s="411"/>
      <c r="U85" s="411"/>
      <c r="V85" s="412"/>
    </row>
    <row r="86" spans="1:22">
      <c r="A86" s="222"/>
      <c r="B86" s="459"/>
      <c r="C86" s="459"/>
      <c r="D86" s="460"/>
      <c r="E86" s="223"/>
      <c r="F86" s="224"/>
      <c r="G86" s="224"/>
      <c r="H86" s="224"/>
      <c r="I86" s="224"/>
      <c r="J86" s="224"/>
      <c r="K86" s="225"/>
      <c r="L86" s="226">
        <f>SUM(E86:K86)</f>
        <v>0</v>
      </c>
      <c r="M86" s="227"/>
      <c r="N86" s="228"/>
      <c r="O86" s="228"/>
      <c r="P86" s="228"/>
      <c r="Q86" s="228"/>
      <c r="R86" s="228"/>
      <c r="S86" s="229"/>
      <c r="T86" s="230">
        <f>SUM(M86:S86)</f>
        <v>0</v>
      </c>
      <c r="U86" s="231">
        <f>SUM(T86,L86)</f>
        <v>0</v>
      </c>
      <c r="V86" s="232" t="b">
        <f>IF(T86&gt;0,T86/U86,)</f>
        <v>0</v>
      </c>
    </row>
    <row r="87" spans="1:22" customHeight="1" ht="15">
      <c r="A87" s="313"/>
      <c r="B87" s="457"/>
      <c r="C87" s="457"/>
      <c r="D87" s="458"/>
      <c r="E87" s="314"/>
      <c r="F87" s="315"/>
      <c r="G87" s="315"/>
      <c r="H87" s="315"/>
      <c r="I87" s="315"/>
      <c r="J87" s="315"/>
      <c r="K87" s="316"/>
      <c r="L87" s="308">
        <f>SUM(E87:K87)</f>
        <v>0</v>
      </c>
      <c r="M87" s="259"/>
      <c r="N87" s="260"/>
      <c r="O87" s="260"/>
      <c r="P87" s="260"/>
      <c r="Q87" s="260"/>
      <c r="R87" s="260"/>
      <c r="S87" s="307"/>
      <c r="T87" s="308">
        <f>SUM(M87:S87)</f>
        <v>0</v>
      </c>
      <c r="U87" s="317">
        <f>SUM(T87,L87)</f>
        <v>0</v>
      </c>
      <c r="V87" s="318" t="b">
        <f>IF(T87&gt;0,T87/U87,)</f>
        <v>0</v>
      </c>
    </row>
    <row r="88" spans="1:22" customHeight="1" ht="15">
      <c r="A88" s="241" t="s">
        <v>105</v>
      </c>
      <c r="B88" s="242"/>
      <c r="C88" s="242"/>
      <c r="D88" s="242"/>
      <c r="E88" s="243">
        <f>SUM(E86:E87)</f>
        <v>0</v>
      </c>
      <c r="F88" s="243">
        <f>SUM(F86:F87)</f>
        <v>0</v>
      </c>
      <c r="G88" s="243">
        <f>SUM(G86:G87)</f>
        <v>0</v>
      </c>
      <c r="H88" s="243">
        <f>SUM(H86:H87)</f>
        <v>0</v>
      </c>
      <c r="I88" s="243">
        <f>SUM(I86:I87)</f>
        <v>0</v>
      </c>
      <c r="J88" s="243">
        <f>SUM(J86:J87)</f>
        <v>0</v>
      </c>
      <c r="K88" s="243">
        <f>SUM(K86:K87)</f>
        <v>0</v>
      </c>
      <c r="L88" s="245">
        <f>SUM(E88:K88)</f>
        <v>0</v>
      </c>
      <c r="M88" s="246">
        <f>SUM(M86:M87)</f>
        <v>0</v>
      </c>
      <c r="N88" s="246">
        <f>SUM(N86:N87)</f>
        <v>0</v>
      </c>
      <c r="O88" s="246">
        <f>SUM(O86:O87)</f>
        <v>0</v>
      </c>
      <c r="P88" s="246">
        <f>SUM(P86:P87)</f>
        <v>0</v>
      </c>
      <c r="Q88" s="246">
        <f>SUM(Q86:Q87)</f>
        <v>0</v>
      </c>
      <c r="R88" s="246">
        <f>SUM(R86:R87)</f>
        <v>0</v>
      </c>
      <c r="S88" s="246">
        <f>SUM(S86:S87)</f>
        <v>0</v>
      </c>
      <c r="T88" s="245">
        <f>SUM(M88:S88)</f>
        <v>0</v>
      </c>
      <c r="U88" s="248">
        <f>SUM(T88,L88)</f>
        <v>0</v>
      </c>
      <c r="V88" s="249" t="b">
        <f>IF(T88&gt;0,T88/U88,)</f>
        <v>0</v>
      </c>
    </row>
    <row r="89" spans="1:22" customHeight="1" ht="18">
      <c r="A89" s="410" t="s">
        <v>106</v>
      </c>
      <c r="B89" s="411"/>
      <c r="C89" s="411"/>
      <c r="D89" s="411"/>
      <c r="E89" s="411"/>
      <c r="F89" s="411"/>
      <c r="G89" s="411"/>
      <c r="H89" s="411"/>
      <c r="I89" s="411"/>
      <c r="J89" s="411"/>
      <c r="K89" s="411"/>
      <c r="L89" s="411"/>
      <c r="M89" s="411"/>
      <c r="N89" s="411"/>
      <c r="O89" s="411"/>
      <c r="P89" s="411"/>
      <c r="Q89" s="411"/>
      <c r="R89" s="411"/>
      <c r="S89" s="411"/>
      <c r="T89" s="411"/>
      <c r="U89" s="411"/>
      <c r="V89" s="412"/>
    </row>
    <row r="90" spans="1:22">
      <c r="A90" s="222"/>
      <c r="B90" s="459"/>
      <c r="C90" s="459"/>
      <c r="D90" s="460"/>
      <c r="E90" s="224"/>
      <c r="F90" s="224"/>
      <c r="G90" s="224"/>
      <c r="H90" s="224"/>
      <c r="I90" s="224"/>
      <c r="J90" s="224"/>
      <c r="K90" s="225"/>
      <c r="L90" s="226">
        <f>SUM(E90:K90)</f>
        <v>0</v>
      </c>
      <c r="M90" s="233"/>
      <c r="N90" s="234"/>
      <c r="O90" s="234"/>
      <c r="P90" s="234"/>
      <c r="Q90" s="234"/>
      <c r="R90" s="234"/>
      <c r="S90" s="235"/>
      <c r="T90" s="226">
        <f>SUM(M90:S90)</f>
        <v>0</v>
      </c>
      <c r="U90" s="236">
        <f>SUM(T90,L90)</f>
        <v>0</v>
      </c>
      <c r="V90" s="232" t="b">
        <f>IF(T90&gt;0,T90/U90,)</f>
        <v>0</v>
      </c>
    </row>
    <row r="91" spans="1:22" customHeight="1" ht="15">
      <c r="A91" s="240"/>
      <c r="B91" s="461"/>
      <c r="C91" s="461"/>
      <c r="D91" s="462"/>
      <c r="E91" s="223"/>
      <c r="F91" s="224"/>
      <c r="G91" s="224"/>
      <c r="H91" s="224"/>
      <c r="I91" s="224"/>
      <c r="J91" s="224"/>
      <c r="K91" s="225"/>
      <c r="L91" s="226">
        <f>SUM(E91:K91)</f>
        <v>0</v>
      </c>
      <c r="M91" s="237"/>
      <c r="N91" s="238"/>
      <c r="O91" s="238"/>
      <c r="P91" s="238"/>
      <c r="Q91" s="238"/>
      <c r="R91" s="238"/>
      <c r="S91" s="239"/>
      <c r="T91" s="226">
        <f>SUM(M91:S91)</f>
        <v>0</v>
      </c>
      <c r="U91" s="236">
        <f>SUM(T91,L91)</f>
        <v>0</v>
      </c>
      <c r="V91" s="232" t="b">
        <f>IF(T91&gt;0,T91/U91,)</f>
        <v>0</v>
      </c>
    </row>
    <row r="92" spans="1:22" customHeight="1" ht="15">
      <c r="A92" s="442" t="s">
        <v>105</v>
      </c>
      <c r="B92" s="443"/>
      <c r="C92" s="443"/>
      <c r="D92" s="444"/>
      <c r="E92" s="243">
        <f>SUM(E90:E91)</f>
        <v>0</v>
      </c>
      <c r="F92" s="243">
        <f>SUM(F90:F91)</f>
        <v>0</v>
      </c>
      <c r="G92" s="243">
        <f>SUM(G90:G91)</f>
        <v>0</v>
      </c>
      <c r="H92" s="243">
        <f>SUM(H90:H91)</f>
        <v>0</v>
      </c>
      <c r="I92" s="243">
        <f>SUM(I90:I91)</f>
        <v>0</v>
      </c>
      <c r="J92" s="243">
        <f>SUM(J90:J91)</f>
        <v>0</v>
      </c>
      <c r="K92" s="243">
        <f>SUM(K90:K91)</f>
        <v>0</v>
      </c>
      <c r="L92" s="245">
        <f>SUM(E92:K92)</f>
        <v>0</v>
      </c>
      <c r="M92" s="254">
        <f>SUM(M90:M91)</f>
        <v>0</v>
      </c>
      <c r="N92" s="254">
        <f>SUM(N90:N91)</f>
        <v>0</v>
      </c>
      <c r="O92" s="254">
        <f>SUM(O90:O91)</f>
        <v>0</v>
      </c>
      <c r="P92" s="254">
        <f>SUM(P90:P91)</f>
        <v>0</v>
      </c>
      <c r="Q92" s="254">
        <f>SUM(Q90:Q91)</f>
        <v>0</v>
      </c>
      <c r="R92" s="254">
        <f>SUM(R90:R91)</f>
        <v>0</v>
      </c>
      <c r="S92" s="254">
        <f>SUM(S90:S91)</f>
        <v>0</v>
      </c>
      <c r="T92" s="245">
        <f>SUM(M92:S92)</f>
        <v>0</v>
      </c>
      <c r="U92" s="248">
        <f>SUM(T92,L92)</f>
        <v>0</v>
      </c>
      <c r="V92" s="249" t="b">
        <f>IF(T92&gt;0,T92/U92,)</f>
        <v>0</v>
      </c>
    </row>
    <row r="93" spans="1:22" customHeight="1" ht="18">
      <c r="A93" s="410" t="s">
        <v>107</v>
      </c>
      <c r="B93" s="411"/>
      <c r="C93" s="411"/>
      <c r="D93" s="411"/>
      <c r="E93" s="411"/>
      <c r="F93" s="411"/>
      <c r="G93" s="411"/>
      <c r="H93" s="411"/>
      <c r="I93" s="411"/>
      <c r="J93" s="411"/>
      <c r="K93" s="411"/>
      <c r="L93" s="411"/>
      <c r="M93" s="411"/>
      <c r="N93" s="411"/>
      <c r="O93" s="411"/>
      <c r="P93" s="411"/>
      <c r="Q93" s="411"/>
      <c r="R93" s="411"/>
      <c r="S93" s="411"/>
      <c r="T93" s="411"/>
      <c r="U93" s="411"/>
      <c r="V93" s="412"/>
    </row>
    <row r="94" spans="1:22">
      <c r="A94" s="251"/>
      <c r="B94" s="463"/>
      <c r="C94" s="463"/>
      <c r="D94" s="464"/>
      <c r="E94" s="223"/>
      <c r="F94" s="224"/>
      <c r="G94" s="224"/>
      <c r="H94" s="224"/>
      <c r="I94" s="224"/>
      <c r="J94" s="224"/>
      <c r="K94" s="225"/>
      <c r="L94" s="252">
        <f>SUM(E94:K94)</f>
        <v>0</v>
      </c>
      <c r="M94" s="233"/>
      <c r="N94" s="234"/>
      <c r="O94" s="234"/>
      <c r="P94" s="234"/>
      <c r="Q94" s="234"/>
      <c r="R94" s="234"/>
      <c r="S94" s="235"/>
      <c r="T94" s="226">
        <f>SUM(M94:S94)</f>
        <v>0</v>
      </c>
      <c r="U94" s="236">
        <f>SUM(T94,L94)</f>
        <v>0</v>
      </c>
      <c r="V94" s="232" t="b">
        <f>IF(T94&gt;0,T94/U94,)</f>
        <v>0</v>
      </c>
    </row>
    <row r="95" spans="1:22" customHeight="1" ht="15">
      <c r="A95" s="240"/>
      <c r="B95" s="465"/>
      <c r="C95" s="465"/>
      <c r="D95" s="466"/>
      <c r="E95" s="223"/>
      <c r="F95" s="224"/>
      <c r="G95" s="224"/>
      <c r="H95" s="224"/>
      <c r="I95" s="224"/>
      <c r="J95" s="224"/>
      <c r="K95" s="225"/>
      <c r="L95" s="253">
        <f>SUM(E95:K95)</f>
        <v>0</v>
      </c>
      <c r="M95" s="237"/>
      <c r="N95" s="238"/>
      <c r="O95" s="238"/>
      <c r="P95" s="238"/>
      <c r="Q95" s="238"/>
      <c r="R95" s="238"/>
      <c r="S95" s="239"/>
      <c r="T95" s="226">
        <f>SUM(M95:S95)</f>
        <v>0</v>
      </c>
      <c r="U95" s="236">
        <f>SUM(T95,L95)</f>
        <v>0</v>
      </c>
      <c r="V95" s="232" t="b">
        <f>IF(T95&gt;0,T95/U95,)</f>
        <v>0</v>
      </c>
    </row>
    <row r="96" spans="1:22" customHeight="1" ht="15">
      <c r="A96" s="442" t="s">
        <v>105</v>
      </c>
      <c r="B96" s="443"/>
      <c r="C96" s="443"/>
      <c r="D96" s="444"/>
      <c r="E96" s="243">
        <f>SUM(E94:E95)</f>
        <v>0</v>
      </c>
      <c r="F96" s="243">
        <f>SUM(F94:F95)</f>
        <v>0</v>
      </c>
      <c r="G96" s="243">
        <f>SUM(G94:G95)</f>
        <v>0</v>
      </c>
      <c r="H96" s="243">
        <f>SUM(H94:H95)</f>
        <v>0</v>
      </c>
      <c r="I96" s="243">
        <f>SUM(I94:I95)</f>
        <v>0</v>
      </c>
      <c r="J96" s="243">
        <f>SUM(J94:J95)</f>
        <v>0</v>
      </c>
      <c r="K96" s="243">
        <f>SUM(K94:K95)</f>
        <v>0</v>
      </c>
      <c r="L96" s="245">
        <f>SUM(E96:K96)</f>
        <v>0</v>
      </c>
      <c r="M96" s="254">
        <f>SUM(M94:M95)</f>
        <v>0</v>
      </c>
      <c r="N96" s="254">
        <f>SUM(N94:N95)</f>
        <v>0</v>
      </c>
      <c r="O96" s="254">
        <f>SUM(O94:O95)</f>
        <v>0</v>
      </c>
      <c r="P96" s="254">
        <f>SUM(P94:P95)</f>
        <v>0</v>
      </c>
      <c r="Q96" s="254">
        <f>SUM(Q94:Q95)</f>
        <v>0</v>
      </c>
      <c r="R96" s="254">
        <f>SUM(R94:R95)</f>
        <v>0</v>
      </c>
      <c r="S96" s="254">
        <f>SUM(S94:S95)</f>
        <v>0</v>
      </c>
      <c r="T96" s="245">
        <f>SUM(M96:S96)</f>
        <v>0</v>
      </c>
      <c r="U96" s="248">
        <f>SUM(T96,L96)</f>
        <v>0</v>
      </c>
      <c r="V96" s="249" t="b">
        <f>IF(T96&gt;0,T96/U96,)</f>
        <v>0</v>
      </c>
    </row>
    <row r="97" spans="1:22" customHeight="1" ht="18">
      <c r="A97" s="410" t="s">
        <v>108</v>
      </c>
      <c r="B97" s="411"/>
      <c r="C97" s="411"/>
      <c r="D97" s="411"/>
      <c r="E97" s="411"/>
      <c r="F97" s="411"/>
      <c r="G97" s="411"/>
      <c r="H97" s="411"/>
      <c r="I97" s="411"/>
      <c r="J97" s="411"/>
      <c r="K97" s="411"/>
      <c r="L97" s="411"/>
      <c r="M97" s="411"/>
      <c r="N97" s="411"/>
      <c r="O97" s="411"/>
      <c r="P97" s="411"/>
      <c r="Q97" s="411"/>
      <c r="R97" s="411"/>
      <c r="S97" s="411"/>
      <c r="T97" s="411"/>
      <c r="U97" s="411"/>
      <c r="V97" s="412"/>
    </row>
    <row r="98" spans="1:22">
      <c r="A98" s="264"/>
      <c r="B98" s="453"/>
      <c r="C98" s="453"/>
      <c r="D98" s="454"/>
      <c r="E98" s="256"/>
      <c r="F98" s="257"/>
      <c r="G98" s="257"/>
      <c r="H98" s="257"/>
      <c r="I98" s="257"/>
      <c r="J98" s="257"/>
      <c r="K98" s="258"/>
      <c r="L98" s="253">
        <f>SUM(E98:K98)</f>
        <v>0</v>
      </c>
      <c r="M98" s="259"/>
      <c r="N98" s="260"/>
      <c r="O98" s="260"/>
      <c r="P98" s="260"/>
      <c r="Q98" s="260"/>
      <c r="R98" s="260"/>
      <c r="S98" s="261"/>
      <c r="T98" s="253">
        <f>SUM(M98:S98)</f>
        <v>0</v>
      </c>
      <c r="U98" s="262">
        <f>SUM(T98,L98)</f>
        <v>0</v>
      </c>
      <c r="V98" s="263" t="b">
        <f>IF(T98&gt;0,T98/U98,)</f>
        <v>0</v>
      </c>
    </row>
    <row r="99" spans="1:22" customHeight="1" ht="15">
      <c r="A99" s="267"/>
      <c r="B99" s="455"/>
      <c r="C99" s="455"/>
      <c r="D99" s="456"/>
      <c r="E99" s="256"/>
      <c r="F99" s="257"/>
      <c r="G99" s="257"/>
      <c r="H99" s="257"/>
      <c r="I99" s="257"/>
      <c r="J99" s="257"/>
      <c r="K99" s="258"/>
      <c r="L99" s="253">
        <f>SUM(E99:K99)</f>
        <v>0</v>
      </c>
      <c r="M99" s="233"/>
      <c r="N99" s="234"/>
      <c r="O99" s="234"/>
      <c r="P99" s="234"/>
      <c r="Q99" s="234"/>
      <c r="R99" s="234"/>
      <c r="S99" s="268"/>
      <c r="T99" s="253">
        <f>SUM(M99:S99)</f>
        <v>0</v>
      </c>
      <c r="U99" s="262">
        <f>SUM(T99,L99)</f>
        <v>0</v>
      </c>
      <c r="V99" s="263" t="b">
        <f>IF(T99&gt;0,T99/U99,)</f>
        <v>0</v>
      </c>
    </row>
    <row r="100" spans="1:22" customHeight="1" ht="15">
      <c r="A100" s="241" t="s">
        <v>105</v>
      </c>
      <c r="B100" s="242"/>
      <c r="C100" s="242"/>
      <c r="D100" s="242"/>
      <c r="E100" s="243">
        <f>SUM(E98:E99)</f>
        <v>0</v>
      </c>
      <c r="F100" s="243">
        <f>SUM(F98:F99)</f>
        <v>0</v>
      </c>
      <c r="G100" s="243">
        <f>SUM(G98:G99)</f>
        <v>0</v>
      </c>
      <c r="H100" s="243">
        <f>SUM(H98:H99)</f>
        <v>0</v>
      </c>
      <c r="I100" s="243">
        <f>SUM(I98:I99)</f>
        <v>0</v>
      </c>
      <c r="J100" s="243">
        <f>SUM(J98:J99)</f>
        <v>0</v>
      </c>
      <c r="K100" s="243">
        <f>SUM(K98:K99)</f>
        <v>0</v>
      </c>
      <c r="L100" s="245">
        <f>SUM(E100:K100)</f>
        <v>0</v>
      </c>
      <c r="M100" s="254">
        <f>SUM(M98:M99)</f>
        <v>0</v>
      </c>
      <c r="N100" s="254">
        <f>SUM(N98:N99)</f>
        <v>0</v>
      </c>
      <c r="O100" s="254">
        <f>SUM(O98:O99)</f>
        <v>0</v>
      </c>
      <c r="P100" s="254">
        <f>SUM(P98:P99)</f>
        <v>0</v>
      </c>
      <c r="Q100" s="254">
        <f>SUM(Q98:Q99)</f>
        <v>0</v>
      </c>
      <c r="R100" s="254">
        <f>SUM(R98:R99)</f>
        <v>0</v>
      </c>
      <c r="S100" s="254">
        <f>SUM(S98:S99)</f>
        <v>0</v>
      </c>
      <c r="T100" s="245">
        <f>SUM(M100:S100)</f>
        <v>0</v>
      </c>
      <c r="U100" s="248">
        <f>SUM(T100,L100)</f>
        <v>0</v>
      </c>
      <c r="V100" s="249" t="b">
        <f>IF(T100&gt;0,T100/U100,)</f>
        <v>0</v>
      </c>
    </row>
    <row r="101" spans="1:22" customHeight="1" ht="18">
      <c r="A101" s="410" t="s">
        <v>109</v>
      </c>
      <c r="B101" s="411"/>
      <c r="C101" s="411"/>
      <c r="D101" s="411"/>
      <c r="E101" s="411"/>
      <c r="F101" s="411"/>
      <c r="G101" s="411"/>
      <c r="H101" s="411"/>
      <c r="I101" s="411"/>
      <c r="J101" s="411"/>
      <c r="K101" s="411"/>
      <c r="L101" s="411"/>
      <c r="M101" s="411"/>
      <c r="N101" s="411"/>
      <c r="O101" s="411"/>
      <c r="P101" s="411"/>
      <c r="Q101" s="411"/>
      <c r="R101" s="411"/>
      <c r="S101" s="411"/>
      <c r="T101" s="411"/>
      <c r="U101" s="411"/>
      <c r="V101" s="412"/>
    </row>
    <row r="102" spans="1:22">
      <c r="A102" s="270"/>
      <c r="B102" s="440"/>
      <c r="C102" s="440"/>
      <c r="D102" s="441"/>
      <c r="E102" s="271"/>
      <c r="F102" s="266"/>
      <c r="G102" s="266"/>
      <c r="H102" s="266"/>
      <c r="I102" s="266"/>
      <c r="J102" s="266"/>
      <c r="K102" s="265"/>
      <c r="L102" s="226">
        <f>SUM(E102:K102)</f>
        <v>0</v>
      </c>
      <c r="M102" s="272"/>
      <c r="N102" s="273"/>
      <c r="O102" s="273"/>
      <c r="P102" s="273"/>
      <c r="Q102" s="273"/>
      <c r="R102" s="273"/>
      <c r="S102" s="274"/>
      <c r="T102" s="226">
        <f>SUM(M102:S102)</f>
        <v>0</v>
      </c>
      <c r="U102" s="236">
        <f>SUM(T102,L102)</f>
        <v>0</v>
      </c>
      <c r="V102" s="232" t="b">
        <f>IF(T102&gt;0,T102/U102,)</f>
        <v>0</v>
      </c>
    </row>
    <row r="103" spans="1:22" customHeight="1" ht="15">
      <c r="A103" s="275"/>
      <c r="B103" s="451"/>
      <c r="C103" s="451"/>
      <c r="D103" s="452"/>
      <c r="E103" s="271"/>
      <c r="F103" s="266"/>
      <c r="G103" s="266"/>
      <c r="H103" s="266"/>
      <c r="I103" s="266"/>
      <c r="J103" s="266"/>
      <c r="K103" s="265"/>
      <c r="L103" s="226">
        <f>SUM(E103:K103)</f>
        <v>0</v>
      </c>
      <c r="M103" s="272"/>
      <c r="N103" s="273"/>
      <c r="O103" s="273"/>
      <c r="P103" s="273"/>
      <c r="Q103" s="273"/>
      <c r="R103" s="273"/>
      <c r="S103" s="274"/>
      <c r="T103" s="226">
        <f>SUM(M103:S103)</f>
        <v>0</v>
      </c>
      <c r="U103" s="236">
        <f>SUM(T103,L103)</f>
        <v>0</v>
      </c>
      <c r="V103" s="232" t="b">
        <f>IF(T103&gt;0,T103/U103,)</f>
        <v>0</v>
      </c>
    </row>
    <row r="104" spans="1:22" customHeight="1" ht="15">
      <c r="A104" s="442" t="s">
        <v>105</v>
      </c>
      <c r="B104" s="443"/>
      <c r="C104" s="443"/>
      <c r="D104" s="444"/>
      <c r="E104" s="243">
        <f>SUM(E102:E103)</f>
        <v>0</v>
      </c>
      <c r="F104" s="243">
        <f>SUM(F102:F103)</f>
        <v>0</v>
      </c>
      <c r="G104" s="243">
        <f>SUM(G102:G103)</f>
        <v>0</v>
      </c>
      <c r="H104" s="243">
        <f>SUM(H102:H103)</f>
        <v>0</v>
      </c>
      <c r="I104" s="243">
        <f>SUM(I102:I103)</f>
        <v>0</v>
      </c>
      <c r="J104" s="243">
        <f>SUM(J102:J103)</f>
        <v>0</v>
      </c>
      <c r="K104" s="243">
        <f>SUM(K102:K103)</f>
        <v>0</v>
      </c>
      <c r="L104" s="245">
        <f>SUM(E104:K104)</f>
        <v>0</v>
      </c>
      <c r="M104" s="243">
        <f>SUM(M102:M103)</f>
        <v>0</v>
      </c>
      <c r="N104" s="243">
        <f>SUM(N102:N103)</f>
        <v>0</v>
      </c>
      <c r="O104" s="243">
        <f>SUM(O102:O103)</f>
        <v>0</v>
      </c>
      <c r="P104" s="243">
        <f>SUM(P102:P103)</f>
        <v>0</v>
      </c>
      <c r="Q104" s="243">
        <f>SUM(Q102:Q103)</f>
        <v>0</v>
      </c>
      <c r="R104" s="243">
        <f>SUM(R102:R103)</f>
        <v>0</v>
      </c>
      <c r="S104" s="247">
        <f>SUM(S102:S103)</f>
        <v>0</v>
      </c>
      <c r="T104" s="245">
        <f>SUM(M104:S104)</f>
        <v>0</v>
      </c>
      <c r="U104" s="248">
        <f>SUM(T104,L104)</f>
        <v>0</v>
      </c>
      <c r="V104" s="249" t="b">
        <f>IF(T104&gt;0,T104/U104,)</f>
        <v>0</v>
      </c>
    </row>
    <row r="105" spans="1:22" customHeight="1" ht="18">
      <c r="A105" s="410" t="s">
        <v>110</v>
      </c>
      <c r="B105" s="411"/>
      <c r="C105" s="411"/>
      <c r="D105" s="411"/>
      <c r="E105" s="411"/>
      <c r="F105" s="411"/>
      <c r="G105" s="411"/>
      <c r="H105" s="411"/>
      <c r="I105" s="411"/>
      <c r="J105" s="411"/>
      <c r="K105" s="411"/>
      <c r="L105" s="411"/>
      <c r="M105" s="411"/>
      <c r="N105" s="411"/>
      <c r="O105" s="411"/>
      <c r="P105" s="411"/>
      <c r="Q105" s="411"/>
      <c r="R105" s="411"/>
      <c r="S105" s="411"/>
      <c r="T105" s="411"/>
      <c r="U105" s="411"/>
      <c r="V105" s="412"/>
    </row>
    <row r="106" spans="1:22">
      <c r="A106" s="277"/>
      <c r="B106" s="440"/>
      <c r="C106" s="440"/>
      <c r="D106" s="441"/>
      <c r="E106" s="271"/>
      <c r="F106" s="266"/>
      <c r="G106" s="266"/>
      <c r="H106" s="266"/>
      <c r="I106" s="266"/>
      <c r="J106" s="266"/>
      <c r="K106" s="265"/>
      <c r="L106" s="226">
        <f>SUM(E106:K106)</f>
        <v>0</v>
      </c>
      <c r="M106" s="272"/>
      <c r="N106" s="273"/>
      <c r="O106" s="273"/>
      <c r="P106" s="273"/>
      <c r="Q106" s="273"/>
      <c r="R106" s="273"/>
      <c r="S106" s="274"/>
      <c r="T106" s="226">
        <f>SUM(M106:S106)</f>
        <v>0</v>
      </c>
      <c r="U106" s="236">
        <f>SUM(T106,L106)</f>
        <v>0</v>
      </c>
      <c r="V106" s="232" t="b">
        <f>IF(T106&gt;0,T106/U106,)</f>
        <v>0</v>
      </c>
    </row>
    <row r="107" spans="1:22" customHeight="1" ht="15">
      <c r="A107" s="277"/>
      <c r="B107" s="449"/>
      <c r="C107" s="449"/>
      <c r="D107" s="450"/>
      <c r="E107" s="271"/>
      <c r="F107" s="266"/>
      <c r="G107" s="266"/>
      <c r="H107" s="266"/>
      <c r="I107" s="266"/>
      <c r="J107" s="266"/>
      <c r="K107" s="265"/>
      <c r="L107" s="226">
        <f>SUM(E107:K107)</f>
        <v>0</v>
      </c>
      <c r="M107" s="272"/>
      <c r="N107" s="273"/>
      <c r="O107" s="273"/>
      <c r="P107" s="273"/>
      <c r="Q107" s="273"/>
      <c r="R107" s="273"/>
      <c r="S107" s="274"/>
      <c r="T107" s="226">
        <f>SUM(M107:S107)</f>
        <v>0</v>
      </c>
      <c r="U107" s="236">
        <f>SUM(T107,L107)</f>
        <v>0</v>
      </c>
      <c r="V107" s="232" t="b">
        <f>IF(T107&gt;0,T107/U107,)</f>
        <v>0</v>
      </c>
    </row>
    <row r="108" spans="1:22" customHeight="1" ht="15">
      <c r="A108" s="415" t="s">
        <v>105</v>
      </c>
      <c r="B108" s="416"/>
      <c r="C108" s="416"/>
      <c r="D108" s="417"/>
      <c r="E108" s="243">
        <f>SUM(E106:E107)</f>
        <v>0</v>
      </c>
      <c r="F108" s="243">
        <f>SUM(F106:F107)</f>
        <v>0</v>
      </c>
      <c r="G108" s="243">
        <f>SUM(G106:G107)</f>
        <v>0</v>
      </c>
      <c r="H108" s="243">
        <f>SUM(H106:H107)</f>
        <v>0</v>
      </c>
      <c r="I108" s="243">
        <f>SUM(I106:I107)</f>
        <v>0</v>
      </c>
      <c r="J108" s="243">
        <f>SUM(J106:J107)</f>
        <v>0</v>
      </c>
      <c r="K108" s="243">
        <f>SUM(K106:K107)</f>
        <v>0</v>
      </c>
      <c r="L108" s="245">
        <f>SUM(E108:K108)</f>
        <v>0</v>
      </c>
      <c r="M108" s="246">
        <f>SUM(M106:M107)</f>
        <v>0</v>
      </c>
      <c r="N108" s="243">
        <f>SUM(N106:N107)</f>
        <v>0</v>
      </c>
      <c r="O108" s="243">
        <f>SUM(O106:O107)</f>
        <v>0</v>
      </c>
      <c r="P108" s="243">
        <f>SUM(P106:P107)</f>
        <v>0</v>
      </c>
      <c r="Q108" s="243">
        <f>SUM(Q106:Q107)</f>
        <v>0</v>
      </c>
      <c r="R108" s="243">
        <f>SUM(R106:R107)</f>
        <v>0</v>
      </c>
      <c r="S108" s="247">
        <f>SUM(S106:S107)</f>
        <v>0</v>
      </c>
      <c r="T108" s="245">
        <f>SUM(M108:S108)</f>
        <v>0</v>
      </c>
      <c r="U108" s="248">
        <f>SUM(T108,L108)</f>
        <v>0</v>
      </c>
      <c r="V108" s="249" t="b">
        <f>IF(T108&gt;0,T108/U108,)</f>
        <v>0</v>
      </c>
    </row>
    <row r="109" spans="1:22" customHeight="1" ht="18">
      <c r="A109" s="410" t="s">
        <v>111</v>
      </c>
      <c r="B109" s="411"/>
      <c r="C109" s="411"/>
      <c r="D109" s="411"/>
      <c r="E109" s="411"/>
      <c r="F109" s="411"/>
      <c r="G109" s="411"/>
      <c r="H109" s="411"/>
      <c r="I109" s="411"/>
      <c r="J109" s="411"/>
      <c r="K109" s="411"/>
      <c r="L109" s="411"/>
      <c r="M109" s="411"/>
      <c r="N109" s="411"/>
      <c r="O109" s="411"/>
      <c r="P109" s="411"/>
      <c r="Q109" s="411"/>
      <c r="R109" s="411"/>
      <c r="S109" s="411"/>
      <c r="T109" s="411"/>
      <c r="U109" s="411"/>
      <c r="V109" s="412"/>
    </row>
    <row r="110" spans="1:22">
      <c r="A110" s="264"/>
      <c r="B110" s="447"/>
      <c r="C110" s="447"/>
      <c r="D110" s="448"/>
      <c r="E110" s="278"/>
      <c r="F110" s="279"/>
      <c r="G110" s="280"/>
      <c r="H110" s="279"/>
      <c r="I110" s="279"/>
      <c r="J110" s="280"/>
      <c r="K110" s="135"/>
      <c r="L110" s="230">
        <f>SUM(E110:K110)</f>
        <v>0</v>
      </c>
      <c r="M110" s="227"/>
      <c r="N110" s="228"/>
      <c r="O110" s="228"/>
      <c r="P110" s="228"/>
      <c r="Q110" s="228"/>
      <c r="R110" s="228"/>
      <c r="S110" s="229"/>
      <c r="T110" s="230">
        <f>SUM(M110:S110)</f>
        <v>0</v>
      </c>
      <c r="U110" s="231">
        <f>SUM(T110,L110)</f>
        <v>0</v>
      </c>
      <c r="V110" s="250" t="b">
        <f>IF(T110&gt;0,T110/U110,)</f>
        <v>0</v>
      </c>
    </row>
    <row r="111" spans="1:22" customHeight="1" ht="15">
      <c r="A111" s="264"/>
      <c r="B111" s="445"/>
      <c r="C111" s="445"/>
      <c r="D111" s="446"/>
      <c r="E111" s="278"/>
      <c r="F111" s="279"/>
      <c r="G111" s="280"/>
      <c r="H111" s="279"/>
      <c r="I111" s="279"/>
      <c r="J111" s="280"/>
      <c r="K111" s="135"/>
      <c r="L111" s="253">
        <f>SUM(E111:K111)</f>
        <v>0</v>
      </c>
      <c r="M111" s="233"/>
      <c r="N111" s="234"/>
      <c r="O111" s="234"/>
      <c r="P111" s="234"/>
      <c r="Q111" s="234"/>
      <c r="R111" s="234"/>
      <c r="S111" s="235"/>
      <c r="T111" s="253">
        <f>SUM(M111:S111)</f>
        <v>0</v>
      </c>
      <c r="U111" s="262">
        <f>SUM(T111,L111)</f>
        <v>0</v>
      </c>
      <c r="V111" s="263" t="b">
        <f>IF(T111&gt;0,T111/U111,)</f>
        <v>0</v>
      </c>
    </row>
    <row r="112" spans="1:22" customHeight="1" ht="15">
      <c r="A112" s="241" t="s">
        <v>105</v>
      </c>
      <c r="B112" s="242"/>
      <c r="C112" s="242"/>
      <c r="D112" s="242"/>
      <c r="E112" s="243">
        <f>SUM(E110:E111)</f>
        <v>0</v>
      </c>
      <c r="F112" s="243">
        <f>SUM(F110:F111)</f>
        <v>0</v>
      </c>
      <c r="G112" s="243">
        <f>SUM(G110:G111)</f>
        <v>0</v>
      </c>
      <c r="H112" s="243">
        <f>SUM(H110:H111)</f>
        <v>0</v>
      </c>
      <c r="I112" s="243">
        <f>SUM(I110:I111)</f>
        <v>0</v>
      </c>
      <c r="J112" s="243">
        <f>SUM(J110:J111)</f>
        <v>0</v>
      </c>
      <c r="K112" s="243">
        <f>SUM(K110:K111)</f>
        <v>0</v>
      </c>
      <c r="L112" s="245">
        <f>SUM(E112:K112)</f>
        <v>0</v>
      </c>
      <c r="M112" s="319">
        <f>SUM(M110:M111)</f>
        <v>0</v>
      </c>
      <c r="N112" s="319">
        <f>SUM(N110:N111)</f>
        <v>0</v>
      </c>
      <c r="O112" s="319">
        <f>SUM(O110:O111)</f>
        <v>0</v>
      </c>
      <c r="P112" s="319">
        <f>SUM(P110:P111)</f>
        <v>0</v>
      </c>
      <c r="Q112" s="319">
        <f>SUM(Q110:Q111)</f>
        <v>0</v>
      </c>
      <c r="R112" s="319">
        <f>SUM(R110:R111)</f>
        <v>0</v>
      </c>
      <c r="S112" s="319">
        <f>SUM(S110:S111)</f>
        <v>0</v>
      </c>
      <c r="T112" s="245">
        <f>SUM(M112:S112)</f>
        <v>0</v>
      </c>
      <c r="U112" s="248">
        <f>SUM(T112,L112)</f>
        <v>0</v>
      </c>
      <c r="V112" s="249" t="b">
        <f>IF(T112&gt;0,T112/U112,)</f>
        <v>0</v>
      </c>
    </row>
    <row r="113" spans="1:22" customHeight="1" ht="18">
      <c r="A113" s="410" t="s">
        <v>112</v>
      </c>
      <c r="B113" s="411"/>
      <c r="C113" s="411"/>
      <c r="D113" s="411"/>
      <c r="E113" s="411"/>
      <c r="F113" s="411"/>
      <c r="G113" s="411"/>
      <c r="H113" s="411"/>
      <c r="I113" s="411"/>
      <c r="J113" s="411"/>
      <c r="K113" s="411"/>
      <c r="L113" s="411"/>
      <c r="M113" s="411"/>
      <c r="N113" s="411"/>
      <c r="O113" s="411"/>
      <c r="P113" s="411"/>
      <c r="Q113" s="411"/>
      <c r="R113" s="411"/>
      <c r="S113" s="411"/>
      <c r="T113" s="411"/>
      <c r="U113" s="411"/>
      <c r="V113" s="412"/>
    </row>
    <row r="114" spans="1:22">
      <c r="A114" s="281"/>
      <c r="B114" s="440"/>
      <c r="C114" s="440"/>
      <c r="D114" s="441"/>
      <c r="E114" s="256"/>
      <c r="F114" s="257"/>
      <c r="G114" s="257"/>
      <c r="H114" s="257"/>
      <c r="I114" s="257"/>
      <c r="J114" s="257"/>
      <c r="K114" s="258"/>
      <c r="L114" s="226">
        <f>SUM(E114:K114)</f>
        <v>0</v>
      </c>
      <c r="M114" s="237"/>
      <c r="N114" s="238"/>
      <c r="O114" s="238"/>
      <c r="P114" s="238"/>
      <c r="Q114" s="238"/>
      <c r="R114" s="238"/>
      <c r="S114" s="239"/>
      <c r="T114" s="226">
        <f>SUM(M114:S114)</f>
        <v>0</v>
      </c>
      <c r="U114" s="236">
        <f>SUM(T114,L114)</f>
        <v>0</v>
      </c>
      <c r="V114" s="232" t="b">
        <f>IF(T114&gt;0,T114/U114,)</f>
        <v>0</v>
      </c>
    </row>
    <row r="115" spans="1:22" customHeight="1" ht="15">
      <c r="A115" s="281"/>
      <c r="B115" s="440"/>
      <c r="C115" s="440"/>
      <c r="D115" s="441"/>
      <c r="E115" s="256"/>
      <c r="F115" s="257"/>
      <c r="G115" s="257"/>
      <c r="H115" s="257"/>
      <c r="I115" s="257"/>
      <c r="J115" s="257"/>
      <c r="K115" s="258"/>
      <c r="L115" s="226">
        <f>SUM(E115:K115)</f>
        <v>0</v>
      </c>
      <c r="M115" s="237"/>
      <c r="N115" s="238"/>
      <c r="O115" s="238"/>
      <c r="P115" s="238"/>
      <c r="Q115" s="238"/>
      <c r="R115" s="238"/>
      <c r="S115" s="239"/>
      <c r="T115" s="226">
        <f>SUM(M115:S115)</f>
        <v>0</v>
      </c>
      <c r="U115" s="236">
        <f>SUM(T115,L115)</f>
        <v>0</v>
      </c>
      <c r="V115" s="232" t="b">
        <f>IF(T115&gt;0,T115/U115,)</f>
        <v>0</v>
      </c>
    </row>
    <row r="116" spans="1:22" customHeight="1" ht="15">
      <c r="A116" s="442" t="s">
        <v>105</v>
      </c>
      <c r="B116" s="443"/>
      <c r="C116" s="443"/>
      <c r="D116" s="444"/>
      <c r="E116" s="243">
        <f>SUM(E114:E115)</f>
        <v>0</v>
      </c>
      <c r="F116" s="243">
        <f>SUM(F114:F115)</f>
        <v>0</v>
      </c>
      <c r="G116" s="243">
        <f>SUM(G114:G115)</f>
        <v>0</v>
      </c>
      <c r="H116" s="243">
        <f>SUM(H114:H115)</f>
        <v>0</v>
      </c>
      <c r="I116" s="243">
        <f>SUM(I114:I115)</f>
        <v>0</v>
      </c>
      <c r="J116" s="243">
        <f>SUM(J114:J115)</f>
        <v>0</v>
      </c>
      <c r="K116" s="243">
        <f>SUM(K114:K115)</f>
        <v>0</v>
      </c>
      <c r="L116" s="245">
        <f>SUM(E116:K116)</f>
        <v>0</v>
      </c>
      <c r="M116" s="243">
        <f>SUM(M114:M115)</f>
        <v>0</v>
      </c>
      <c r="N116" s="243">
        <f>SUM(N114:N115)</f>
        <v>0</v>
      </c>
      <c r="O116" s="243">
        <f>SUM(O114:O115)</f>
        <v>0</v>
      </c>
      <c r="P116" s="243">
        <f>SUM(P114:P115)</f>
        <v>0</v>
      </c>
      <c r="Q116" s="243">
        <f>SUM(Q114:Q115)</f>
        <v>0</v>
      </c>
      <c r="R116" s="243">
        <f>SUM(R114:R115)</f>
        <v>0</v>
      </c>
      <c r="S116" s="243">
        <f>SUM(S114:S115)</f>
        <v>0</v>
      </c>
      <c r="T116" s="245">
        <f>SUM(M116:S116)</f>
        <v>0</v>
      </c>
      <c r="U116" s="248">
        <f>SUM(T116,L116)</f>
        <v>0</v>
      </c>
      <c r="V116" s="249" t="b">
        <f>IF(T116&gt;0,T116/U116,)</f>
        <v>0</v>
      </c>
    </row>
    <row r="117" spans="1:22" customHeight="1" ht="18">
      <c r="A117" s="410" t="s">
        <v>113</v>
      </c>
      <c r="B117" s="411"/>
      <c r="C117" s="411"/>
      <c r="D117" s="411"/>
      <c r="E117" s="411"/>
      <c r="F117" s="411"/>
      <c r="G117" s="411"/>
      <c r="H117" s="411"/>
      <c r="I117" s="411"/>
      <c r="J117" s="411"/>
      <c r="K117" s="411"/>
      <c r="L117" s="411"/>
      <c r="M117" s="411"/>
      <c r="N117" s="411"/>
      <c r="O117" s="411"/>
      <c r="P117" s="411"/>
      <c r="Q117" s="411"/>
      <c r="R117" s="411"/>
      <c r="S117" s="411"/>
      <c r="T117" s="411"/>
      <c r="U117" s="411"/>
      <c r="V117" s="412"/>
    </row>
    <row r="118" spans="1:22">
      <c r="A118" s="281"/>
      <c r="B118" s="440"/>
      <c r="C118" s="440"/>
      <c r="D118" s="441"/>
      <c r="E118" s="256"/>
      <c r="F118" s="257"/>
      <c r="G118" s="257"/>
      <c r="H118" s="257"/>
      <c r="I118" s="257"/>
      <c r="J118" s="257"/>
      <c r="K118" s="258"/>
      <c r="L118" s="226">
        <f>SUM(E118:K118)</f>
        <v>0</v>
      </c>
      <c r="M118" s="237"/>
      <c r="N118" s="238"/>
      <c r="O118" s="238"/>
      <c r="P118" s="238"/>
      <c r="Q118" s="238"/>
      <c r="R118" s="238"/>
      <c r="S118" s="239"/>
      <c r="T118" s="226">
        <f>SUM(M118:S118)</f>
        <v>0</v>
      </c>
      <c r="U118" s="236">
        <f>SUM(T118,L118)</f>
        <v>0</v>
      </c>
      <c r="V118" s="232" t="b">
        <f>IF(T118&gt;0,T118/U118,)</f>
        <v>0</v>
      </c>
    </row>
    <row r="119" spans="1:22" customHeight="1" ht="15">
      <c r="A119" s="281"/>
      <c r="B119" s="440"/>
      <c r="C119" s="440"/>
      <c r="D119" s="441"/>
      <c r="E119" s="256"/>
      <c r="F119" s="257"/>
      <c r="G119" s="257"/>
      <c r="H119" s="257"/>
      <c r="I119" s="257"/>
      <c r="J119" s="257"/>
      <c r="K119" s="258"/>
      <c r="L119" s="226">
        <f>SUM(E119:K119)</f>
        <v>0</v>
      </c>
      <c r="M119" s="237"/>
      <c r="N119" s="238"/>
      <c r="O119" s="238"/>
      <c r="P119" s="238"/>
      <c r="Q119" s="238"/>
      <c r="R119" s="238"/>
      <c r="S119" s="239"/>
      <c r="T119" s="226">
        <f>SUM(M119:S119)</f>
        <v>0</v>
      </c>
      <c r="U119" s="236">
        <f>SUM(T119,L119)</f>
        <v>0</v>
      </c>
      <c r="V119" s="232" t="b">
        <f>IF(T119&gt;0,T119/U119,)</f>
        <v>0</v>
      </c>
    </row>
    <row r="120" spans="1:22" customHeight="1" ht="15">
      <c r="A120" s="241" t="s">
        <v>105</v>
      </c>
      <c r="B120" s="242"/>
      <c r="C120" s="242"/>
      <c r="D120" s="242"/>
      <c r="E120" s="243">
        <f>SUM(E118:E119)</f>
        <v>0</v>
      </c>
      <c r="F120" s="243">
        <f>SUM(F118:F119)</f>
        <v>0</v>
      </c>
      <c r="G120" s="243">
        <f>SUM(G118:G119)</f>
        <v>0</v>
      </c>
      <c r="H120" s="243">
        <f>SUM(H118:H119)</f>
        <v>0</v>
      </c>
      <c r="I120" s="243">
        <f>SUM(I118:I119)</f>
        <v>0</v>
      </c>
      <c r="J120" s="243">
        <f>SUM(J118:J119)</f>
        <v>0</v>
      </c>
      <c r="K120" s="243">
        <f>SUM(K118:K119)</f>
        <v>0</v>
      </c>
      <c r="L120" s="245">
        <f>SUM(E120:K120)</f>
        <v>0</v>
      </c>
      <c r="M120" s="319">
        <f>SUM(M118:M119)</f>
        <v>0</v>
      </c>
      <c r="N120" s="319">
        <f>SUM(N118:N119)</f>
        <v>0</v>
      </c>
      <c r="O120" s="319">
        <f>SUM(O118:O119)</f>
        <v>0</v>
      </c>
      <c r="P120" s="319">
        <f>SUM(P118:P119)</f>
        <v>0</v>
      </c>
      <c r="Q120" s="319">
        <f>SUM(Q118:Q119)</f>
        <v>0</v>
      </c>
      <c r="R120" s="319">
        <f>SUM(R118:R119)</f>
        <v>0</v>
      </c>
      <c r="S120" s="319">
        <f>SUM(S118:S119)</f>
        <v>0</v>
      </c>
      <c r="T120" s="245">
        <f>SUM(M120:S120)</f>
        <v>0</v>
      </c>
      <c r="U120" s="248">
        <f>SUM(T120,L120)</f>
        <v>0</v>
      </c>
      <c r="V120" s="249" t="b">
        <f>IF(T120&gt;0,T120/U120,)</f>
        <v>0</v>
      </c>
    </row>
    <row r="121" spans="1:22" customHeight="1" ht="18">
      <c r="A121" s="410" t="s">
        <v>114</v>
      </c>
      <c r="B121" s="411"/>
      <c r="C121" s="411"/>
      <c r="D121" s="411"/>
      <c r="E121" s="411"/>
      <c r="F121" s="411"/>
      <c r="G121" s="411"/>
      <c r="H121" s="411"/>
      <c r="I121" s="411"/>
      <c r="J121" s="411"/>
      <c r="K121" s="411"/>
      <c r="L121" s="411"/>
      <c r="M121" s="411"/>
      <c r="N121" s="411"/>
      <c r="O121" s="411"/>
      <c r="P121" s="411"/>
      <c r="Q121" s="411"/>
      <c r="R121" s="411"/>
      <c r="S121" s="411"/>
      <c r="T121" s="411"/>
      <c r="U121" s="411"/>
      <c r="V121" s="412"/>
    </row>
    <row r="122" spans="1:22">
      <c r="A122" s="281"/>
      <c r="B122" s="440"/>
      <c r="C122" s="440"/>
      <c r="D122" s="441"/>
      <c r="E122" s="256"/>
      <c r="F122" s="257"/>
      <c r="G122" s="257"/>
      <c r="H122" s="257"/>
      <c r="I122" s="257"/>
      <c r="J122" s="257"/>
      <c r="K122" s="258"/>
      <c r="L122" s="226">
        <f>SUM(E122:K122)</f>
        <v>0</v>
      </c>
      <c r="M122" s="237"/>
      <c r="N122" s="238"/>
      <c r="O122" s="238"/>
      <c r="P122" s="238"/>
      <c r="Q122" s="238"/>
      <c r="R122" s="238"/>
      <c r="S122" s="239"/>
      <c r="T122" s="226">
        <f>SUM(M122:S122)</f>
        <v>0</v>
      </c>
      <c r="U122" s="236">
        <f>SUM(T122,L122)</f>
        <v>0</v>
      </c>
      <c r="V122" s="232" t="b">
        <f>IF(T122&gt;0,T122/U122,)</f>
        <v>0</v>
      </c>
    </row>
    <row r="123" spans="1:22" customHeight="1" ht="15">
      <c r="A123" s="281"/>
      <c r="B123" s="440"/>
      <c r="C123" s="440"/>
      <c r="D123" s="441"/>
      <c r="E123" s="256"/>
      <c r="F123" s="257"/>
      <c r="G123" s="257"/>
      <c r="H123" s="257"/>
      <c r="I123" s="257"/>
      <c r="J123" s="257"/>
      <c r="K123" s="258"/>
      <c r="L123" s="226">
        <f>SUM(E123:K123)</f>
        <v>0</v>
      </c>
      <c r="M123" s="237"/>
      <c r="N123" s="238"/>
      <c r="O123" s="238"/>
      <c r="P123" s="238"/>
      <c r="Q123" s="238"/>
      <c r="R123" s="238"/>
      <c r="S123" s="239"/>
      <c r="T123" s="226">
        <f>SUM(M123:S123)</f>
        <v>0</v>
      </c>
      <c r="U123" s="236">
        <f>SUM(T123,L123)</f>
        <v>0</v>
      </c>
      <c r="V123" s="232" t="b">
        <f>IF(T123&gt;0,T123/U123,)</f>
        <v>0</v>
      </c>
    </row>
    <row r="124" spans="1:22" customHeight="1" ht="15">
      <c r="A124" s="241" t="s">
        <v>105</v>
      </c>
      <c r="B124" s="242"/>
      <c r="C124" s="242"/>
      <c r="D124" s="242"/>
      <c r="E124" s="243">
        <f>SUM(E122:E123)</f>
        <v>0</v>
      </c>
      <c r="F124" s="243">
        <f>SUM(F122:F123)</f>
        <v>0</v>
      </c>
      <c r="G124" s="243">
        <f>SUM(G122:G123)</f>
        <v>0</v>
      </c>
      <c r="H124" s="243">
        <f>SUM(H122:H123)</f>
        <v>0</v>
      </c>
      <c r="I124" s="243">
        <f>SUM(I122:I123)</f>
        <v>0</v>
      </c>
      <c r="J124" s="243">
        <f>SUM(J122:J123)</f>
        <v>0</v>
      </c>
      <c r="K124" s="243">
        <f>SUM(K122:K123)</f>
        <v>0</v>
      </c>
      <c r="L124" s="245">
        <f>SUM(E124:K124)</f>
        <v>0</v>
      </c>
      <c r="M124" s="319">
        <f>SUM(M122:M123)</f>
        <v>0</v>
      </c>
      <c r="N124" s="319">
        <f>SUM(N122:N123)</f>
        <v>0</v>
      </c>
      <c r="O124" s="319">
        <f>SUM(O122:O123)</f>
        <v>0</v>
      </c>
      <c r="P124" s="319">
        <f>SUM(P122:P123)</f>
        <v>0</v>
      </c>
      <c r="Q124" s="319">
        <f>SUM(Q122:Q123)</f>
        <v>0</v>
      </c>
      <c r="R124" s="319">
        <f>SUM(R122:R123)</f>
        <v>0</v>
      </c>
      <c r="S124" s="319">
        <f>SUM(S122:S123)</f>
        <v>0</v>
      </c>
      <c r="T124" s="245">
        <f>SUM(M124:S124)</f>
        <v>0</v>
      </c>
      <c r="U124" s="248">
        <f>SUM(T124,L124)</f>
        <v>0</v>
      </c>
      <c r="V124" s="249" t="b">
        <f>IF(T124&gt;0,T124/U124,)</f>
        <v>0</v>
      </c>
    </row>
    <row r="125" spans="1:22" customHeight="1" ht="18">
      <c r="A125" s="410" t="s">
        <v>115</v>
      </c>
      <c r="B125" s="411"/>
      <c r="C125" s="411"/>
      <c r="D125" s="411"/>
      <c r="E125" s="411"/>
      <c r="F125" s="411"/>
      <c r="G125" s="411"/>
      <c r="H125" s="411"/>
      <c r="I125" s="411"/>
      <c r="J125" s="411"/>
      <c r="K125" s="411"/>
      <c r="L125" s="411"/>
      <c r="M125" s="411"/>
      <c r="N125" s="411"/>
      <c r="O125" s="411"/>
      <c r="P125" s="411"/>
      <c r="Q125" s="411"/>
      <c r="R125" s="411"/>
      <c r="S125" s="411"/>
      <c r="T125" s="411"/>
      <c r="U125" s="411"/>
      <c r="V125" s="412"/>
    </row>
    <row r="126" spans="1:22">
      <c r="A126" s="281"/>
      <c r="B126" s="440"/>
      <c r="C126" s="440"/>
      <c r="D126" s="441"/>
      <c r="E126" s="256"/>
      <c r="F126" s="257"/>
      <c r="G126" s="257"/>
      <c r="H126" s="257"/>
      <c r="I126" s="257"/>
      <c r="J126" s="257"/>
      <c r="K126" s="258"/>
      <c r="L126" s="226">
        <f>SUM(E126:K126)</f>
        <v>0</v>
      </c>
      <c r="M126" s="237"/>
      <c r="N126" s="238"/>
      <c r="O126" s="238"/>
      <c r="P126" s="238"/>
      <c r="Q126" s="238"/>
      <c r="R126" s="238"/>
      <c r="S126" s="239"/>
      <c r="T126" s="226">
        <f>SUM(M126:S126)</f>
        <v>0</v>
      </c>
      <c r="U126" s="236">
        <f>SUM(T126,L126)</f>
        <v>0</v>
      </c>
      <c r="V126" s="232" t="b">
        <f>IF(T126&gt;0,T126/U126,)</f>
        <v>0</v>
      </c>
    </row>
    <row r="127" spans="1:22" customHeight="1" ht="15">
      <c r="A127" s="281"/>
      <c r="B127" s="440"/>
      <c r="C127" s="440"/>
      <c r="D127" s="441"/>
      <c r="E127" s="256"/>
      <c r="F127" s="257"/>
      <c r="G127" s="257"/>
      <c r="H127" s="257"/>
      <c r="I127" s="257"/>
      <c r="J127" s="257"/>
      <c r="K127" s="258"/>
      <c r="L127" s="226">
        <f>SUM(E127:K127)</f>
        <v>0</v>
      </c>
      <c r="M127" s="237"/>
      <c r="N127" s="238"/>
      <c r="O127" s="238"/>
      <c r="P127" s="238"/>
      <c r="Q127" s="238"/>
      <c r="R127" s="238"/>
      <c r="S127" s="239"/>
      <c r="T127" s="226">
        <f>SUM(M127:S127)</f>
        <v>0</v>
      </c>
      <c r="U127" s="236">
        <f>SUM(T127,L127)</f>
        <v>0</v>
      </c>
      <c r="V127" s="232" t="b">
        <f>IF(T127&gt;0,T127/U127,)</f>
        <v>0</v>
      </c>
    </row>
    <row r="128" spans="1:22" customHeight="1" ht="15">
      <c r="A128" s="241" t="s">
        <v>105</v>
      </c>
      <c r="B128" s="242"/>
      <c r="C128" s="242"/>
      <c r="D128" s="242"/>
      <c r="E128" s="243">
        <f>SUM(E126:E127)</f>
        <v>0</v>
      </c>
      <c r="F128" s="243">
        <f>SUM(F126:F127)</f>
        <v>0</v>
      </c>
      <c r="G128" s="243">
        <f>SUM(G126:G127)</f>
        <v>0</v>
      </c>
      <c r="H128" s="243">
        <f>SUM(H126:H127)</f>
        <v>0</v>
      </c>
      <c r="I128" s="243">
        <f>SUM(I126:I127)</f>
        <v>0</v>
      </c>
      <c r="J128" s="243">
        <f>SUM(J126:J127)</f>
        <v>0</v>
      </c>
      <c r="K128" s="243">
        <f>SUM(K126:K127)</f>
        <v>0</v>
      </c>
      <c r="L128" s="245">
        <f>SUM(E128:K128)</f>
        <v>0</v>
      </c>
      <c r="M128" s="319">
        <f>SUM(M126:M127)</f>
        <v>0</v>
      </c>
      <c r="N128" s="319">
        <f>SUM(N126:N127)</f>
        <v>0</v>
      </c>
      <c r="O128" s="319">
        <f>SUM(O126:O127)</f>
        <v>0</v>
      </c>
      <c r="P128" s="319">
        <f>SUM(P126:P127)</f>
        <v>0</v>
      </c>
      <c r="Q128" s="319">
        <f>SUM(Q126:Q127)</f>
        <v>0</v>
      </c>
      <c r="R128" s="319">
        <f>SUM(R126:R127)</f>
        <v>0</v>
      </c>
      <c r="S128" s="319">
        <f>SUM(S126:S127)</f>
        <v>0</v>
      </c>
      <c r="T128" s="245">
        <f>SUM(M128:S128)</f>
        <v>0</v>
      </c>
      <c r="U128" s="248">
        <f>SUM(T128,L128)</f>
        <v>0</v>
      </c>
      <c r="V128" s="249" t="b">
        <f>IF(T128&gt;0,T128/U128,)</f>
        <v>0</v>
      </c>
    </row>
    <row r="129" spans="1:22" customHeight="1" ht="18">
      <c r="A129" s="410" t="s">
        <v>116</v>
      </c>
      <c r="B129" s="411"/>
      <c r="C129" s="411"/>
      <c r="D129" s="411"/>
      <c r="E129" s="411"/>
      <c r="F129" s="411"/>
      <c r="G129" s="411"/>
      <c r="H129" s="411"/>
      <c r="I129" s="411"/>
      <c r="J129" s="411"/>
      <c r="K129" s="411"/>
      <c r="L129" s="411"/>
      <c r="M129" s="411"/>
      <c r="N129" s="411"/>
      <c r="O129" s="411"/>
      <c r="P129" s="411"/>
      <c r="Q129" s="411"/>
      <c r="R129" s="411"/>
      <c r="S129" s="411"/>
      <c r="T129" s="411"/>
      <c r="U129" s="411"/>
      <c r="V129" s="412"/>
    </row>
    <row r="130" spans="1:22">
      <c r="A130" s="276"/>
      <c r="B130" s="408"/>
      <c r="C130" s="408"/>
      <c r="D130" s="409"/>
      <c r="E130" s="256"/>
      <c r="F130" s="257"/>
      <c r="G130" s="257"/>
      <c r="H130" s="257"/>
      <c r="I130" s="257"/>
      <c r="J130" s="257"/>
      <c r="K130" s="258"/>
      <c r="L130" s="226">
        <f>SUM(E130:K130)</f>
        <v>0</v>
      </c>
      <c r="M130" s="237"/>
      <c r="N130" s="238"/>
      <c r="O130" s="238"/>
      <c r="P130" s="238"/>
      <c r="Q130" s="238"/>
      <c r="R130" s="238"/>
      <c r="S130" s="239"/>
      <c r="T130" s="226">
        <f>SUM(M130:S130)</f>
        <v>0</v>
      </c>
      <c r="U130" s="236">
        <f>SUM(T130,L130)</f>
        <v>0</v>
      </c>
      <c r="V130" s="232" t="b">
        <f>IF(T130&gt;0,T130/U130,)</f>
        <v>0</v>
      </c>
    </row>
    <row r="131" spans="1:22" customHeight="1" ht="15">
      <c r="A131" s="276"/>
      <c r="B131" s="408"/>
      <c r="C131" s="408"/>
      <c r="D131" s="409"/>
      <c r="E131" s="256"/>
      <c r="F131" s="257"/>
      <c r="G131" s="257"/>
      <c r="H131" s="257"/>
      <c r="I131" s="257"/>
      <c r="J131" s="257"/>
      <c r="K131" s="258"/>
      <c r="L131" s="226">
        <f>SUM(E131:K131)</f>
        <v>0</v>
      </c>
      <c r="M131" s="237"/>
      <c r="N131" s="238"/>
      <c r="O131" s="238"/>
      <c r="P131" s="238"/>
      <c r="Q131" s="238"/>
      <c r="R131" s="238"/>
      <c r="S131" s="239"/>
      <c r="T131" s="226">
        <f>SUM(M131:S131)</f>
        <v>0</v>
      </c>
      <c r="U131" s="236">
        <f>SUM(T131,L131)</f>
        <v>0</v>
      </c>
      <c r="V131" s="232" t="b">
        <f>IF(T131&gt;0,T131/U131,)</f>
        <v>0</v>
      </c>
    </row>
    <row r="132" spans="1:22" customHeight="1" ht="15">
      <c r="A132" s="241" t="s">
        <v>105</v>
      </c>
      <c r="B132" s="242"/>
      <c r="C132" s="242"/>
      <c r="D132" s="242"/>
      <c r="E132" s="243">
        <f>SUM(E130:E131)</f>
        <v>0</v>
      </c>
      <c r="F132" s="243">
        <f>SUM(F130:F131)</f>
        <v>0</v>
      </c>
      <c r="G132" s="243">
        <f>SUM(G130:G131)</f>
        <v>0</v>
      </c>
      <c r="H132" s="243">
        <f>SUM(H130:H131)</f>
        <v>0</v>
      </c>
      <c r="I132" s="243">
        <f>SUM(I130:I131)</f>
        <v>0</v>
      </c>
      <c r="J132" s="243">
        <f>SUM(J130:J131)</f>
        <v>0</v>
      </c>
      <c r="K132" s="243">
        <f>SUM(K130:K131)</f>
        <v>0</v>
      </c>
      <c r="L132" s="245">
        <f>SUM(E132:K132)</f>
        <v>0</v>
      </c>
      <c r="M132" s="243">
        <f>SUM(M130:M131)</f>
        <v>0</v>
      </c>
      <c r="N132" s="243">
        <f>SUM(N130:N131)</f>
        <v>0</v>
      </c>
      <c r="O132" s="243">
        <f>SUM(O130:O131)</f>
        <v>0</v>
      </c>
      <c r="P132" s="243">
        <f>SUM(P130:P131)</f>
        <v>0</v>
      </c>
      <c r="Q132" s="243">
        <f>SUM(Q130:Q131)</f>
        <v>0</v>
      </c>
      <c r="R132" s="243">
        <f>SUM(R130:R131)</f>
        <v>0</v>
      </c>
      <c r="S132" s="243">
        <f>SUM(S130:S131)</f>
        <v>0</v>
      </c>
      <c r="T132" s="245">
        <f>SUM(M132:S132)</f>
        <v>0</v>
      </c>
      <c r="U132" s="248">
        <f>SUM(T132,L132)</f>
        <v>0</v>
      </c>
      <c r="V132" s="249" t="b">
        <f>IF(T132&gt;0,T132/U132,)</f>
        <v>0</v>
      </c>
    </row>
    <row r="133" spans="1:22" customHeight="1" ht="18">
      <c r="A133" s="410" t="s">
        <v>117</v>
      </c>
      <c r="B133" s="411"/>
      <c r="C133" s="411"/>
      <c r="D133" s="411"/>
      <c r="E133" s="411"/>
      <c r="F133" s="411"/>
      <c r="G133" s="411"/>
      <c r="H133" s="411"/>
      <c r="I133" s="411"/>
      <c r="J133" s="411"/>
      <c r="K133" s="411"/>
      <c r="L133" s="411"/>
      <c r="M133" s="411"/>
      <c r="N133" s="411"/>
      <c r="O133" s="411"/>
      <c r="P133" s="411"/>
      <c r="Q133" s="411"/>
      <c r="R133" s="411"/>
      <c r="S133" s="411"/>
      <c r="T133" s="411"/>
      <c r="U133" s="411"/>
      <c r="V133" s="412"/>
    </row>
    <row r="134" spans="1:22">
      <c r="A134" s="269"/>
      <c r="B134" s="440"/>
      <c r="C134" s="440"/>
      <c r="D134" s="441"/>
      <c r="E134" s="256"/>
      <c r="F134" s="257"/>
      <c r="G134" s="257"/>
      <c r="H134" s="257"/>
      <c r="I134" s="257"/>
      <c r="J134" s="257"/>
      <c r="K134" s="258"/>
      <c r="L134" s="253">
        <f>SUM(E134:K134)</f>
        <v>0</v>
      </c>
      <c r="M134" s="237"/>
      <c r="N134" s="238"/>
      <c r="O134" s="238"/>
      <c r="P134" s="238"/>
      <c r="Q134" s="238"/>
      <c r="R134" s="238"/>
      <c r="S134" s="239"/>
      <c r="T134" s="253">
        <f>SUM(M134:S134)</f>
        <v>0</v>
      </c>
      <c r="U134" s="236">
        <f>SUM(T134,L134)</f>
        <v>0</v>
      </c>
      <c r="V134" s="232" t="b">
        <f>IF(T134&gt;0,T134/U134,)</f>
        <v>0</v>
      </c>
    </row>
    <row r="135" spans="1:22" customHeight="1" ht="15">
      <c r="A135" s="269"/>
      <c r="B135" s="440"/>
      <c r="C135" s="440"/>
      <c r="D135" s="441"/>
      <c r="E135" s="256"/>
      <c r="F135" s="257"/>
      <c r="G135" s="257"/>
      <c r="H135" s="257"/>
      <c r="I135" s="257"/>
      <c r="J135" s="257"/>
      <c r="K135" s="258"/>
      <c r="L135" s="226">
        <f>SUM(E135:K135)</f>
        <v>0</v>
      </c>
      <c r="M135" s="237"/>
      <c r="N135" s="238"/>
      <c r="O135" s="238"/>
      <c r="P135" s="238"/>
      <c r="Q135" s="238"/>
      <c r="R135" s="238"/>
      <c r="S135" s="239"/>
      <c r="T135" s="226">
        <f>SUM(M135:S135)</f>
        <v>0</v>
      </c>
      <c r="U135" s="236">
        <f>SUM(T135,L135)</f>
        <v>0</v>
      </c>
      <c r="V135" s="232" t="b">
        <f>IF(T135&gt;0,T135/U135,)</f>
        <v>0</v>
      </c>
    </row>
    <row r="136" spans="1:22" customHeight="1" ht="15">
      <c r="A136" s="241" t="s">
        <v>105</v>
      </c>
      <c r="B136" s="242"/>
      <c r="C136" s="242"/>
      <c r="D136" s="242"/>
      <c r="E136" s="243">
        <f>SUM(E134:E135)</f>
        <v>0</v>
      </c>
      <c r="F136" s="243">
        <f>SUM(F134:F135)</f>
        <v>0</v>
      </c>
      <c r="G136" s="243">
        <f>SUM(G134:G135)</f>
        <v>0</v>
      </c>
      <c r="H136" s="243">
        <f>SUM(H134:H135)</f>
        <v>0</v>
      </c>
      <c r="I136" s="243">
        <f>SUM(I134:I135)</f>
        <v>0</v>
      </c>
      <c r="J136" s="243">
        <f>SUM(J134:J135)</f>
        <v>0</v>
      </c>
      <c r="K136" s="243">
        <f>SUM(K134:K135)</f>
        <v>0</v>
      </c>
      <c r="L136" s="245">
        <f>SUM(E136:K136)</f>
        <v>0</v>
      </c>
      <c r="M136" s="243">
        <f>SUM(M134:M135)</f>
        <v>0</v>
      </c>
      <c r="N136" s="243">
        <f>SUM(N134:N135)</f>
        <v>0</v>
      </c>
      <c r="O136" s="243">
        <f>SUM(O134:O135)</f>
        <v>0</v>
      </c>
      <c r="P136" s="243">
        <f>SUM(P134:P135)</f>
        <v>0</v>
      </c>
      <c r="Q136" s="243">
        <f>SUM(Q134:Q135)</f>
        <v>0</v>
      </c>
      <c r="R136" s="243">
        <f>SUM(R134:R135)</f>
        <v>0</v>
      </c>
      <c r="S136" s="243">
        <f>SUM(S134:S135)</f>
        <v>0</v>
      </c>
      <c r="T136" s="245">
        <f>SUM(M136:S136)</f>
        <v>0</v>
      </c>
      <c r="U136" s="248">
        <f>SUM(T136,L136)</f>
        <v>0</v>
      </c>
      <c r="V136" s="249" t="b">
        <f>IF(T136&gt;0,T136/U136,)</f>
        <v>0</v>
      </c>
    </row>
    <row r="137" spans="1:22" customHeight="1" ht="18">
      <c r="A137" s="410" t="s">
        <v>118</v>
      </c>
      <c r="B137" s="411"/>
      <c r="C137" s="411"/>
      <c r="D137" s="411"/>
      <c r="E137" s="411"/>
      <c r="F137" s="411"/>
      <c r="G137" s="411"/>
      <c r="H137" s="411"/>
      <c r="I137" s="411"/>
      <c r="J137" s="411"/>
      <c r="K137" s="411"/>
      <c r="L137" s="411"/>
      <c r="M137" s="411"/>
      <c r="N137" s="411"/>
      <c r="O137" s="411"/>
      <c r="P137" s="411"/>
      <c r="Q137" s="411"/>
      <c r="R137" s="411"/>
      <c r="S137" s="411"/>
      <c r="T137" s="411"/>
      <c r="U137" s="411"/>
      <c r="V137" s="412"/>
    </row>
    <row r="138" spans="1:22">
      <c r="A138" s="255"/>
      <c r="B138" s="408"/>
      <c r="C138" s="408"/>
      <c r="D138" s="409"/>
      <c r="E138" s="256"/>
      <c r="F138" s="257"/>
      <c r="G138" s="257"/>
      <c r="H138" s="257"/>
      <c r="I138" s="257"/>
      <c r="J138" s="257"/>
      <c r="K138" s="258"/>
      <c r="L138" s="253">
        <f>SUM(E138:K138)</f>
        <v>0</v>
      </c>
      <c r="M138" s="233"/>
      <c r="N138" s="234"/>
      <c r="O138" s="234"/>
      <c r="P138" s="234"/>
      <c r="Q138" s="234"/>
      <c r="R138" s="234"/>
      <c r="S138" s="235"/>
      <c r="T138" s="253">
        <f>SUM(M138:S138)</f>
        <v>0</v>
      </c>
      <c r="U138" s="262">
        <f>SUM(T138,L138)</f>
        <v>0</v>
      </c>
      <c r="V138" s="263" t="b">
        <f>IF(T138&gt;0,T138/U138,)</f>
        <v>0</v>
      </c>
    </row>
    <row r="139" spans="1:22" customHeight="1" ht="15">
      <c r="A139" s="255"/>
      <c r="B139" s="408"/>
      <c r="C139" s="408"/>
      <c r="D139" s="409"/>
      <c r="E139" s="256"/>
      <c r="F139" s="257"/>
      <c r="G139" s="257"/>
      <c r="H139" s="257"/>
      <c r="I139" s="257"/>
      <c r="J139" s="257"/>
      <c r="K139" s="258"/>
      <c r="L139" s="253">
        <f>SUM(E139:K139)</f>
        <v>0</v>
      </c>
      <c r="M139" s="233"/>
      <c r="N139" s="234"/>
      <c r="O139" s="234"/>
      <c r="P139" s="234"/>
      <c r="Q139" s="234"/>
      <c r="R139" s="234"/>
      <c r="S139" s="235"/>
      <c r="T139" s="283">
        <f>SUM(M139:S139)</f>
        <v>0</v>
      </c>
      <c r="U139" s="262">
        <f>SUM(T139,L139)</f>
        <v>0</v>
      </c>
      <c r="V139" s="263" t="b">
        <f>IF(T139&gt;0,T139/U139,)</f>
        <v>0</v>
      </c>
    </row>
    <row r="140" spans="1:22" customHeight="1" ht="15">
      <c r="A140" s="241" t="s">
        <v>105</v>
      </c>
      <c r="B140" s="242"/>
      <c r="C140" s="242"/>
      <c r="D140" s="242"/>
      <c r="E140" s="243">
        <f>SUM(E138:E139)</f>
        <v>0</v>
      </c>
      <c r="F140" s="243">
        <f>SUM(F138:F139)</f>
        <v>0</v>
      </c>
      <c r="G140" s="243">
        <f>SUM(G138:G139)</f>
        <v>0</v>
      </c>
      <c r="H140" s="243">
        <f>SUM(H138:H139)</f>
        <v>0</v>
      </c>
      <c r="I140" s="243">
        <f>SUM(I138:I139)</f>
        <v>0</v>
      </c>
      <c r="J140" s="243">
        <f>SUM(J138:J139)</f>
        <v>0</v>
      </c>
      <c r="K140" s="243">
        <f>SUM(K138:K139)</f>
        <v>0</v>
      </c>
      <c r="L140" s="245">
        <f>SUM(E140:K140)</f>
        <v>0</v>
      </c>
      <c r="M140" s="243">
        <f>SUM(M138:M139)</f>
        <v>0</v>
      </c>
      <c r="N140" s="243">
        <f>SUM(N138:N139)</f>
        <v>0</v>
      </c>
      <c r="O140" s="243">
        <f>SUM(O138:O139)</f>
        <v>0</v>
      </c>
      <c r="P140" s="243">
        <f>SUM(P138:P139)</f>
        <v>0</v>
      </c>
      <c r="Q140" s="243">
        <f>SUM(Q138:Q139)</f>
        <v>0</v>
      </c>
      <c r="R140" s="243">
        <f>SUM(R138:R139)</f>
        <v>0</v>
      </c>
      <c r="S140" s="243">
        <f>SUM(S138:S139)</f>
        <v>0</v>
      </c>
      <c r="T140" s="245">
        <f>SUM(M140:S140)</f>
        <v>0</v>
      </c>
      <c r="U140" s="248">
        <f>SUM(T140,L140)</f>
        <v>0</v>
      </c>
      <c r="V140" s="249" t="b">
        <f>IF(T140&gt;0,T140/U140,)</f>
        <v>0</v>
      </c>
    </row>
    <row r="141" spans="1:22" customHeight="1" ht="18">
      <c r="A141" s="410" t="s">
        <v>119</v>
      </c>
      <c r="B141" s="411"/>
      <c r="C141" s="411"/>
      <c r="D141" s="411"/>
      <c r="E141" s="411"/>
      <c r="F141" s="411"/>
      <c r="G141" s="411"/>
      <c r="H141" s="411"/>
      <c r="I141" s="411"/>
      <c r="J141" s="411"/>
      <c r="K141" s="411"/>
      <c r="L141" s="411"/>
      <c r="M141" s="411"/>
      <c r="N141" s="411"/>
      <c r="O141" s="411"/>
      <c r="P141" s="411"/>
      <c r="Q141" s="411"/>
      <c r="R141" s="411"/>
      <c r="S141" s="411"/>
      <c r="T141" s="411"/>
      <c r="U141" s="411"/>
      <c r="V141" s="412"/>
    </row>
    <row r="142" spans="1:22">
      <c r="A142" s="97"/>
      <c r="B142" s="408"/>
      <c r="C142" s="408"/>
      <c r="D142" s="409"/>
      <c r="E142" s="256"/>
      <c r="F142" s="257"/>
      <c r="G142" s="257"/>
      <c r="H142" s="257"/>
      <c r="I142" s="257"/>
      <c r="J142" s="257"/>
      <c r="K142" s="258"/>
      <c r="L142" s="226">
        <f>SUM(E142:K142)</f>
        <v>0</v>
      </c>
      <c r="M142" s="233"/>
      <c r="N142" s="234"/>
      <c r="O142" s="234"/>
      <c r="P142" s="234"/>
      <c r="Q142" s="234"/>
      <c r="R142" s="234"/>
      <c r="S142" s="235"/>
      <c r="T142" s="226">
        <f>SUM(M142:S142)</f>
        <v>0</v>
      </c>
      <c r="U142" s="236">
        <f>SUM(T142,L142)</f>
        <v>0</v>
      </c>
      <c r="V142" s="232" t="b">
        <f>IF(T142&gt;0,T142/U142,)</f>
        <v>0</v>
      </c>
    </row>
    <row r="143" spans="1:22" customHeight="1" ht="15">
      <c r="A143" s="269"/>
      <c r="B143" s="435"/>
      <c r="C143" s="435"/>
      <c r="D143" s="436"/>
      <c r="E143" s="284"/>
      <c r="F143" s="280"/>
      <c r="G143" s="280"/>
      <c r="H143" s="280"/>
      <c r="I143" s="280"/>
      <c r="J143" s="280"/>
      <c r="K143" s="282"/>
      <c r="L143" s="226">
        <f>SUM(E143:K143)</f>
        <v>0</v>
      </c>
      <c r="M143" s="237"/>
      <c r="N143" s="238"/>
      <c r="O143" s="238"/>
      <c r="P143" s="238"/>
      <c r="Q143" s="238"/>
      <c r="R143" s="238"/>
      <c r="S143" s="239"/>
      <c r="T143" s="226">
        <f>SUM(M143:S143)</f>
        <v>0</v>
      </c>
      <c r="U143" s="236">
        <f>SUM(T143,L143)</f>
        <v>0</v>
      </c>
      <c r="V143" s="232" t="b">
        <f>IF(T143&gt;0,T143/U143,)</f>
        <v>0</v>
      </c>
    </row>
    <row r="144" spans="1:22" customHeight="1" ht="15">
      <c r="A144" s="437" t="s">
        <v>105</v>
      </c>
      <c r="B144" s="438"/>
      <c r="C144" s="438"/>
      <c r="D144" s="439"/>
      <c r="E144" s="243">
        <f>SUM(E142:E143)</f>
        <v>0</v>
      </c>
      <c r="F144" s="243">
        <f>SUM(F142:F143)</f>
        <v>0</v>
      </c>
      <c r="G144" s="243">
        <f>SUM(G142:G143)</f>
        <v>0</v>
      </c>
      <c r="H144" s="243">
        <f>SUM(H142:H143)</f>
        <v>0</v>
      </c>
      <c r="I144" s="243">
        <f>SUM(I142:I143)</f>
        <v>0</v>
      </c>
      <c r="J144" s="243">
        <f>SUM(J142:J143)</f>
        <v>0</v>
      </c>
      <c r="K144" s="243">
        <f>SUM(K142:K143)</f>
        <v>0</v>
      </c>
      <c r="L144" s="245">
        <f>SUM(E144:K144)</f>
        <v>0</v>
      </c>
      <c r="M144" s="243">
        <f>SUM(M142:M143)</f>
        <v>0</v>
      </c>
      <c r="N144" s="243">
        <f>SUM(N142:N143)</f>
        <v>0</v>
      </c>
      <c r="O144" s="243">
        <f>SUM(O142:O143)</f>
        <v>0</v>
      </c>
      <c r="P144" s="243">
        <f>SUM(P142:P143)</f>
        <v>0</v>
      </c>
      <c r="Q144" s="243">
        <f>SUM(Q142:Q143)</f>
        <v>0</v>
      </c>
      <c r="R144" s="243">
        <f>SUM(R142:R143)</f>
        <v>0</v>
      </c>
      <c r="S144" s="243">
        <f>SUM(S142:S143)</f>
        <v>0</v>
      </c>
      <c r="T144" s="245">
        <f>SUM(M144:S144)</f>
        <v>0</v>
      </c>
      <c r="U144" s="248">
        <f>SUM(T144,L144)</f>
        <v>0</v>
      </c>
      <c r="V144" s="249" t="b">
        <f>IF(T144&gt;0,T144/U144,)</f>
        <v>0</v>
      </c>
    </row>
    <row r="145" spans="1:22" customHeight="1" ht="18.5">
      <c r="A145" s="285" t="s">
        <v>120</v>
      </c>
      <c r="B145" s="286"/>
      <c r="C145" s="286"/>
      <c r="D145" s="287"/>
      <c r="E145" s="288">
        <f>SUM(E144,E140,E136,E132,E128,E124,E116,E120,E108,E112,E104,E100,E96,E92,E88)</f>
        <v>0</v>
      </c>
      <c r="F145" s="288">
        <f>SUM(F88,F92,F96,F100,F104,F108,F112,F116,F120,F124,F128,F132,F136,F140,F144)</f>
        <v>0</v>
      </c>
      <c r="G145" s="288">
        <f>SUM(G88,G92,G96,G100,G104,G108,G112,G116,G120,G124,G128,G132,G136,G140,G144)</f>
        <v>0</v>
      </c>
      <c r="H145" s="288">
        <f>SUM(H88,H92,H96,H100,H104,H108,H112,H116,H120,H124,H128,H132,H136,H140,H144)</f>
        <v>0</v>
      </c>
      <c r="I145" s="288">
        <f>SUM(I88,I92,I96,I100,I104,I108,I112,I116,I120,I124,I128,I132,I136,I140,I144)</f>
        <v>0</v>
      </c>
      <c r="J145" s="288">
        <f>SUM(J88,J92,J96,J100,J104,J108,J112,J116,J120,J124,J128,J132,J136,J140,J144)</f>
        <v>0</v>
      </c>
      <c r="K145" s="288">
        <f>SUM(K88,K92,K96,K100,K104,K108,K112,K116,K120,K124,K128,K132,K136,K140,K144)</f>
        <v>0</v>
      </c>
      <c r="L145" s="245">
        <f>SUM(L88,L92,L96,L100,L104,L108,L112,L116,L120,L124,L128,L132,L136,L140,L144)</f>
        <v>0</v>
      </c>
      <c r="M145" s="288">
        <f>SUM(M144,M140,M136,M132,M128,M124,M120,M116,M112,M108,M104,M100,M96,M92,M88)</f>
        <v>0</v>
      </c>
      <c r="N145" s="288">
        <f>SUM(N144,N140,N136,N132,N128,N124,N120,N116,N112,N108,N104,N100,N96,N92,N88)</f>
        <v>0</v>
      </c>
      <c r="O145" s="288">
        <f>SUM(O144,O140,O136,O132,O128,O124,O120,O116,O112,O108,O104,O100,O96,O92,O88)</f>
        <v>0</v>
      </c>
      <c r="P145" s="288">
        <f>SUM(P144,P140,P136,P132,P128,P124,P120,P116,P112,P108,P104,P100,P96,P92,P88)</f>
        <v>0</v>
      </c>
      <c r="Q145" s="288">
        <f>SUM(Q144,Q140,Q136,Q132,Q128,Q124,Q120,Q116,Q112,Q108,Q104,Q100,Q96,Q92,Q88)</f>
        <v>0</v>
      </c>
      <c r="R145" s="288">
        <f>SUM(R144,R140,R136,R132,R128,R124,R120,R116,R112,R108,R104,R100,R96,R92,R88)</f>
        <v>0</v>
      </c>
      <c r="S145" s="288">
        <f>SUM(S144,S140,S136,S132,S128,S124,S120,S116,S112,S108,S104,S100,S96,S92,S88)</f>
        <v>0</v>
      </c>
      <c r="T145" s="245">
        <f>SUM(M145:S145)</f>
        <v>0</v>
      </c>
      <c r="U145" s="248">
        <f>SUM(T145,L145)</f>
        <v>0</v>
      </c>
      <c r="V145" s="249" t="b">
        <f>IF(T145&gt;0,T145/U145,)</f>
        <v>0</v>
      </c>
    </row>
    <row r="146" spans="1:22">
      <c r="A146" s="221"/>
      <c r="B146" s="221"/>
      <c r="C146" s="221"/>
      <c r="D146" s="221"/>
      <c r="E146" s="221"/>
      <c r="F146" s="221"/>
      <c r="G146" s="221"/>
      <c r="H146" s="221"/>
      <c r="I146" s="221"/>
      <c r="J146" s="221"/>
      <c r="K146" s="221"/>
      <c r="L146" s="221"/>
      <c r="M146" s="221"/>
      <c r="N146" s="221"/>
      <c r="O146" s="221"/>
      <c r="P146" s="221"/>
      <c r="Q146" s="221"/>
      <c r="R146" s="221"/>
      <c r="S146" s="221"/>
      <c r="T146" s="221"/>
      <c r="U146" s="221"/>
      <c r="V146" s="221"/>
    </row>
    <row r="147" spans="1:22">
      <c r="A147" s="221"/>
      <c r="B147" s="221"/>
      <c r="C147" s="221"/>
      <c r="D147" s="221"/>
      <c r="E147" s="221"/>
      <c r="F147" s="221"/>
      <c r="G147" s="221"/>
      <c r="H147" s="221"/>
      <c r="I147" s="221"/>
      <c r="J147" s="221"/>
      <c r="K147" s="221"/>
      <c r="L147" s="221"/>
      <c r="M147" s="221"/>
      <c r="N147" s="221"/>
      <c r="O147" s="221"/>
      <c r="P147" s="221"/>
      <c r="Q147" s="221"/>
      <c r="R147" s="221"/>
      <c r="S147" s="221"/>
      <c r="T147" s="221"/>
      <c r="U147" s="221"/>
      <c r="V147" s="221"/>
    </row>
    <row r="148" spans="1:22">
      <c r="A148" s="221"/>
      <c r="B148" s="221"/>
      <c r="C148" s="221"/>
      <c r="D148" s="221"/>
      <c r="E148" s="221"/>
      <c r="F148" s="221"/>
      <c r="G148" s="221"/>
      <c r="H148" s="221"/>
      <c r="I148" s="221"/>
      <c r="J148" s="221"/>
      <c r="K148" s="221"/>
      <c r="L148" s="221"/>
      <c r="M148" s="221"/>
      <c r="N148" s="221"/>
      <c r="O148" s="221"/>
      <c r="P148" s="221"/>
      <c r="Q148" s="221"/>
      <c r="R148" s="221"/>
      <c r="S148" s="221"/>
      <c r="T148" s="221"/>
      <c r="U148" s="221"/>
      <c r="V148" s="221"/>
    </row>
    <row r="149" spans="1:22">
      <c r="A149" s="221"/>
      <c r="B149" s="221"/>
      <c r="C149" s="221"/>
      <c r="D149" s="221"/>
      <c r="E149" s="221"/>
      <c r="F149" s="221"/>
      <c r="G149" s="221"/>
      <c r="H149" s="221"/>
      <c r="I149" s="221"/>
      <c r="J149" s="221"/>
      <c r="K149" s="221"/>
      <c r="L149" s="221"/>
      <c r="M149" s="221"/>
      <c r="N149" s="221"/>
      <c r="O149" s="221"/>
      <c r="P149" s="221"/>
      <c r="Q149" s="221"/>
      <c r="R149" s="221"/>
      <c r="S149" s="221"/>
      <c r="T149" s="221"/>
      <c r="U149" s="221"/>
      <c r="V149" s="221"/>
    </row>
    <row r="150" spans="1:22" customHeight="1" ht="15">
      <c r="A150" s="221"/>
      <c r="B150" s="221"/>
      <c r="C150" s="221"/>
      <c r="D150" s="221"/>
      <c r="E150" s="221"/>
      <c r="F150" s="221"/>
      <c r="G150" s="221"/>
      <c r="H150" s="221"/>
      <c r="I150" s="221"/>
      <c r="J150" s="221"/>
      <c r="K150" s="221"/>
      <c r="L150" s="221"/>
      <c r="M150" s="221"/>
      <c r="N150" s="221"/>
      <c r="O150" s="221"/>
      <c r="P150" s="221"/>
      <c r="Q150" s="221"/>
      <c r="R150" s="221"/>
      <c r="S150" s="221"/>
      <c r="T150" s="221"/>
      <c r="U150" s="221"/>
      <c r="V150" s="221"/>
    </row>
    <row r="151" spans="1:22" customHeight="1" ht="20.5">
      <c r="A151" s="426" t="s">
        <v>122</v>
      </c>
      <c r="B151" s="427"/>
      <c r="C151" s="427"/>
      <c r="D151" s="427"/>
      <c r="E151" s="427"/>
      <c r="F151" s="427"/>
      <c r="G151" s="427"/>
      <c r="H151" s="427"/>
      <c r="I151" s="427"/>
      <c r="J151" s="427"/>
      <c r="K151" s="427"/>
      <c r="L151" s="427"/>
      <c r="M151" s="427"/>
      <c r="N151" s="427"/>
      <c r="O151" s="427"/>
      <c r="P151" s="427"/>
      <c r="Q151" s="427"/>
      <c r="R151" s="427"/>
      <c r="S151" s="427"/>
      <c r="T151" s="427"/>
      <c r="U151" s="427"/>
      <c r="V151" s="428"/>
    </row>
    <row r="152" spans="1:22" customHeight="1" ht="15">
      <c r="A152" s="293"/>
      <c r="B152" s="294"/>
      <c r="C152" s="294"/>
      <c r="D152" s="295"/>
      <c r="E152" s="429" t="s">
        <v>100</v>
      </c>
      <c r="F152" s="430"/>
      <c r="G152" s="430"/>
      <c r="H152" s="430"/>
      <c r="I152" s="430"/>
      <c r="J152" s="430"/>
      <c r="K152" s="431"/>
      <c r="L152" s="296"/>
      <c r="M152" s="432" t="s">
        <v>100</v>
      </c>
      <c r="N152" s="433"/>
      <c r="O152" s="433"/>
      <c r="P152" s="433"/>
      <c r="Q152" s="433"/>
      <c r="R152" s="433"/>
      <c r="S152" s="434"/>
      <c r="T152" s="297"/>
      <c r="U152" s="297"/>
      <c r="V152" s="297"/>
    </row>
    <row r="153" spans="1:22" customHeight="1" ht="15">
      <c r="A153" s="296"/>
      <c r="B153" s="298"/>
      <c r="C153" s="298"/>
      <c r="D153" s="299"/>
      <c r="E153" s="300">
        <v>1</v>
      </c>
      <c r="F153" s="301">
        <v>2</v>
      </c>
      <c r="G153" s="301">
        <v>3</v>
      </c>
      <c r="H153" s="301">
        <v>4</v>
      </c>
      <c r="I153" s="301">
        <v>5</v>
      </c>
      <c r="J153" s="301">
        <v>6</v>
      </c>
      <c r="K153" s="301">
        <v>7</v>
      </c>
      <c r="L153" s="302"/>
      <c r="M153" s="303">
        <v>1</v>
      </c>
      <c r="N153" s="304">
        <v>2</v>
      </c>
      <c r="O153" s="304">
        <v>3</v>
      </c>
      <c r="P153" s="304">
        <v>4</v>
      </c>
      <c r="Q153" s="304">
        <v>5</v>
      </c>
      <c r="R153" s="304">
        <v>6</v>
      </c>
      <c r="S153" s="304">
        <v>7</v>
      </c>
      <c r="T153" s="302"/>
      <c r="U153" s="302"/>
      <c r="V153" s="302"/>
    </row>
    <row r="154" spans="1:22" customHeight="1" ht="15">
      <c r="A154" s="418" t="s">
        <v>123</v>
      </c>
      <c r="B154" s="419"/>
      <c r="C154" s="419"/>
      <c r="D154" s="420"/>
      <c r="E154" s="421" t="s">
        <v>48</v>
      </c>
      <c r="F154" s="422"/>
      <c r="G154" s="422"/>
      <c r="H154" s="422"/>
      <c r="I154" s="422"/>
      <c r="J154" s="422"/>
      <c r="K154" s="423"/>
      <c r="L154" s="305" t="s">
        <v>102</v>
      </c>
      <c r="M154" s="421" t="s">
        <v>50</v>
      </c>
      <c r="N154" s="424"/>
      <c r="O154" s="424"/>
      <c r="P154" s="424"/>
      <c r="Q154" s="424"/>
      <c r="R154" s="424"/>
      <c r="S154" s="425"/>
      <c r="T154" s="305" t="s">
        <v>102</v>
      </c>
      <c r="U154" s="306" t="s">
        <v>103</v>
      </c>
      <c r="V154" s="306" t="s">
        <v>72</v>
      </c>
    </row>
    <row r="155" spans="1:22" customHeight="1" ht="18">
      <c r="A155" s="410" t="s">
        <v>124</v>
      </c>
      <c r="B155" s="411"/>
      <c r="C155" s="411"/>
      <c r="D155" s="411"/>
      <c r="E155" s="411"/>
      <c r="F155" s="411"/>
      <c r="G155" s="411"/>
      <c r="H155" s="411"/>
      <c r="I155" s="411"/>
      <c r="J155" s="411"/>
      <c r="K155" s="411"/>
      <c r="L155" s="411"/>
      <c r="M155" s="411"/>
      <c r="N155" s="411"/>
      <c r="O155" s="411"/>
      <c r="P155" s="411"/>
      <c r="Q155" s="411"/>
      <c r="R155" s="411"/>
      <c r="S155" s="411"/>
      <c r="T155" s="411"/>
      <c r="U155" s="411"/>
      <c r="V155" s="412"/>
    </row>
    <row r="156" spans="1:22">
      <c r="A156" s="269"/>
      <c r="B156" s="413"/>
      <c r="C156" s="413"/>
      <c r="D156" s="414"/>
      <c r="E156" s="256"/>
      <c r="F156" s="257"/>
      <c r="G156" s="257"/>
      <c r="H156" s="257"/>
      <c r="I156" s="257"/>
      <c r="J156" s="257"/>
      <c r="K156" s="258"/>
      <c r="L156" s="253">
        <f>SUM(E156:K156)</f>
        <v>0</v>
      </c>
      <c r="M156" s="233"/>
      <c r="N156" s="234"/>
      <c r="O156" s="234"/>
      <c r="P156" s="234"/>
      <c r="Q156" s="234"/>
      <c r="R156" s="234"/>
      <c r="S156" s="235"/>
      <c r="T156" s="253">
        <f>SUM(M156:S156)</f>
        <v>0</v>
      </c>
      <c r="U156" s="262">
        <f>SUM(T156,L156)</f>
        <v>0</v>
      </c>
      <c r="V156" s="263" t="b">
        <f>IF(T156&gt;0,T156/U156,)</f>
        <v>0</v>
      </c>
    </row>
    <row r="157" spans="1:22" customHeight="1" ht="15">
      <c r="A157" s="269"/>
      <c r="B157" s="408"/>
      <c r="C157" s="408"/>
      <c r="D157" s="409"/>
      <c r="E157" s="256"/>
      <c r="F157" s="257"/>
      <c r="G157" s="257"/>
      <c r="H157" s="257"/>
      <c r="I157" s="257"/>
      <c r="J157" s="257"/>
      <c r="K157" s="258"/>
      <c r="L157" s="226">
        <f>SUM(E157:K157)</f>
        <v>0</v>
      </c>
      <c r="M157" s="237"/>
      <c r="N157" s="238"/>
      <c r="O157" s="238"/>
      <c r="P157" s="238"/>
      <c r="Q157" s="238"/>
      <c r="R157" s="238"/>
      <c r="S157" s="239"/>
      <c r="T157" s="226">
        <f>SUM(M157:S157)</f>
        <v>0</v>
      </c>
      <c r="U157" s="236">
        <f>SUM(T157,L157)</f>
        <v>0</v>
      </c>
      <c r="V157" s="232" t="b">
        <f>IF(T157&gt;0,T157/U157,)</f>
        <v>0</v>
      </c>
    </row>
    <row r="158" spans="1:22" customHeight="1" ht="15">
      <c r="A158" s="241" t="s">
        <v>105</v>
      </c>
      <c r="B158" s="242"/>
      <c r="C158" s="242"/>
      <c r="D158" s="242"/>
      <c r="E158" s="243">
        <f>SUM(E156:E157)</f>
        <v>0</v>
      </c>
      <c r="F158" s="243">
        <f>SUM(F156:F157)</f>
        <v>0</v>
      </c>
      <c r="G158" s="244">
        <f>SUM(G156:G157)</f>
        <v>0</v>
      </c>
      <c r="H158" s="243">
        <f>SUM(H156:H157)</f>
        <v>0</v>
      </c>
      <c r="I158" s="243">
        <f>SUM(I156:I157)</f>
        <v>0</v>
      </c>
      <c r="J158" s="244">
        <f>SUM(H158:I158)</f>
        <v>0</v>
      </c>
      <c r="K158" s="244">
        <f>SUM(I158:J158)</f>
        <v>0</v>
      </c>
      <c r="L158" s="245">
        <f>SUM(E158:K158)</f>
        <v>0</v>
      </c>
      <c r="M158" s="246">
        <f>SUM(M156:M157)</f>
        <v>0</v>
      </c>
      <c r="N158" s="243">
        <f>SUM(N156:N157)</f>
        <v>0</v>
      </c>
      <c r="O158" s="243">
        <f>SUM(O156:O157)</f>
        <v>0</v>
      </c>
      <c r="P158" s="243">
        <f>SUM(P156:P157)</f>
        <v>0</v>
      </c>
      <c r="Q158" s="243">
        <f>SUM(Q156:Q157)</f>
        <v>0</v>
      </c>
      <c r="R158" s="243">
        <f>SUM(R156:R157)</f>
        <v>0</v>
      </c>
      <c r="S158" s="247">
        <f>SUM(S156:S157)</f>
        <v>0</v>
      </c>
      <c r="T158" s="245">
        <f>SUM(M158:S158)</f>
        <v>0</v>
      </c>
      <c r="U158" s="248">
        <f>SUM(T158,L158)</f>
        <v>0</v>
      </c>
      <c r="V158" s="249" t="b">
        <f>IF(T158&gt;0,T158/U158,)</f>
        <v>0</v>
      </c>
    </row>
    <row r="159" spans="1:22" customHeight="1" ht="18">
      <c r="A159" s="410" t="s">
        <v>125</v>
      </c>
      <c r="B159" s="411"/>
      <c r="C159" s="411"/>
      <c r="D159" s="411"/>
      <c r="E159" s="411"/>
      <c r="F159" s="411"/>
      <c r="G159" s="411"/>
      <c r="H159" s="411"/>
      <c r="I159" s="411"/>
      <c r="J159" s="411"/>
      <c r="K159" s="411"/>
      <c r="L159" s="411"/>
      <c r="M159" s="411"/>
      <c r="N159" s="411"/>
      <c r="O159" s="411"/>
      <c r="P159" s="411"/>
      <c r="Q159" s="411"/>
      <c r="R159" s="411"/>
      <c r="S159" s="411"/>
      <c r="T159" s="411"/>
      <c r="U159" s="411"/>
      <c r="V159" s="412"/>
    </row>
    <row r="160" spans="1:22">
      <c r="A160" s="269"/>
      <c r="B160" s="413"/>
      <c r="C160" s="413"/>
      <c r="D160" s="414"/>
      <c r="E160" s="256"/>
      <c r="F160" s="257"/>
      <c r="G160" s="257"/>
      <c r="H160" s="257"/>
      <c r="I160" s="257"/>
      <c r="J160" s="257"/>
      <c r="K160" s="258"/>
      <c r="L160" s="253">
        <f>SUM(E160:K160)</f>
        <v>0</v>
      </c>
      <c r="M160" s="233"/>
      <c r="N160" s="234"/>
      <c r="O160" s="234"/>
      <c r="P160" s="234"/>
      <c r="Q160" s="234"/>
      <c r="R160" s="234"/>
      <c r="S160" s="235"/>
      <c r="T160" s="253">
        <f>SUM(M160:S160)</f>
        <v>0</v>
      </c>
      <c r="U160" s="262">
        <f>SUM(T160,L160)</f>
        <v>0</v>
      </c>
      <c r="V160" s="263" t="b">
        <f>IF(T160&gt;0,T160/U160,)</f>
        <v>0</v>
      </c>
    </row>
    <row r="161" spans="1:22" customHeight="1" ht="15">
      <c r="A161" s="269"/>
      <c r="B161" s="408"/>
      <c r="C161" s="408"/>
      <c r="D161" s="409"/>
      <c r="E161" s="256"/>
      <c r="F161" s="257"/>
      <c r="G161" s="257"/>
      <c r="H161" s="257"/>
      <c r="I161" s="257"/>
      <c r="J161" s="257"/>
      <c r="K161" s="258"/>
      <c r="L161" s="226">
        <f>SUM(E161:K161)</f>
        <v>0</v>
      </c>
      <c r="M161" s="237"/>
      <c r="N161" s="238"/>
      <c r="O161" s="238"/>
      <c r="P161" s="238"/>
      <c r="Q161" s="238"/>
      <c r="R161" s="238"/>
      <c r="S161" s="239"/>
      <c r="T161" s="226">
        <f>SUM(M161:S161)</f>
        <v>0</v>
      </c>
      <c r="U161" s="236">
        <f>SUM(T161,L161)</f>
        <v>0</v>
      </c>
      <c r="V161" s="232" t="b">
        <f>IF(T161&gt;0,T161/U161,)</f>
        <v>0</v>
      </c>
    </row>
    <row r="162" spans="1:22" customHeight="1" ht="15">
      <c r="A162" s="241" t="s">
        <v>105</v>
      </c>
      <c r="B162" s="242"/>
      <c r="C162" s="242"/>
      <c r="D162" s="242"/>
      <c r="E162" s="243">
        <f>SUM(E160:E161)</f>
        <v>0</v>
      </c>
      <c r="F162" s="243">
        <f>SUM(F160:F161)</f>
        <v>0</v>
      </c>
      <c r="G162" s="244">
        <f>SUM(G160:G161)</f>
        <v>0</v>
      </c>
      <c r="H162" s="243">
        <f>SUM(H160:H161)</f>
        <v>0</v>
      </c>
      <c r="I162" s="243">
        <f>SUM(I160:I161)</f>
        <v>0</v>
      </c>
      <c r="J162" s="244">
        <f>SUM(H162:I162)</f>
        <v>0</v>
      </c>
      <c r="K162" s="244">
        <f>SUM(I162:J162)</f>
        <v>0</v>
      </c>
      <c r="L162" s="245">
        <f>SUM(E162:K162)</f>
        <v>0</v>
      </c>
      <c r="M162" s="246">
        <f>SUM(M160:M161)</f>
        <v>0</v>
      </c>
      <c r="N162" s="243">
        <f>SUM(N160:N161)</f>
        <v>0</v>
      </c>
      <c r="O162" s="243">
        <f>SUM(O160:O161)</f>
        <v>0</v>
      </c>
      <c r="P162" s="243">
        <f>SUM(P160:P161)</f>
        <v>0</v>
      </c>
      <c r="Q162" s="243">
        <f>SUM(Q160:Q161)</f>
        <v>0</v>
      </c>
      <c r="R162" s="243">
        <f>SUM(R160:R161)</f>
        <v>0</v>
      </c>
      <c r="S162" s="247">
        <f>SUM(S160:S161)</f>
        <v>0</v>
      </c>
      <c r="T162" s="245">
        <f>SUM(M162:S162)</f>
        <v>0</v>
      </c>
      <c r="U162" s="248">
        <f>SUM(T162,L162)</f>
        <v>0</v>
      </c>
      <c r="V162" s="249" t="b">
        <f>IF(T162&gt;0,T162/U162,)</f>
        <v>0</v>
      </c>
    </row>
    <row r="163" spans="1:22" customHeight="1" ht="18">
      <c r="A163" s="410" t="s">
        <v>126</v>
      </c>
      <c r="B163" s="411"/>
      <c r="C163" s="411"/>
      <c r="D163" s="411"/>
      <c r="E163" s="411"/>
      <c r="F163" s="411"/>
      <c r="G163" s="411"/>
      <c r="H163" s="411"/>
      <c r="I163" s="411"/>
      <c r="J163" s="411"/>
      <c r="K163" s="411"/>
      <c r="L163" s="411"/>
      <c r="M163" s="411"/>
      <c r="N163" s="411"/>
      <c r="O163" s="411"/>
      <c r="P163" s="411"/>
      <c r="Q163" s="411"/>
      <c r="R163" s="411"/>
      <c r="S163" s="411"/>
      <c r="T163" s="411"/>
      <c r="U163" s="411"/>
      <c r="V163" s="412"/>
    </row>
    <row r="164" spans="1:22">
      <c r="A164" s="269"/>
      <c r="B164" s="413"/>
      <c r="C164" s="413"/>
      <c r="D164" s="414"/>
      <c r="E164" s="256"/>
      <c r="F164" s="257"/>
      <c r="G164" s="257"/>
      <c r="H164" s="257"/>
      <c r="I164" s="257"/>
      <c r="J164" s="257"/>
      <c r="K164" s="258"/>
      <c r="L164" s="253">
        <f>SUM(E164:K164)</f>
        <v>0</v>
      </c>
      <c r="M164" s="233"/>
      <c r="N164" s="234"/>
      <c r="O164" s="234"/>
      <c r="P164" s="234"/>
      <c r="Q164" s="234"/>
      <c r="R164" s="234"/>
      <c r="S164" s="235"/>
      <c r="T164" s="253">
        <f>SUM(M164:S164)</f>
        <v>0</v>
      </c>
      <c r="U164" s="262">
        <f>SUM(T164,L164)</f>
        <v>0</v>
      </c>
      <c r="V164" s="263" t="b">
        <f>IF(T164&gt;0,T164/U164,)</f>
        <v>0</v>
      </c>
    </row>
    <row r="165" spans="1:22" customHeight="1" ht="15">
      <c r="A165" s="269"/>
      <c r="B165" s="408"/>
      <c r="C165" s="408"/>
      <c r="D165" s="409"/>
      <c r="E165" s="256"/>
      <c r="F165" s="257"/>
      <c r="G165" s="257"/>
      <c r="H165" s="257"/>
      <c r="I165" s="257"/>
      <c r="J165" s="257"/>
      <c r="K165" s="258"/>
      <c r="L165" s="226">
        <f>SUM(E165:K165)</f>
        <v>0</v>
      </c>
      <c r="M165" s="237"/>
      <c r="N165" s="238"/>
      <c r="O165" s="238"/>
      <c r="P165" s="238"/>
      <c r="Q165" s="238"/>
      <c r="R165" s="238"/>
      <c r="S165" s="239"/>
      <c r="T165" s="226">
        <f>SUM(M165:S165)</f>
        <v>0</v>
      </c>
      <c r="U165" s="236">
        <f>SUM(T165,L165)</f>
        <v>0</v>
      </c>
      <c r="V165" s="232" t="b">
        <f>IF(T165&gt;0,T165/U165,)</f>
        <v>0</v>
      </c>
    </row>
    <row r="166" spans="1:22" customHeight="1" ht="15">
      <c r="A166" s="241" t="s">
        <v>105</v>
      </c>
      <c r="B166" s="242"/>
      <c r="C166" s="242"/>
      <c r="D166" s="242"/>
      <c r="E166" s="243">
        <f>SUM(E164:E165)</f>
        <v>0</v>
      </c>
      <c r="F166" s="243">
        <f>SUM(F164:F165)</f>
        <v>0</v>
      </c>
      <c r="G166" s="244">
        <f>SUM(G164:G165)</f>
        <v>0</v>
      </c>
      <c r="H166" s="243">
        <f>SUM(H164:H165)</f>
        <v>0</v>
      </c>
      <c r="I166" s="243">
        <f>SUM(I164:I165)</f>
        <v>0</v>
      </c>
      <c r="J166" s="244">
        <f>SUM(H166:I166)</f>
        <v>0</v>
      </c>
      <c r="K166" s="244">
        <f>SUM(I166:J166)</f>
        <v>0</v>
      </c>
      <c r="L166" s="245">
        <f>SUM(E166:K166)</f>
        <v>0</v>
      </c>
      <c r="M166" s="246">
        <f>SUM(M164:M165)</f>
        <v>0</v>
      </c>
      <c r="N166" s="243">
        <f>SUM(N164:N165)</f>
        <v>0</v>
      </c>
      <c r="O166" s="243">
        <f>SUM(O164:O165)</f>
        <v>0</v>
      </c>
      <c r="P166" s="243">
        <f>SUM(P164:P165)</f>
        <v>0</v>
      </c>
      <c r="Q166" s="243">
        <f>SUM(Q164:Q165)</f>
        <v>0</v>
      </c>
      <c r="R166" s="243">
        <f>SUM(R164:R165)</f>
        <v>0</v>
      </c>
      <c r="S166" s="247">
        <f>SUM(S164:S165)</f>
        <v>0</v>
      </c>
      <c r="T166" s="245">
        <f>SUM(M166:S166)</f>
        <v>0</v>
      </c>
      <c r="U166" s="248">
        <f>SUM(T166,L166)</f>
        <v>0</v>
      </c>
      <c r="V166" s="249" t="b">
        <f>IF(T166&gt;0,T166/U166,)</f>
        <v>0</v>
      </c>
    </row>
    <row r="167" spans="1:22" customHeight="1" ht="18">
      <c r="A167" s="410" t="s">
        <v>127</v>
      </c>
      <c r="B167" s="411"/>
      <c r="C167" s="411"/>
      <c r="D167" s="411"/>
      <c r="E167" s="411"/>
      <c r="F167" s="411"/>
      <c r="G167" s="411"/>
      <c r="H167" s="411"/>
      <c r="I167" s="411"/>
      <c r="J167" s="411"/>
      <c r="K167" s="411"/>
      <c r="L167" s="411"/>
      <c r="M167" s="411"/>
      <c r="N167" s="411"/>
      <c r="O167" s="411"/>
      <c r="P167" s="411"/>
      <c r="Q167" s="411"/>
      <c r="R167" s="411"/>
      <c r="S167" s="411"/>
      <c r="T167" s="411"/>
      <c r="U167" s="411"/>
      <c r="V167" s="412"/>
    </row>
    <row r="168" spans="1:22">
      <c r="A168" s="269"/>
      <c r="B168" s="413"/>
      <c r="C168" s="413"/>
      <c r="D168" s="414"/>
      <c r="E168" s="256"/>
      <c r="F168" s="257"/>
      <c r="G168" s="257"/>
      <c r="H168" s="257"/>
      <c r="I168" s="257"/>
      <c r="J168" s="257"/>
      <c r="K168" s="258"/>
      <c r="L168" s="253">
        <f>SUM(E168:K168)</f>
        <v>0</v>
      </c>
      <c r="M168" s="233"/>
      <c r="N168" s="234"/>
      <c r="O168" s="234"/>
      <c r="P168" s="234"/>
      <c r="Q168" s="234"/>
      <c r="R168" s="234"/>
      <c r="S168" s="235"/>
      <c r="T168" s="253">
        <f>SUM(M168:S168)</f>
        <v>0</v>
      </c>
      <c r="U168" s="262">
        <f>SUM(T168,L168)</f>
        <v>0</v>
      </c>
      <c r="V168" s="263" t="b">
        <f>IF(T168&gt;0,T168/U168,)</f>
        <v>0</v>
      </c>
    </row>
    <row r="169" spans="1:22" customHeight="1" ht="15">
      <c r="A169" s="269"/>
      <c r="B169" s="408"/>
      <c r="C169" s="408"/>
      <c r="D169" s="409"/>
      <c r="E169" s="256"/>
      <c r="F169" s="257"/>
      <c r="G169" s="257"/>
      <c r="H169" s="257"/>
      <c r="I169" s="257"/>
      <c r="J169" s="257"/>
      <c r="K169" s="258"/>
      <c r="L169" s="226">
        <f>SUM(E169:K169)</f>
        <v>0</v>
      </c>
      <c r="M169" s="237"/>
      <c r="N169" s="238"/>
      <c r="O169" s="238"/>
      <c r="P169" s="238"/>
      <c r="Q169" s="238"/>
      <c r="R169" s="238"/>
      <c r="S169" s="239"/>
      <c r="T169" s="226">
        <f>SUM(M169:S169)</f>
        <v>0</v>
      </c>
      <c r="U169" s="236">
        <f>SUM(T169,L169)</f>
        <v>0</v>
      </c>
      <c r="V169" s="232" t="b">
        <f>IF(T169&gt;0,T169/U169,)</f>
        <v>0</v>
      </c>
    </row>
    <row r="170" spans="1:22" customHeight="1" ht="15">
      <c r="A170" s="241" t="s">
        <v>105</v>
      </c>
      <c r="B170" s="242"/>
      <c r="C170" s="242"/>
      <c r="D170" s="242"/>
      <c r="E170" s="243">
        <f>SUM(E168:E169)</f>
        <v>0</v>
      </c>
      <c r="F170" s="243">
        <f>SUM(F168:F169)</f>
        <v>0</v>
      </c>
      <c r="G170" s="244">
        <f>SUM(G168:G169)</f>
        <v>0</v>
      </c>
      <c r="H170" s="243">
        <f>SUM(H168:H169)</f>
        <v>0</v>
      </c>
      <c r="I170" s="243">
        <f>SUM(I168:I169)</f>
        <v>0</v>
      </c>
      <c r="J170" s="244">
        <f>SUM(H170:I170)</f>
        <v>0</v>
      </c>
      <c r="K170" s="244">
        <f>SUM(I170:J170)</f>
        <v>0</v>
      </c>
      <c r="L170" s="245">
        <f>SUM(E170:K170)</f>
        <v>0</v>
      </c>
      <c r="M170" s="246">
        <f>SUM(M168:M169)</f>
        <v>0</v>
      </c>
      <c r="N170" s="243">
        <f>SUM(N168:N169)</f>
        <v>0</v>
      </c>
      <c r="O170" s="243">
        <f>SUM(O168:O169)</f>
        <v>0</v>
      </c>
      <c r="P170" s="243">
        <f>SUM(P168:P169)</f>
        <v>0</v>
      </c>
      <c r="Q170" s="243">
        <f>SUM(Q168:Q169)</f>
        <v>0</v>
      </c>
      <c r="R170" s="243">
        <f>SUM(R168:R169)</f>
        <v>0</v>
      </c>
      <c r="S170" s="247">
        <f>SUM(S168:S169)</f>
        <v>0</v>
      </c>
      <c r="T170" s="245">
        <f>SUM(M170:S170)</f>
        <v>0</v>
      </c>
      <c r="U170" s="248">
        <f>SUM(T170,L170)</f>
        <v>0</v>
      </c>
      <c r="V170" s="249" t="b">
        <f>IF(T170&gt;0,T170/U170,)</f>
        <v>0</v>
      </c>
    </row>
    <row r="171" spans="1:22" customHeight="1" ht="18">
      <c r="A171" s="410" t="s">
        <v>128</v>
      </c>
      <c r="B171" s="411"/>
      <c r="C171" s="411"/>
      <c r="D171" s="411"/>
      <c r="E171" s="411"/>
      <c r="F171" s="411"/>
      <c r="G171" s="411"/>
      <c r="H171" s="411"/>
      <c r="I171" s="411"/>
      <c r="J171" s="411"/>
      <c r="K171" s="411"/>
      <c r="L171" s="411"/>
      <c r="M171" s="411"/>
      <c r="N171" s="411"/>
      <c r="O171" s="411"/>
      <c r="P171" s="411"/>
      <c r="Q171" s="411"/>
      <c r="R171" s="411"/>
      <c r="S171" s="411"/>
      <c r="T171" s="411"/>
      <c r="U171" s="411"/>
      <c r="V171" s="412"/>
    </row>
    <row r="172" spans="1:22">
      <c r="A172" s="269"/>
      <c r="B172" s="413"/>
      <c r="C172" s="413"/>
      <c r="D172" s="414"/>
      <c r="E172" s="256"/>
      <c r="F172" s="257"/>
      <c r="G172" s="257"/>
      <c r="H172" s="257"/>
      <c r="I172" s="257"/>
      <c r="J172" s="257"/>
      <c r="K172" s="258"/>
      <c r="L172" s="253">
        <f>SUM(E172:K172)</f>
        <v>0</v>
      </c>
      <c r="M172" s="233"/>
      <c r="N172" s="234"/>
      <c r="O172" s="234"/>
      <c r="P172" s="234"/>
      <c r="Q172" s="234"/>
      <c r="R172" s="234"/>
      <c r="S172" s="235"/>
      <c r="T172" s="253">
        <f>SUM(M172:S172)</f>
        <v>0</v>
      </c>
      <c r="U172" s="262">
        <f>SUM(T172,L172)</f>
        <v>0</v>
      </c>
      <c r="V172" s="263" t="b">
        <f>IF(T172&gt;0,T172/U172,)</f>
        <v>0</v>
      </c>
    </row>
    <row r="173" spans="1:22" customHeight="1" ht="15">
      <c r="A173" s="269"/>
      <c r="B173" s="408"/>
      <c r="C173" s="408"/>
      <c r="D173" s="409"/>
      <c r="E173" s="256"/>
      <c r="F173" s="257"/>
      <c r="G173" s="257"/>
      <c r="H173" s="257"/>
      <c r="I173" s="257"/>
      <c r="J173" s="257"/>
      <c r="K173" s="258"/>
      <c r="L173" s="226">
        <f>SUM(E173:K173)</f>
        <v>0</v>
      </c>
      <c r="M173" s="237"/>
      <c r="N173" s="238"/>
      <c r="O173" s="238"/>
      <c r="P173" s="238"/>
      <c r="Q173" s="238"/>
      <c r="R173" s="238"/>
      <c r="S173" s="239"/>
      <c r="T173" s="226">
        <f>SUM(M173:S173)</f>
        <v>0</v>
      </c>
      <c r="U173" s="236">
        <f>SUM(T173,L173)</f>
        <v>0</v>
      </c>
      <c r="V173" s="232" t="b">
        <f>IF(T173&gt;0,T173/U173,)</f>
        <v>0</v>
      </c>
    </row>
    <row r="174" spans="1:22" customHeight="1" ht="15">
      <c r="A174" s="241" t="s">
        <v>105</v>
      </c>
      <c r="B174" s="242"/>
      <c r="C174" s="242"/>
      <c r="D174" s="242"/>
      <c r="E174" s="243">
        <f>SUM(E172:E173)</f>
        <v>0</v>
      </c>
      <c r="F174" s="243">
        <f>SUM(F172:F173)</f>
        <v>0</v>
      </c>
      <c r="G174" s="244">
        <f>SUM(G172:G173)</f>
        <v>0</v>
      </c>
      <c r="H174" s="243">
        <f>SUM(H172:H173)</f>
        <v>0</v>
      </c>
      <c r="I174" s="243">
        <f>SUM(I172:I173)</f>
        <v>0</v>
      </c>
      <c r="J174" s="244">
        <f>SUM(H174:I174)</f>
        <v>0</v>
      </c>
      <c r="K174" s="244">
        <f>SUM(I174:J174)</f>
        <v>0</v>
      </c>
      <c r="L174" s="245">
        <f>SUM(E174:K174)</f>
        <v>0</v>
      </c>
      <c r="M174" s="246">
        <f>SUM(M172:M173)</f>
        <v>0</v>
      </c>
      <c r="N174" s="243">
        <f>SUM(N172:N173)</f>
        <v>0</v>
      </c>
      <c r="O174" s="243">
        <f>SUM(O172:O173)</f>
        <v>0</v>
      </c>
      <c r="P174" s="243">
        <f>SUM(P172:P173)</f>
        <v>0</v>
      </c>
      <c r="Q174" s="243">
        <f>SUM(Q172:Q173)</f>
        <v>0</v>
      </c>
      <c r="R174" s="243">
        <f>SUM(R172:R173)</f>
        <v>0</v>
      </c>
      <c r="S174" s="247">
        <f>SUM(S172:S173)</f>
        <v>0</v>
      </c>
      <c r="T174" s="245">
        <f>SUM(M174:S174)</f>
        <v>0</v>
      </c>
      <c r="U174" s="248">
        <f>SUM(T174,L174)</f>
        <v>0</v>
      </c>
      <c r="V174" s="249" t="b">
        <f>IF(T174&gt;0,T174/U174,)</f>
        <v>0</v>
      </c>
    </row>
    <row r="175" spans="1:22" customHeight="1" ht="18">
      <c r="A175" s="410" t="s">
        <v>129</v>
      </c>
      <c r="B175" s="411"/>
      <c r="C175" s="411"/>
      <c r="D175" s="411"/>
      <c r="E175" s="411"/>
      <c r="F175" s="411"/>
      <c r="G175" s="411"/>
      <c r="H175" s="411"/>
      <c r="I175" s="411"/>
      <c r="J175" s="411"/>
      <c r="K175" s="411"/>
      <c r="L175" s="411"/>
      <c r="M175" s="411"/>
      <c r="N175" s="411"/>
      <c r="O175" s="411"/>
      <c r="P175" s="411"/>
      <c r="Q175" s="411"/>
      <c r="R175" s="411"/>
      <c r="S175" s="411"/>
      <c r="T175" s="411"/>
      <c r="U175" s="411"/>
      <c r="V175" s="412"/>
    </row>
    <row r="176" spans="1:22">
      <c r="A176" s="269"/>
      <c r="B176" s="413"/>
      <c r="C176" s="413"/>
      <c r="D176" s="414"/>
      <c r="E176" s="256"/>
      <c r="F176" s="257"/>
      <c r="G176" s="257"/>
      <c r="H176" s="257"/>
      <c r="I176" s="257"/>
      <c r="J176" s="257"/>
      <c r="K176" s="258"/>
      <c r="L176" s="253">
        <f>SUM(E176:K176)</f>
        <v>0</v>
      </c>
      <c r="M176" s="233"/>
      <c r="N176" s="234"/>
      <c r="O176" s="234"/>
      <c r="P176" s="234"/>
      <c r="Q176" s="234"/>
      <c r="R176" s="234"/>
      <c r="S176" s="235"/>
      <c r="T176" s="253">
        <f>SUM(M176:S176)</f>
        <v>0</v>
      </c>
      <c r="U176" s="262">
        <f>SUM(T176,L176)</f>
        <v>0</v>
      </c>
      <c r="V176" s="263" t="b">
        <f>IF(T176&gt;0,T176/U176,)</f>
        <v>0</v>
      </c>
    </row>
    <row r="177" spans="1:22" customHeight="1" ht="15">
      <c r="A177" s="269"/>
      <c r="B177" s="408"/>
      <c r="C177" s="408"/>
      <c r="D177" s="409"/>
      <c r="E177" s="256"/>
      <c r="F177" s="257"/>
      <c r="G177" s="257"/>
      <c r="H177" s="257"/>
      <c r="I177" s="257"/>
      <c r="J177" s="257"/>
      <c r="K177" s="258"/>
      <c r="L177" s="226">
        <f>SUM(E177:K177)</f>
        <v>0</v>
      </c>
      <c r="M177" s="237"/>
      <c r="N177" s="238"/>
      <c r="O177" s="238"/>
      <c r="P177" s="238"/>
      <c r="Q177" s="238"/>
      <c r="R177" s="238"/>
      <c r="S177" s="239"/>
      <c r="T177" s="226">
        <f>SUM(M177:S177)</f>
        <v>0</v>
      </c>
      <c r="U177" s="236">
        <f>SUM(T177,L177)</f>
        <v>0</v>
      </c>
      <c r="V177" s="232" t="b">
        <f>IF(T177&gt;0,T177/U177,)</f>
        <v>0</v>
      </c>
    </row>
    <row r="178" spans="1:22" customHeight="1" ht="15">
      <c r="A178" s="241" t="s">
        <v>105</v>
      </c>
      <c r="B178" s="242"/>
      <c r="C178" s="242"/>
      <c r="D178" s="242"/>
      <c r="E178" s="243">
        <f>SUM(E176:E177)</f>
        <v>0</v>
      </c>
      <c r="F178" s="243">
        <f>SUM(F176:F177)</f>
        <v>0</v>
      </c>
      <c r="G178" s="244">
        <f>SUM(G176:G177)</f>
        <v>0</v>
      </c>
      <c r="H178" s="243">
        <f>SUM(H176:H177)</f>
        <v>0</v>
      </c>
      <c r="I178" s="243">
        <f>SUM(I176:I177)</f>
        <v>0</v>
      </c>
      <c r="J178" s="244">
        <f>SUM(H178:I178)</f>
        <v>0</v>
      </c>
      <c r="K178" s="244">
        <f>SUM(I178:J178)</f>
        <v>0</v>
      </c>
      <c r="L178" s="245">
        <f>SUM(E178:K178)</f>
        <v>0</v>
      </c>
      <c r="M178" s="246">
        <f>SUM(M176:M177)</f>
        <v>0</v>
      </c>
      <c r="N178" s="243">
        <f>SUM(N176:N177)</f>
        <v>0</v>
      </c>
      <c r="O178" s="243">
        <f>SUM(O176:O177)</f>
        <v>0</v>
      </c>
      <c r="P178" s="243">
        <f>SUM(P176:P177)</f>
        <v>0</v>
      </c>
      <c r="Q178" s="243">
        <f>SUM(Q176:Q177)</f>
        <v>0</v>
      </c>
      <c r="R178" s="243">
        <f>SUM(R176:R177)</f>
        <v>0</v>
      </c>
      <c r="S178" s="247">
        <f>SUM(S176:S177)</f>
        <v>0</v>
      </c>
      <c r="T178" s="245">
        <f>SUM(M178:S178)</f>
        <v>0</v>
      </c>
      <c r="U178" s="248">
        <f>SUM(T178,L178)</f>
        <v>0</v>
      </c>
      <c r="V178" s="249" t="b">
        <f>IF(T178&gt;0,T178/U178,)</f>
        <v>0</v>
      </c>
    </row>
    <row r="179" spans="1:22" customHeight="1" ht="18">
      <c r="A179" s="410" t="s">
        <v>130</v>
      </c>
      <c r="B179" s="411"/>
      <c r="C179" s="411"/>
      <c r="D179" s="411"/>
      <c r="E179" s="411"/>
      <c r="F179" s="411"/>
      <c r="G179" s="411"/>
      <c r="H179" s="411"/>
      <c r="I179" s="411"/>
      <c r="J179" s="411"/>
      <c r="K179" s="411"/>
      <c r="L179" s="411"/>
      <c r="M179" s="411"/>
      <c r="N179" s="411"/>
      <c r="O179" s="411"/>
      <c r="P179" s="411"/>
      <c r="Q179" s="411"/>
      <c r="R179" s="411"/>
      <c r="S179" s="411"/>
      <c r="T179" s="411"/>
      <c r="U179" s="411"/>
      <c r="V179" s="412"/>
    </row>
    <row r="180" spans="1:22">
      <c r="A180" s="269"/>
      <c r="B180" s="413"/>
      <c r="C180" s="413"/>
      <c r="D180" s="414"/>
      <c r="E180" s="256"/>
      <c r="F180" s="257"/>
      <c r="G180" s="257"/>
      <c r="H180" s="257"/>
      <c r="I180" s="257"/>
      <c r="J180" s="257"/>
      <c r="K180" s="258"/>
      <c r="L180" s="253">
        <f>SUM(E180:K180)</f>
        <v>0</v>
      </c>
      <c r="M180" s="233"/>
      <c r="N180" s="234"/>
      <c r="O180" s="234"/>
      <c r="P180" s="234"/>
      <c r="Q180" s="234"/>
      <c r="R180" s="234"/>
      <c r="S180" s="235"/>
      <c r="T180" s="253">
        <f>SUM(M180:S180)</f>
        <v>0</v>
      </c>
      <c r="U180" s="262">
        <f>SUM(T180,L180)</f>
        <v>0</v>
      </c>
      <c r="V180" s="263" t="b">
        <f>IF(T180&gt;0,T180/U180,)</f>
        <v>0</v>
      </c>
    </row>
    <row r="181" spans="1:22" customHeight="1" ht="15">
      <c r="A181" s="269"/>
      <c r="B181" s="408"/>
      <c r="C181" s="408"/>
      <c r="D181" s="409"/>
      <c r="E181" s="256"/>
      <c r="F181" s="257"/>
      <c r="G181" s="257"/>
      <c r="H181" s="257"/>
      <c r="I181" s="257"/>
      <c r="J181" s="257"/>
      <c r="K181" s="258"/>
      <c r="L181" s="226">
        <f>SUM(E181:K181)</f>
        <v>0</v>
      </c>
      <c r="M181" s="237"/>
      <c r="N181" s="238"/>
      <c r="O181" s="238"/>
      <c r="P181" s="238"/>
      <c r="Q181" s="238"/>
      <c r="R181" s="238"/>
      <c r="S181" s="239"/>
      <c r="T181" s="226">
        <f>SUM(M181:S181)</f>
        <v>0</v>
      </c>
      <c r="U181" s="236">
        <f>SUM(T181,L181)</f>
        <v>0</v>
      </c>
      <c r="V181" s="232" t="b">
        <f>IF(T181&gt;0,T181/U181,)</f>
        <v>0</v>
      </c>
    </row>
    <row r="182" spans="1:22" customHeight="1" ht="15">
      <c r="A182" s="241" t="s">
        <v>105</v>
      </c>
      <c r="B182" s="242"/>
      <c r="C182" s="242"/>
      <c r="D182" s="242"/>
      <c r="E182" s="243">
        <f>SUM(E180:E181)</f>
        <v>0</v>
      </c>
      <c r="F182" s="243">
        <f>SUM(F180:F181)</f>
        <v>0</v>
      </c>
      <c r="G182" s="244">
        <f>SUM(G180:G181)</f>
        <v>0</v>
      </c>
      <c r="H182" s="243">
        <f>SUM(H180:H181)</f>
        <v>0</v>
      </c>
      <c r="I182" s="243">
        <f>SUM(I180:I181)</f>
        <v>0</v>
      </c>
      <c r="J182" s="244">
        <f>SUM(H182:I182)</f>
        <v>0</v>
      </c>
      <c r="K182" s="244">
        <f>SUM(I182:J182)</f>
        <v>0</v>
      </c>
      <c r="L182" s="245">
        <f>SUM(E182:K182)</f>
        <v>0</v>
      </c>
      <c r="M182" s="246">
        <f>SUM(M180:M181)</f>
        <v>0</v>
      </c>
      <c r="N182" s="243">
        <f>SUM(N180:N181)</f>
        <v>0</v>
      </c>
      <c r="O182" s="243">
        <f>SUM(O180:O181)</f>
        <v>0</v>
      </c>
      <c r="P182" s="243">
        <f>SUM(P180:P181)</f>
        <v>0</v>
      </c>
      <c r="Q182" s="243">
        <f>SUM(Q180:Q181)</f>
        <v>0</v>
      </c>
      <c r="R182" s="243">
        <f>SUM(R180:R181)</f>
        <v>0</v>
      </c>
      <c r="S182" s="247">
        <f>SUM(S180:S181)</f>
        <v>0</v>
      </c>
      <c r="T182" s="245">
        <f>SUM(M182:S182)</f>
        <v>0</v>
      </c>
      <c r="U182" s="248">
        <f>SUM(T182,L182)</f>
        <v>0</v>
      </c>
      <c r="V182" s="249" t="b">
        <f>IF(T182&gt;0,T182/U182,)</f>
        <v>0</v>
      </c>
    </row>
    <row r="183" spans="1:22" customHeight="1" ht="18">
      <c r="A183" s="410" t="s">
        <v>131</v>
      </c>
      <c r="B183" s="411"/>
      <c r="C183" s="411"/>
      <c r="D183" s="411"/>
      <c r="E183" s="411"/>
      <c r="F183" s="411"/>
      <c r="G183" s="411"/>
      <c r="H183" s="411"/>
      <c r="I183" s="411"/>
      <c r="J183" s="411"/>
      <c r="K183" s="411"/>
      <c r="L183" s="411"/>
      <c r="M183" s="411"/>
      <c r="N183" s="411"/>
      <c r="O183" s="411"/>
      <c r="P183" s="411"/>
      <c r="Q183" s="411"/>
      <c r="R183" s="411"/>
      <c r="S183" s="411"/>
      <c r="T183" s="411"/>
      <c r="U183" s="411"/>
      <c r="V183" s="412"/>
    </row>
    <row r="184" spans="1:22">
      <c r="A184" s="269"/>
      <c r="B184" s="413"/>
      <c r="C184" s="413"/>
      <c r="D184" s="414"/>
      <c r="E184" s="256"/>
      <c r="F184" s="257"/>
      <c r="G184" s="257"/>
      <c r="H184" s="257"/>
      <c r="I184" s="257"/>
      <c r="J184" s="257"/>
      <c r="K184" s="258"/>
      <c r="L184" s="253">
        <f>SUM(E184:K184)</f>
        <v>0</v>
      </c>
      <c r="M184" s="233"/>
      <c r="N184" s="234"/>
      <c r="O184" s="234"/>
      <c r="P184" s="234"/>
      <c r="Q184" s="234"/>
      <c r="R184" s="234"/>
      <c r="S184" s="235"/>
      <c r="T184" s="253">
        <f>SUM(M184:S184)</f>
        <v>0</v>
      </c>
      <c r="U184" s="262">
        <f>SUM(T184,L184)</f>
        <v>0</v>
      </c>
      <c r="V184" s="263" t="b">
        <f>IF(T184&gt;0,T184/U184,)</f>
        <v>0</v>
      </c>
    </row>
    <row r="185" spans="1:22" customHeight="1" ht="15">
      <c r="A185" s="269"/>
      <c r="B185" s="408"/>
      <c r="C185" s="408"/>
      <c r="D185" s="409"/>
      <c r="E185" s="256"/>
      <c r="F185" s="257"/>
      <c r="G185" s="257"/>
      <c r="H185" s="257"/>
      <c r="I185" s="257"/>
      <c r="J185" s="257"/>
      <c r="K185" s="258"/>
      <c r="L185" s="226">
        <f>SUM(E185:K185)</f>
        <v>0</v>
      </c>
      <c r="M185" s="237"/>
      <c r="N185" s="238"/>
      <c r="O185" s="238"/>
      <c r="P185" s="238"/>
      <c r="Q185" s="238"/>
      <c r="R185" s="238"/>
      <c r="S185" s="239"/>
      <c r="T185" s="226">
        <f>SUM(M185:S185)</f>
        <v>0</v>
      </c>
      <c r="U185" s="236">
        <f>SUM(T185,L185)</f>
        <v>0</v>
      </c>
      <c r="V185" s="232" t="b">
        <f>IF(T185&gt;0,T185/U185,)</f>
        <v>0</v>
      </c>
    </row>
    <row r="186" spans="1:22" customHeight="1" ht="15">
      <c r="A186" s="241" t="s">
        <v>105</v>
      </c>
      <c r="B186" s="242"/>
      <c r="C186" s="242"/>
      <c r="D186" s="242"/>
      <c r="E186" s="243">
        <f>SUM(E184:E185)</f>
        <v>0</v>
      </c>
      <c r="F186" s="243">
        <f>SUM(F184:F185)</f>
        <v>0</v>
      </c>
      <c r="G186" s="244">
        <f>SUM(G184:G185)</f>
        <v>0</v>
      </c>
      <c r="H186" s="243">
        <f>SUM(H184:H185)</f>
        <v>0</v>
      </c>
      <c r="I186" s="243">
        <f>SUM(I184:I185)</f>
        <v>0</v>
      </c>
      <c r="J186" s="244">
        <f>SUM(H186:I186)</f>
        <v>0</v>
      </c>
      <c r="K186" s="244">
        <f>SUM(I186:J186)</f>
        <v>0</v>
      </c>
      <c r="L186" s="245">
        <f>SUM(E186:K186)</f>
        <v>0</v>
      </c>
      <c r="M186" s="246">
        <f>SUM(M184:M185)</f>
        <v>0</v>
      </c>
      <c r="N186" s="243">
        <f>SUM(N184:N185)</f>
        <v>0</v>
      </c>
      <c r="O186" s="243">
        <f>SUM(O184:O185)</f>
        <v>0</v>
      </c>
      <c r="P186" s="243">
        <f>SUM(P184:P185)</f>
        <v>0</v>
      </c>
      <c r="Q186" s="243">
        <f>SUM(Q184:Q185)</f>
        <v>0</v>
      </c>
      <c r="R186" s="243">
        <f>SUM(R184:R185)</f>
        <v>0</v>
      </c>
      <c r="S186" s="247">
        <f>SUM(S184:S185)</f>
        <v>0</v>
      </c>
      <c r="T186" s="245">
        <f>SUM(M186:S186)</f>
        <v>0</v>
      </c>
      <c r="U186" s="248">
        <f>SUM(T186,L186)</f>
        <v>0</v>
      </c>
      <c r="V186" s="249" t="b">
        <f>IF(T186&gt;0,T186/U186,)</f>
        <v>0</v>
      </c>
    </row>
    <row r="187" spans="1:22" customHeight="1" ht="18.5">
      <c r="A187" s="285" t="s">
        <v>120</v>
      </c>
      <c r="B187" s="309"/>
      <c r="C187" s="309"/>
      <c r="D187" s="310"/>
      <c r="E187" s="311">
        <f>SUM(E158,E162,E170,E174,E178,E182,E186)</f>
        <v>0</v>
      </c>
      <c r="F187" s="311">
        <f>SUM(F170,F162,F158,F174,F178,F186)</f>
        <v>0</v>
      </c>
      <c r="G187" s="311">
        <f>SUM(G158,G162,G166,G170,G174,G178,G182,G186)</f>
        <v>0</v>
      </c>
      <c r="H187" s="311">
        <f>SUM(H158,H162,H166,H170,H178,H182,H186)</f>
        <v>0</v>
      </c>
      <c r="I187" s="311">
        <f>SUM(I158,I162,I170,I166,I174,I178,I182,I186)</f>
        <v>0</v>
      </c>
      <c r="J187" s="311">
        <f>SUM(J158,J162,J166,J170,J178,J182,J186)</f>
        <v>0</v>
      </c>
      <c r="K187" s="311">
        <f>SUM(K158,K162,K166,K170,K178,K182,K186)</f>
        <v>0</v>
      </c>
      <c r="L187" s="245">
        <f>SUM(L158,L162,L166,L170,L174,L178,L182,L186)</f>
        <v>0</v>
      </c>
      <c r="M187" s="312">
        <f>SUM(M158,M162,M166,M170,M174,M178,M182,M186)</f>
        <v>0</v>
      </c>
      <c r="N187" s="312">
        <f>SUM(N158,N162,N166,N170,N174,N178,N182,N186)</f>
        <v>0</v>
      </c>
      <c r="O187" s="312">
        <f>SUM(O158,O162,O166,O170,O174,O178,O182,O186)</f>
        <v>0</v>
      </c>
      <c r="P187" s="312">
        <f>SUM(P158,P162,P166,P170,P174,P178,P182,P186)</f>
        <v>0</v>
      </c>
      <c r="Q187" s="312">
        <f>SUM(Q158,Q162,Q166,Q170,Q174,Q178,Q182,Q186)</f>
        <v>0</v>
      </c>
      <c r="R187" s="312">
        <f>SUM(R158,R162,R166,R170,R174,R178,R182,R186)</f>
        <v>0</v>
      </c>
      <c r="S187" s="312">
        <f>SUM(S158,S162,S166,S170,S174,S178,S182,S186)</f>
        <v>0</v>
      </c>
      <c r="T187" s="245">
        <f>SUM(T158,T162,T166,T170,T174,T178,T182,T186)</f>
        <v>0</v>
      </c>
      <c r="U187" s="248">
        <f>SUM(T187,L187)</f>
        <v>0</v>
      </c>
      <c r="V187" s="249" t="b">
        <f>IF(T187&gt;0,T187/U187,)</f>
        <v>0</v>
      </c>
    </row>
    <row r="188" spans="1:22">
      <c r="A188" s="58"/>
      <c r="B188" s="58"/>
      <c r="C188" s="58"/>
      <c r="D188" s="58"/>
      <c r="E188" s="58"/>
      <c r="F188" s="58"/>
      <c r="G188" s="58"/>
      <c r="H188" s="58"/>
      <c r="I188" s="58"/>
      <c r="J188" s="58"/>
      <c r="K188" s="58"/>
      <c r="L188" s="58"/>
      <c r="M188" s="58"/>
      <c r="N188" s="58"/>
      <c r="O188" s="58"/>
      <c r="P188" s="58"/>
      <c r="Q188" s="58"/>
      <c r="R188" s="58"/>
      <c r="S188" s="58"/>
      <c r="T188" s="58"/>
      <c r="U188" s="58"/>
      <c r="V188" s="58"/>
    </row>
    <row r="189" spans="1:22">
      <c r="A189" s="58"/>
      <c r="B189" s="58"/>
      <c r="C189" s="58"/>
      <c r="D189" s="58"/>
      <c r="E189" s="58"/>
      <c r="F189" s="58"/>
      <c r="G189" s="58"/>
      <c r="H189" s="58"/>
      <c r="I189" s="58"/>
      <c r="J189" s="58"/>
      <c r="K189" s="58"/>
      <c r="L189" s="58"/>
      <c r="M189" s="58"/>
      <c r="N189" s="58"/>
      <c r="O189" s="58"/>
      <c r="P189" s="58"/>
      <c r="Q189" s="58"/>
      <c r="R189" s="58"/>
      <c r="S189" s="58"/>
      <c r="T189" s="58"/>
      <c r="U189" s="58"/>
      <c r="V189" s="58"/>
    </row>
    <row r="190" spans="1:22">
      <c r="A190" s="58"/>
      <c r="B190" s="58"/>
      <c r="C190" s="58"/>
      <c r="D190" s="58"/>
      <c r="E190" s="58"/>
      <c r="F190" s="58"/>
      <c r="G190" s="58"/>
      <c r="H190" s="58"/>
      <c r="I190" s="58"/>
      <c r="J190" s="58"/>
      <c r="K190" s="58"/>
      <c r="L190" s="58"/>
      <c r="M190" s="58"/>
      <c r="N190" s="58"/>
      <c r="O190" s="58"/>
      <c r="P190" s="58"/>
      <c r="Q190" s="58"/>
      <c r="R190" s="58"/>
      <c r="S190" s="58"/>
      <c r="T190" s="58"/>
      <c r="U190" s="58"/>
      <c r="V190" s="58"/>
    </row>
    <row r="191" spans="1:22">
      <c r="A191" s="58"/>
      <c r="B191" s="58"/>
      <c r="C191" s="58"/>
      <c r="D191" s="58"/>
      <c r="E191" s="58"/>
      <c r="F191" s="58"/>
      <c r="G191" s="58"/>
      <c r="H191" s="58"/>
      <c r="I191" s="58"/>
      <c r="J191" s="58"/>
      <c r="K191" s="58"/>
      <c r="L191" s="58"/>
      <c r="M191" s="58"/>
      <c r="N191" s="58"/>
      <c r="O191" s="58"/>
      <c r="P191" s="58"/>
      <c r="Q191" s="58"/>
      <c r="R191" s="58"/>
      <c r="S191" s="58"/>
      <c r="T191" s="58"/>
      <c r="U191" s="58"/>
      <c r="V191" s="58"/>
    </row>
    <row r="192" spans="1:22">
      <c r="A192" s="58"/>
      <c r="B192" s="58"/>
      <c r="C192" s="58"/>
      <c r="D192" s="58"/>
      <c r="E192" s="58"/>
      <c r="F192" s="58"/>
      <c r="G192" s="58"/>
      <c r="H192" s="58"/>
      <c r="I192" s="58"/>
      <c r="J192" s="58"/>
      <c r="K192" s="58"/>
      <c r="L192" s="58"/>
      <c r="M192" s="58"/>
      <c r="N192" s="58"/>
      <c r="O192" s="58"/>
      <c r="P192" s="58"/>
      <c r="Q192" s="58"/>
      <c r="R192" s="58"/>
      <c r="S192" s="58"/>
      <c r="T192" s="58"/>
      <c r="U192" s="58"/>
      <c r="V192" s="58"/>
    </row>
    <row r="193" spans="1:22">
      <c r="A193" s="58"/>
      <c r="B193" s="58"/>
      <c r="C193" s="58"/>
      <c r="D193" s="58"/>
      <c r="E193" s="58"/>
      <c r="F193" s="58"/>
      <c r="G193" s="58"/>
      <c r="H193" s="58"/>
      <c r="I193" s="58"/>
      <c r="J193" s="58"/>
      <c r="K193" s="58"/>
      <c r="L193" s="58"/>
      <c r="M193" s="58"/>
      <c r="N193" s="58"/>
      <c r="O193" s="58"/>
      <c r="P193" s="58"/>
      <c r="Q193" s="58"/>
      <c r="R193" s="58"/>
      <c r="S193" s="58"/>
      <c r="T193" s="58"/>
      <c r="U193" s="58"/>
      <c r="V193" s="58"/>
    </row>
    <row r="194" spans="1:22">
      <c r="A194" s="58"/>
      <c r="B194" s="58"/>
      <c r="C194" s="58"/>
      <c r="D194" s="58"/>
      <c r="E194" s="58"/>
      <c r="F194" s="58"/>
      <c r="G194" s="58"/>
      <c r="H194" s="58"/>
      <c r="I194" s="58"/>
      <c r="J194" s="58"/>
      <c r="K194" s="58"/>
      <c r="L194" s="58"/>
      <c r="M194" s="58"/>
      <c r="N194" s="58"/>
      <c r="O194" s="58"/>
      <c r="P194" s="58"/>
      <c r="Q194" s="58"/>
      <c r="R194" s="58"/>
      <c r="S194" s="58"/>
      <c r="T194" s="58"/>
      <c r="U194" s="58"/>
      <c r="V194" s="58"/>
    </row>
    <row r="195" spans="1:22">
      <c r="A195" s="58"/>
      <c r="B195" s="58"/>
      <c r="C195" s="58"/>
      <c r="D195" s="58"/>
      <c r="E195" s="58"/>
      <c r="F195" s="58"/>
      <c r="G195" s="58"/>
      <c r="H195" s="58"/>
      <c r="I195" s="58"/>
      <c r="J195" s="58"/>
      <c r="K195" s="58"/>
      <c r="L195" s="58"/>
      <c r="M195" s="58"/>
      <c r="N195" s="58"/>
      <c r="O195" s="58"/>
      <c r="P195" s="58"/>
      <c r="Q195" s="58"/>
      <c r="R195" s="58"/>
      <c r="S195" s="58"/>
      <c r="T195" s="58"/>
      <c r="U195" s="58"/>
      <c r="V195" s="58"/>
    </row>
    <row r="196" spans="1:22">
      <c r="A196" s="58"/>
      <c r="B196" s="58"/>
      <c r="C196" s="58"/>
      <c r="D196" s="58"/>
      <c r="E196" s="58"/>
      <c r="F196" s="58"/>
      <c r="G196" s="58"/>
      <c r="H196" s="58"/>
      <c r="I196" s="58"/>
      <c r="J196" s="58"/>
      <c r="K196" s="58"/>
      <c r="L196" s="58"/>
      <c r="M196" s="58"/>
      <c r="N196" s="58"/>
      <c r="O196" s="58"/>
      <c r="P196" s="58"/>
      <c r="Q196" s="58"/>
      <c r="R196" s="58"/>
      <c r="S196" s="58"/>
      <c r="T196" s="58"/>
      <c r="U196" s="58"/>
      <c r="V196" s="58"/>
    </row>
    <row r="197" spans="1:22">
      <c r="A197" s="58"/>
      <c r="B197" s="58"/>
      <c r="C197" s="58"/>
      <c r="D197" s="58"/>
      <c r="E197" s="58"/>
      <c r="F197" s="58"/>
      <c r="G197" s="58"/>
      <c r="H197" s="58"/>
      <c r="I197" s="58"/>
      <c r="J197" s="58"/>
      <c r="K197" s="58"/>
      <c r="L197" s="58"/>
      <c r="M197" s="58"/>
      <c r="N197" s="58"/>
      <c r="O197" s="58"/>
      <c r="P197" s="58"/>
      <c r="Q197" s="58"/>
      <c r="R197" s="58"/>
      <c r="S197" s="58"/>
      <c r="T197" s="58"/>
      <c r="U197" s="58"/>
      <c r="V197" s="58"/>
    </row>
    <row r="198" spans="1:22">
      <c r="A198" s="58"/>
      <c r="B198" s="58"/>
      <c r="C198" s="58"/>
      <c r="D198" s="58"/>
      <c r="E198" s="58"/>
      <c r="F198" s="58"/>
      <c r="G198" s="58"/>
      <c r="H198" s="58"/>
      <c r="I198" s="58"/>
      <c r="J198" s="58"/>
      <c r="K198" s="58"/>
      <c r="L198" s="58"/>
      <c r="M198" s="58"/>
      <c r="N198" s="58"/>
      <c r="O198" s="58"/>
      <c r="P198" s="58"/>
      <c r="Q198" s="58"/>
      <c r="R198" s="58"/>
      <c r="S198" s="58"/>
      <c r="T198" s="58"/>
      <c r="U198" s="58"/>
      <c r="V198" s="58"/>
    </row>
    <row r="199" spans="1:22">
      <c r="A199" s="58"/>
      <c r="B199" s="58"/>
      <c r="C199" s="58"/>
      <c r="D199" s="58"/>
      <c r="E199" s="58"/>
      <c r="F199" s="58"/>
      <c r="G199" s="58"/>
      <c r="H199" s="58"/>
      <c r="I199" s="58"/>
      <c r="J199" s="58"/>
      <c r="K199" s="58"/>
      <c r="L199" s="58"/>
      <c r="M199" s="58"/>
      <c r="N199" s="58"/>
      <c r="O199" s="58"/>
      <c r="P199" s="58"/>
      <c r="Q199" s="58"/>
      <c r="R199" s="58"/>
      <c r="S199" s="58"/>
      <c r="T199" s="58"/>
      <c r="U199" s="58"/>
      <c r="V199" s="58"/>
    </row>
    <row r="200" spans="1:22">
      <c r="A200" s="58"/>
      <c r="B200" s="58"/>
      <c r="C200" s="58"/>
      <c r="D200" s="58"/>
      <c r="E200" s="58"/>
      <c r="F200" s="58"/>
      <c r="G200" s="58"/>
      <c r="H200" s="58"/>
      <c r="I200" s="58"/>
      <c r="J200" s="58"/>
      <c r="K200" s="58"/>
      <c r="L200" s="58"/>
      <c r="M200" s="58"/>
      <c r="N200" s="58"/>
      <c r="O200" s="58"/>
      <c r="P200" s="58"/>
      <c r="Q200" s="58"/>
      <c r="R200" s="58"/>
      <c r="S200" s="58"/>
      <c r="T200" s="58"/>
      <c r="U200" s="58"/>
      <c r="V200" s="58"/>
    </row>
    <row r="201" spans="1:22">
      <c r="A201" s="58"/>
      <c r="B201" s="58"/>
      <c r="C201" s="58"/>
      <c r="D201" s="58"/>
      <c r="E201" s="58"/>
      <c r="F201" s="58"/>
      <c r="G201" s="58"/>
      <c r="H201" s="58"/>
      <c r="I201" s="58"/>
      <c r="J201" s="58"/>
      <c r="K201" s="58"/>
      <c r="L201" s="58"/>
      <c r="M201" s="58"/>
      <c r="N201" s="58"/>
      <c r="O201" s="58"/>
      <c r="P201" s="58"/>
      <c r="Q201" s="58"/>
      <c r="R201" s="58"/>
      <c r="S201" s="58"/>
      <c r="T201" s="58"/>
      <c r="U201" s="58"/>
      <c r="V201" s="58"/>
    </row>
    <row r="202" spans="1:22">
      <c r="A202" s="58"/>
      <c r="B202" s="58"/>
      <c r="C202" s="58"/>
      <c r="D202" s="58"/>
      <c r="E202" s="58"/>
      <c r="F202" s="58"/>
      <c r="G202" s="58"/>
      <c r="H202" s="58"/>
      <c r="I202" s="58"/>
      <c r="J202" s="58"/>
      <c r="K202" s="58"/>
      <c r="L202" s="58"/>
      <c r="M202" s="58"/>
      <c r="N202" s="58"/>
      <c r="O202" s="58"/>
      <c r="P202" s="58"/>
      <c r="Q202" s="58"/>
      <c r="R202" s="58"/>
      <c r="S202" s="58"/>
      <c r="T202" s="58"/>
      <c r="U202" s="58"/>
      <c r="V202" s="58"/>
    </row>
    <row r="203" spans="1:22">
      <c r="A203" s="58"/>
      <c r="B203" s="58"/>
      <c r="C203" s="58"/>
      <c r="D203" s="58"/>
      <c r="E203" s="58"/>
      <c r="F203" s="58"/>
      <c r="G203" s="58"/>
      <c r="H203" s="58"/>
      <c r="I203" s="58"/>
      <c r="J203" s="58"/>
      <c r="K203" s="58"/>
      <c r="L203" s="58"/>
      <c r="M203" s="58"/>
      <c r="N203" s="58"/>
      <c r="O203" s="58"/>
      <c r="P203" s="58"/>
      <c r="Q203" s="58"/>
      <c r="R203" s="58"/>
      <c r="S203" s="58"/>
      <c r="T203" s="58"/>
      <c r="U203" s="58"/>
      <c r="V203" s="58"/>
    </row>
    <row r="204" spans="1:22">
      <c r="A204" s="58"/>
      <c r="B204" s="58"/>
      <c r="C204" s="58"/>
      <c r="D204" s="58"/>
      <c r="E204" s="58"/>
      <c r="F204" s="58"/>
      <c r="G204" s="58"/>
      <c r="H204" s="58"/>
      <c r="I204" s="58"/>
      <c r="J204" s="58"/>
      <c r="K204" s="58"/>
      <c r="L204" s="58"/>
      <c r="M204" s="58"/>
      <c r="N204" s="58"/>
      <c r="O204" s="58"/>
      <c r="P204" s="58"/>
      <c r="Q204" s="58"/>
      <c r="R204" s="58"/>
      <c r="S204" s="58"/>
      <c r="T204" s="58"/>
      <c r="U204" s="58"/>
      <c r="V204" s="58"/>
    </row>
    <row r="205" spans="1:22">
      <c r="A205" s="58"/>
      <c r="B205" s="58"/>
      <c r="C205" s="58"/>
      <c r="D205" s="58"/>
      <c r="E205" s="58"/>
      <c r="F205" s="58"/>
      <c r="G205" s="58"/>
      <c r="H205" s="58"/>
      <c r="I205" s="58"/>
      <c r="J205" s="58"/>
      <c r="K205" s="58"/>
      <c r="L205" s="58"/>
      <c r="M205" s="58"/>
      <c r="N205" s="58"/>
      <c r="O205" s="58"/>
      <c r="P205" s="58"/>
      <c r="Q205" s="58"/>
      <c r="R205" s="58"/>
      <c r="S205" s="58"/>
      <c r="T205" s="58"/>
      <c r="U205" s="58"/>
      <c r="V205" s="58"/>
    </row>
    <row r="206" spans="1:22">
      <c r="A206" s="58"/>
      <c r="B206" s="58"/>
      <c r="C206" s="58"/>
      <c r="D206" s="58"/>
      <c r="E206" s="58"/>
      <c r="F206" s="58"/>
      <c r="G206" s="58"/>
      <c r="H206" s="58"/>
      <c r="I206" s="58"/>
      <c r="J206" s="58"/>
      <c r="K206" s="58"/>
      <c r="L206" s="58"/>
      <c r="M206" s="58"/>
      <c r="N206" s="58"/>
      <c r="O206" s="58"/>
      <c r="P206" s="58"/>
      <c r="Q206" s="58"/>
      <c r="R206" s="58"/>
      <c r="S206" s="58"/>
      <c r="T206" s="58"/>
      <c r="U206" s="58"/>
      <c r="V206" s="58"/>
    </row>
    <row r="207" spans="1:22">
      <c r="A207" s="58"/>
      <c r="B207" s="58"/>
      <c r="C207" s="58"/>
      <c r="D207" s="58"/>
      <c r="E207" s="58"/>
      <c r="F207" s="58"/>
      <c r="G207" s="58"/>
      <c r="H207" s="58"/>
      <c r="I207" s="58"/>
      <c r="J207" s="58"/>
      <c r="K207" s="58"/>
      <c r="L207" s="58"/>
      <c r="M207" s="58"/>
      <c r="N207" s="58"/>
      <c r="O207" s="58"/>
      <c r="P207" s="58"/>
      <c r="Q207" s="58"/>
      <c r="R207" s="58"/>
      <c r="S207" s="58"/>
      <c r="T207" s="58"/>
      <c r="U207" s="58"/>
      <c r="V207" s="58"/>
    </row>
    <row r="208" spans="1:22">
      <c r="A208" s="58"/>
      <c r="B208" s="58"/>
      <c r="C208" s="58"/>
      <c r="D208" s="58"/>
      <c r="E208" s="58"/>
      <c r="F208" s="58"/>
      <c r="G208" s="58"/>
      <c r="H208" s="58"/>
      <c r="I208" s="58"/>
      <c r="J208" s="58"/>
      <c r="K208" s="58"/>
      <c r="L208" s="58"/>
      <c r="M208" s="58"/>
      <c r="N208" s="58"/>
      <c r="O208" s="58"/>
      <c r="P208" s="58"/>
      <c r="Q208" s="58"/>
      <c r="R208" s="58"/>
      <c r="S208" s="58"/>
      <c r="T208" s="58"/>
      <c r="U208" s="58"/>
      <c r="V208" s="58"/>
    </row>
    <row r="209" spans="1:22">
      <c r="A209" s="58"/>
      <c r="B209" s="58"/>
      <c r="C209" s="58"/>
      <c r="D209" s="58"/>
      <c r="E209" s="58"/>
      <c r="F209" s="58"/>
      <c r="G209" s="58"/>
      <c r="H209" s="58"/>
      <c r="I209" s="58"/>
      <c r="J209" s="58"/>
      <c r="K209" s="58"/>
      <c r="L209" s="58"/>
      <c r="M209" s="58"/>
      <c r="N209" s="58"/>
      <c r="O209" s="58"/>
      <c r="P209" s="58"/>
      <c r="Q209" s="58"/>
      <c r="R209" s="58"/>
      <c r="S209" s="58"/>
      <c r="T209" s="58"/>
      <c r="U209" s="58"/>
      <c r="V209" s="58"/>
    </row>
    <row r="210" spans="1:22">
      <c r="A210" s="58"/>
      <c r="B210" s="58"/>
      <c r="C210" s="58"/>
      <c r="D210" s="58"/>
      <c r="E210" s="58"/>
      <c r="F210" s="58"/>
      <c r="G210" s="58"/>
      <c r="H210" s="58"/>
      <c r="I210" s="58"/>
      <c r="J210" s="58"/>
      <c r="K210" s="58"/>
      <c r="L210" s="58"/>
      <c r="M210" s="58"/>
      <c r="N210" s="58"/>
      <c r="O210" s="58"/>
      <c r="P210" s="58"/>
      <c r="Q210" s="58"/>
      <c r="R210" s="58"/>
      <c r="S210" s="58"/>
      <c r="T210" s="58"/>
      <c r="U210" s="58"/>
      <c r="V210" s="58"/>
    </row>
    <row r="211" spans="1:22">
      <c r="A211" s="58"/>
      <c r="B211" s="58"/>
      <c r="C211" s="58"/>
      <c r="D211" s="58"/>
      <c r="E211" s="58"/>
      <c r="F211" s="58"/>
      <c r="G211" s="58"/>
      <c r="H211" s="58"/>
      <c r="I211" s="58"/>
      <c r="J211" s="58"/>
      <c r="K211" s="58"/>
      <c r="L211" s="58"/>
      <c r="M211" s="58"/>
      <c r="N211" s="58"/>
      <c r="O211" s="58"/>
      <c r="P211" s="58"/>
      <c r="Q211" s="58"/>
      <c r="R211" s="58"/>
      <c r="S211" s="58"/>
      <c r="T211" s="58"/>
      <c r="U211" s="58"/>
      <c r="V211" s="58"/>
    </row>
    <row r="212" spans="1:22">
      <c r="A212" s="58"/>
      <c r="B212" s="58"/>
      <c r="C212" s="58"/>
      <c r="D212" s="58"/>
      <c r="E212" s="58"/>
      <c r="F212" s="58"/>
      <c r="G212" s="58"/>
      <c r="H212" s="58"/>
      <c r="I212" s="58"/>
      <c r="J212" s="58"/>
      <c r="K212" s="58"/>
      <c r="L212" s="58"/>
      <c r="M212" s="58"/>
      <c r="N212" s="58"/>
      <c r="O212" s="58"/>
      <c r="P212" s="58"/>
      <c r="Q212" s="58"/>
      <c r="R212" s="58"/>
      <c r="S212" s="58"/>
      <c r="T212" s="58"/>
      <c r="U212" s="58"/>
      <c r="V212" s="58"/>
    </row>
    <row r="213" spans="1:22">
      <c r="A213" s="58"/>
      <c r="B213" s="58"/>
      <c r="C213" s="58"/>
      <c r="D213" s="58"/>
      <c r="E213" s="58"/>
      <c r="F213" s="58"/>
      <c r="G213" s="58"/>
      <c r="H213" s="58"/>
      <c r="I213" s="58"/>
      <c r="J213" s="58"/>
      <c r="K213" s="58"/>
      <c r="L213" s="58"/>
      <c r="M213" s="58"/>
      <c r="N213" s="58"/>
      <c r="O213" s="58"/>
      <c r="P213" s="58"/>
      <c r="Q213" s="58"/>
      <c r="R213" s="58"/>
      <c r="S213" s="58"/>
      <c r="T213" s="58"/>
      <c r="U213" s="58"/>
      <c r="V213" s="58"/>
    </row>
    <row r="214" spans="1:22">
      <c r="A214" s="58"/>
      <c r="B214" s="58"/>
      <c r="C214" s="58"/>
      <c r="D214" s="58"/>
      <c r="E214" s="58"/>
      <c r="F214" s="58"/>
      <c r="G214" s="58"/>
      <c r="H214" s="58"/>
      <c r="I214" s="58"/>
      <c r="J214" s="58"/>
      <c r="K214" s="58"/>
      <c r="L214" s="58"/>
      <c r="M214" s="58"/>
      <c r="N214" s="58"/>
      <c r="O214" s="58"/>
      <c r="P214" s="58"/>
      <c r="Q214" s="58"/>
      <c r="R214" s="58"/>
      <c r="S214" s="58"/>
      <c r="T214" s="58"/>
      <c r="U214" s="58"/>
      <c r="V214" s="58"/>
    </row>
    <row r="215" spans="1:22">
      <c r="A215" s="58"/>
      <c r="B215" s="58"/>
      <c r="C215" s="58"/>
      <c r="D215" s="58"/>
      <c r="E215" s="58"/>
      <c r="F215" s="58"/>
      <c r="G215" s="58"/>
      <c r="H215" s="58"/>
      <c r="I215" s="58"/>
      <c r="J215" s="58"/>
      <c r="K215" s="58"/>
      <c r="L215" s="58"/>
      <c r="M215" s="58"/>
      <c r="N215" s="58"/>
      <c r="O215" s="58"/>
      <c r="P215" s="58"/>
      <c r="Q215" s="58"/>
      <c r="R215" s="58"/>
      <c r="S215" s="58"/>
      <c r="T215" s="58"/>
      <c r="U215" s="58"/>
      <c r="V215" s="58"/>
    </row>
    <row r="216" spans="1:22">
      <c r="A216" s="58"/>
      <c r="B216" s="58"/>
      <c r="C216" s="58"/>
      <c r="D216" s="58"/>
      <c r="E216" s="58"/>
      <c r="F216" s="58"/>
      <c r="G216" s="58"/>
      <c r="H216" s="58"/>
      <c r="I216" s="58"/>
      <c r="J216" s="58"/>
      <c r="K216" s="58"/>
      <c r="L216" s="58"/>
      <c r="M216" s="58"/>
      <c r="N216" s="58"/>
      <c r="O216" s="58"/>
      <c r="P216" s="58"/>
      <c r="Q216" s="58"/>
      <c r="R216" s="58"/>
      <c r="S216" s="58"/>
      <c r="T216" s="58"/>
      <c r="U216" s="58"/>
      <c r="V216" s="58"/>
    </row>
    <row r="217" spans="1:22">
      <c r="A217" s="58"/>
      <c r="B217" s="58"/>
      <c r="C217" s="58"/>
      <c r="D217" s="58"/>
      <c r="E217" s="58"/>
      <c r="F217" s="58"/>
      <c r="G217" s="58"/>
      <c r="H217" s="58"/>
      <c r="I217" s="58"/>
      <c r="J217" s="58"/>
      <c r="K217" s="58"/>
      <c r="L217" s="58"/>
      <c r="M217" s="58"/>
      <c r="N217" s="58"/>
      <c r="O217" s="58"/>
      <c r="P217" s="58"/>
      <c r="Q217" s="58"/>
      <c r="R217" s="58"/>
      <c r="S217" s="58"/>
      <c r="T217" s="58"/>
      <c r="U217" s="58"/>
      <c r="V217" s="58"/>
    </row>
    <row r="218" spans="1:22">
      <c r="A218" s="58"/>
      <c r="B218" s="58"/>
      <c r="C218" s="58"/>
      <c r="D218" s="58"/>
      <c r="E218" s="58"/>
      <c r="F218" s="58"/>
      <c r="G218" s="58"/>
      <c r="H218" s="58"/>
      <c r="I218" s="58"/>
      <c r="J218" s="58"/>
      <c r="K218" s="58"/>
      <c r="L218" s="58"/>
      <c r="M218" s="58"/>
      <c r="N218" s="58"/>
      <c r="O218" s="58"/>
      <c r="P218" s="58"/>
      <c r="Q218" s="58"/>
      <c r="R218" s="58"/>
      <c r="S218" s="58"/>
      <c r="T218" s="58"/>
      <c r="U218" s="58"/>
      <c r="V218" s="58"/>
    </row>
    <row r="219" spans="1:22">
      <c r="A219" s="58"/>
      <c r="B219" s="58"/>
      <c r="C219" s="58"/>
      <c r="D219" s="58"/>
      <c r="E219" s="58"/>
      <c r="F219" s="58"/>
      <c r="G219" s="58"/>
      <c r="H219" s="58"/>
      <c r="I219" s="58"/>
      <c r="J219" s="58"/>
      <c r="K219" s="58"/>
      <c r="L219" s="58"/>
      <c r="M219" s="58"/>
      <c r="N219" s="58"/>
      <c r="O219" s="58"/>
      <c r="P219" s="58"/>
      <c r="Q219" s="58"/>
      <c r="R219" s="58"/>
      <c r="S219" s="58"/>
      <c r="T219" s="58"/>
      <c r="U219" s="58"/>
      <c r="V219" s="58"/>
    </row>
    <row r="220" spans="1:22">
      <c r="A220" s="58"/>
      <c r="B220" s="58"/>
      <c r="C220" s="58"/>
      <c r="D220" s="58"/>
      <c r="E220" s="58"/>
      <c r="F220" s="58"/>
      <c r="G220" s="58"/>
      <c r="H220" s="58"/>
      <c r="I220" s="58"/>
      <c r="J220" s="58"/>
      <c r="K220" s="58"/>
      <c r="L220" s="58"/>
      <c r="M220" s="58"/>
      <c r="N220" s="58"/>
      <c r="O220" s="58"/>
      <c r="P220" s="58"/>
      <c r="Q220" s="58"/>
      <c r="R220" s="58"/>
      <c r="S220" s="58"/>
      <c r="T220" s="58"/>
      <c r="U220" s="58"/>
      <c r="V220" s="58"/>
    </row>
    <row r="221" spans="1:22">
      <c r="A221" s="58"/>
      <c r="B221" s="58"/>
      <c r="C221" s="58"/>
      <c r="D221" s="58"/>
      <c r="E221" s="58"/>
      <c r="F221" s="58"/>
      <c r="G221" s="58"/>
      <c r="H221" s="58"/>
      <c r="I221" s="58"/>
      <c r="J221" s="58"/>
      <c r="K221" s="58"/>
      <c r="L221" s="58"/>
      <c r="M221" s="58"/>
      <c r="N221" s="58"/>
      <c r="O221" s="58"/>
      <c r="P221" s="58"/>
      <c r="Q221" s="58"/>
      <c r="R221" s="58"/>
      <c r="S221" s="58"/>
      <c r="T221" s="58"/>
      <c r="U221" s="58"/>
      <c r="V221" s="58"/>
    </row>
    <row r="222" spans="1:22">
      <c r="A222" s="58"/>
      <c r="B222" s="58"/>
      <c r="C222" s="58"/>
      <c r="D222" s="58"/>
      <c r="E222" s="58"/>
      <c r="F222" s="58"/>
      <c r="G222" s="58"/>
      <c r="H222" s="58"/>
      <c r="I222" s="58"/>
      <c r="J222" s="58"/>
      <c r="K222" s="58"/>
      <c r="L222" s="58"/>
      <c r="M222" s="58"/>
      <c r="N222" s="58"/>
      <c r="O222" s="58"/>
      <c r="P222" s="58"/>
      <c r="Q222" s="58"/>
      <c r="R222" s="58"/>
      <c r="S222" s="58"/>
      <c r="T222" s="58"/>
      <c r="U222" s="58"/>
      <c r="V222" s="58"/>
    </row>
    <row r="223" spans="1:22">
      <c r="A223" s="58"/>
      <c r="B223" s="58"/>
      <c r="C223" s="58"/>
      <c r="D223" s="58"/>
      <c r="E223" s="58"/>
      <c r="F223" s="58"/>
      <c r="G223" s="58"/>
      <c r="H223" s="58"/>
      <c r="I223" s="58"/>
      <c r="J223" s="58"/>
      <c r="K223" s="58"/>
      <c r="L223" s="58"/>
      <c r="M223" s="58"/>
      <c r="N223" s="58"/>
      <c r="O223" s="58"/>
      <c r="P223" s="58"/>
      <c r="Q223" s="58"/>
      <c r="R223" s="58"/>
      <c r="S223" s="58"/>
      <c r="T223" s="58"/>
      <c r="U223" s="58"/>
      <c r="V223" s="58"/>
    </row>
    <row r="224" spans="1:22">
      <c r="A224" s="58"/>
      <c r="B224" s="58"/>
      <c r="C224" s="58"/>
      <c r="D224" s="58"/>
      <c r="E224" s="58"/>
      <c r="F224" s="58"/>
      <c r="G224" s="58"/>
      <c r="H224" s="58"/>
      <c r="I224" s="58"/>
      <c r="J224" s="58"/>
      <c r="K224" s="58"/>
      <c r="L224" s="58"/>
      <c r="M224" s="58"/>
      <c r="N224" s="58"/>
      <c r="O224" s="58"/>
      <c r="P224" s="58"/>
      <c r="Q224" s="58"/>
      <c r="R224" s="58"/>
      <c r="S224" s="58"/>
      <c r="T224" s="58"/>
      <c r="U224" s="58"/>
      <c r="V224" s="58"/>
    </row>
    <row r="225" spans="1:22">
      <c r="A225" s="58"/>
      <c r="B225" s="58"/>
      <c r="C225" s="58"/>
      <c r="D225" s="58"/>
      <c r="E225" s="58"/>
      <c r="F225" s="58"/>
      <c r="G225" s="58"/>
      <c r="H225" s="58"/>
      <c r="I225" s="58"/>
      <c r="J225" s="58"/>
      <c r="K225" s="58"/>
      <c r="L225" s="58"/>
      <c r="M225" s="58"/>
      <c r="N225" s="58"/>
      <c r="O225" s="58"/>
      <c r="P225" s="58"/>
      <c r="Q225" s="58"/>
      <c r="R225" s="58"/>
      <c r="S225" s="58"/>
      <c r="T225" s="58"/>
      <c r="U225" s="58"/>
      <c r="V225" s="58"/>
    </row>
    <row r="226" spans="1:22">
      <c r="A226" s="58"/>
      <c r="B226" s="58"/>
      <c r="C226" s="58"/>
      <c r="D226" s="58"/>
      <c r="E226" s="58"/>
      <c r="F226" s="58"/>
      <c r="G226" s="58"/>
      <c r="H226" s="58"/>
      <c r="I226" s="58"/>
      <c r="J226" s="58"/>
      <c r="K226" s="58"/>
      <c r="L226" s="58"/>
      <c r="M226" s="58"/>
      <c r="N226" s="58"/>
      <c r="O226" s="58"/>
      <c r="P226" s="58"/>
      <c r="Q226" s="58"/>
      <c r="R226" s="58"/>
      <c r="S226" s="58"/>
      <c r="T226" s="58"/>
      <c r="U226" s="58"/>
      <c r="V226" s="58"/>
    </row>
    <row r="227" spans="1:22">
      <c r="A227" s="58"/>
      <c r="B227" s="58"/>
      <c r="C227" s="58"/>
      <c r="D227" s="58"/>
      <c r="E227" s="58"/>
      <c r="F227" s="58"/>
      <c r="G227" s="58"/>
      <c r="H227" s="58"/>
      <c r="I227" s="58"/>
      <c r="J227" s="58"/>
      <c r="K227" s="58"/>
      <c r="L227" s="58"/>
      <c r="M227" s="58"/>
      <c r="N227" s="58"/>
      <c r="O227" s="58"/>
      <c r="P227" s="58"/>
      <c r="Q227" s="58"/>
      <c r="R227" s="58"/>
      <c r="S227" s="58"/>
      <c r="T227" s="58"/>
      <c r="U227" s="58"/>
      <c r="V227" s="58"/>
    </row>
    <row r="228" spans="1:22">
      <c r="A228" s="58"/>
      <c r="B228" s="58"/>
      <c r="C228" s="58"/>
      <c r="D228" s="58"/>
      <c r="E228" s="58"/>
      <c r="F228" s="58"/>
      <c r="G228" s="58"/>
      <c r="H228" s="58"/>
      <c r="I228" s="58"/>
      <c r="J228" s="58"/>
      <c r="K228" s="58"/>
      <c r="L228" s="58"/>
      <c r="M228" s="58"/>
      <c r="N228" s="58"/>
      <c r="O228" s="58"/>
      <c r="P228" s="58"/>
      <c r="Q228" s="58"/>
      <c r="R228" s="58"/>
      <c r="S228" s="58"/>
      <c r="T228" s="58"/>
      <c r="U228" s="58"/>
      <c r="V228" s="58"/>
    </row>
    <row r="229" spans="1:22">
      <c r="A229" s="58"/>
      <c r="B229" s="58"/>
      <c r="C229" s="58"/>
      <c r="D229" s="58"/>
      <c r="E229" s="58"/>
      <c r="F229" s="58"/>
      <c r="G229" s="58"/>
      <c r="H229" s="58"/>
      <c r="I229" s="58"/>
      <c r="J229" s="58"/>
      <c r="K229" s="58"/>
      <c r="L229" s="58"/>
      <c r="M229" s="58"/>
      <c r="N229" s="58"/>
      <c r="O229" s="58"/>
      <c r="P229" s="58"/>
      <c r="Q229" s="58"/>
      <c r="R229" s="58"/>
      <c r="S229" s="58"/>
      <c r="T229" s="58"/>
      <c r="U229" s="58"/>
      <c r="V229" s="58"/>
    </row>
    <row r="230" spans="1:22">
      <c r="A230" s="58"/>
      <c r="B230" s="58"/>
      <c r="C230" s="58"/>
      <c r="D230" s="58"/>
      <c r="E230" s="58"/>
      <c r="F230" s="58"/>
      <c r="G230" s="58"/>
      <c r="H230" s="58"/>
      <c r="I230" s="58"/>
      <c r="J230" s="58"/>
      <c r="K230" s="58"/>
      <c r="L230" s="58"/>
      <c r="M230" s="58"/>
      <c r="N230" s="58"/>
      <c r="O230" s="58"/>
      <c r="P230" s="58"/>
      <c r="Q230" s="58"/>
      <c r="R230" s="58"/>
      <c r="S230" s="58"/>
      <c r="T230" s="58"/>
      <c r="U230" s="58"/>
      <c r="V230" s="58"/>
    </row>
    <row r="231" spans="1:22">
      <c r="A231" s="58"/>
      <c r="B231" s="58"/>
      <c r="C231" s="58"/>
      <c r="D231" s="58"/>
      <c r="E231" s="58"/>
      <c r="F231" s="58"/>
      <c r="G231" s="58"/>
      <c r="H231" s="58"/>
      <c r="I231" s="58"/>
      <c r="J231" s="58"/>
      <c r="K231" s="58"/>
      <c r="L231" s="58"/>
      <c r="M231" s="58"/>
      <c r="N231" s="58"/>
      <c r="O231" s="58"/>
      <c r="P231" s="58"/>
      <c r="Q231" s="58"/>
      <c r="R231" s="58"/>
      <c r="S231" s="58"/>
      <c r="T231" s="58"/>
      <c r="U231" s="58"/>
      <c r="V231" s="58"/>
    </row>
    <row r="232" spans="1:22">
      <c r="A232" s="58"/>
      <c r="B232" s="58"/>
      <c r="C232" s="58"/>
      <c r="D232" s="58"/>
      <c r="E232" s="58"/>
      <c r="F232" s="58"/>
      <c r="G232" s="58"/>
      <c r="H232" s="58"/>
      <c r="I232" s="58"/>
      <c r="J232" s="58"/>
      <c r="K232" s="58"/>
      <c r="L232" s="58"/>
      <c r="M232" s="58"/>
      <c r="N232" s="58"/>
      <c r="O232" s="58"/>
      <c r="P232" s="58"/>
      <c r="Q232" s="58"/>
      <c r="R232" s="58"/>
      <c r="S232" s="58"/>
      <c r="T232" s="58"/>
      <c r="U232" s="58"/>
      <c r="V232" s="58"/>
    </row>
    <row r="233" spans="1:22">
      <c r="A233" s="58"/>
      <c r="B233" s="58"/>
      <c r="C233" s="58"/>
      <c r="D233" s="58"/>
      <c r="E233" s="58"/>
      <c r="F233" s="58"/>
      <c r="G233" s="58"/>
      <c r="H233" s="58"/>
      <c r="I233" s="58"/>
      <c r="J233" s="58"/>
      <c r="K233" s="58"/>
      <c r="L233" s="58"/>
      <c r="M233" s="58"/>
      <c r="N233" s="58"/>
      <c r="O233" s="58"/>
      <c r="P233" s="58"/>
      <c r="Q233" s="58"/>
      <c r="R233" s="58"/>
      <c r="S233" s="58"/>
      <c r="T233" s="58"/>
      <c r="U233" s="58"/>
      <c r="V233" s="58"/>
    </row>
    <row r="234" spans="1:22">
      <c r="A234" s="58"/>
      <c r="B234" s="58"/>
      <c r="C234" s="58"/>
      <c r="D234" s="58"/>
      <c r="E234" s="58"/>
      <c r="F234" s="58"/>
      <c r="G234" s="58"/>
      <c r="H234" s="58"/>
      <c r="I234" s="58"/>
      <c r="J234" s="58"/>
      <c r="K234" s="58"/>
      <c r="L234" s="58"/>
      <c r="M234" s="58"/>
      <c r="N234" s="58"/>
      <c r="O234" s="58"/>
      <c r="P234" s="58"/>
      <c r="Q234" s="58"/>
      <c r="R234" s="58"/>
      <c r="S234" s="58"/>
      <c r="T234" s="58"/>
      <c r="U234" s="58"/>
      <c r="V234" s="58"/>
    </row>
    <row r="235" spans="1:22">
      <c r="A235" s="58"/>
      <c r="B235" s="58"/>
      <c r="C235" s="58"/>
      <c r="D235" s="58"/>
      <c r="E235" s="58"/>
      <c r="F235" s="58"/>
      <c r="G235" s="58"/>
      <c r="H235" s="58"/>
      <c r="I235" s="58"/>
      <c r="J235" s="58"/>
      <c r="K235" s="58"/>
      <c r="L235" s="58"/>
      <c r="M235" s="58"/>
      <c r="N235" s="58"/>
      <c r="O235" s="58"/>
      <c r="P235" s="58"/>
      <c r="Q235" s="58"/>
      <c r="R235" s="58"/>
      <c r="S235" s="58"/>
      <c r="T235" s="58"/>
      <c r="U235" s="58"/>
      <c r="V235" s="58"/>
    </row>
    <row r="236" spans="1:22">
      <c r="A236" s="58"/>
      <c r="B236" s="58"/>
      <c r="C236" s="58"/>
      <c r="D236" s="58"/>
      <c r="E236" s="58"/>
      <c r="F236" s="58"/>
      <c r="G236" s="58"/>
      <c r="H236" s="58"/>
      <c r="I236" s="58"/>
      <c r="J236" s="58"/>
      <c r="K236" s="58"/>
      <c r="L236" s="58"/>
      <c r="M236" s="58"/>
      <c r="N236" s="58"/>
      <c r="O236" s="58"/>
      <c r="P236" s="58"/>
      <c r="Q236" s="58"/>
      <c r="R236" s="58"/>
      <c r="S236" s="58"/>
      <c r="T236" s="58"/>
      <c r="U236" s="58"/>
      <c r="V236" s="58"/>
    </row>
    <row r="237" spans="1:22">
      <c r="A237" s="58"/>
      <c r="B237" s="58"/>
      <c r="C237" s="58"/>
      <c r="D237" s="58"/>
      <c r="E237" s="58"/>
      <c r="F237" s="58"/>
      <c r="G237" s="58"/>
      <c r="H237" s="58"/>
      <c r="I237" s="58"/>
      <c r="J237" s="58"/>
      <c r="K237" s="58"/>
      <c r="L237" s="58"/>
      <c r="M237" s="58"/>
      <c r="N237" s="58"/>
      <c r="O237" s="58"/>
      <c r="P237" s="58"/>
      <c r="Q237" s="58"/>
      <c r="R237" s="58"/>
      <c r="S237" s="58"/>
      <c r="T237" s="58"/>
      <c r="U237" s="58"/>
      <c r="V237" s="58"/>
    </row>
    <row r="238" spans="1:22">
      <c r="A238" s="58"/>
      <c r="B238" s="58"/>
      <c r="C238" s="58"/>
      <c r="D238" s="58"/>
      <c r="E238" s="58"/>
      <c r="F238" s="58"/>
      <c r="G238" s="58"/>
      <c r="H238" s="58"/>
      <c r="I238" s="58"/>
      <c r="J238" s="58"/>
      <c r="K238" s="58"/>
      <c r="L238" s="58"/>
      <c r="M238" s="58"/>
      <c r="N238" s="58"/>
      <c r="O238" s="58"/>
      <c r="P238" s="58"/>
      <c r="Q238" s="58"/>
      <c r="R238" s="58"/>
      <c r="S238" s="58"/>
      <c r="T238" s="58"/>
      <c r="U238" s="58"/>
      <c r="V238" s="58"/>
    </row>
    <row r="239" spans="1:22">
      <c r="A239" s="58"/>
      <c r="B239" s="58"/>
      <c r="C239" s="58"/>
      <c r="D239" s="58"/>
      <c r="E239" s="58"/>
      <c r="F239" s="58"/>
      <c r="G239" s="58"/>
      <c r="H239" s="58"/>
      <c r="I239" s="58"/>
      <c r="J239" s="58"/>
      <c r="K239" s="58"/>
      <c r="L239" s="58"/>
      <c r="M239" s="58"/>
      <c r="N239" s="58"/>
      <c r="O239" s="58"/>
      <c r="P239" s="58"/>
      <c r="Q239" s="58"/>
      <c r="R239" s="58"/>
      <c r="S239" s="58"/>
      <c r="T239" s="58"/>
      <c r="U239" s="58"/>
      <c r="V239" s="58"/>
    </row>
    <row r="240" spans="1:22">
      <c r="A240" s="58"/>
      <c r="B240" s="58"/>
      <c r="C240" s="58"/>
      <c r="D240" s="58"/>
      <c r="E240" s="58"/>
      <c r="F240" s="58"/>
      <c r="G240" s="58"/>
      <c r="H240" s="58"/>
      <c r="I240" s="58"/>
      <c r="J240" s="58"/>
      <c r="K240" s="58"/>
      <c r="L240" s="58"/>
      <c r="M240" s="58"/>
      <c r="N240" s="58"/>
      <c r="O240" s="58"/>
      <c r="P240" s="58"/>
      <c r="Q240" s="58"/>
      <c r="R240" s="58"/>
      <c r="S240" s="58"/>
      <c r="T240" s="58"/>
      <c r="U240" s="58"/>
      <c r="V240" s="58"/>
    </row>
    <row r="241" spans="1:22">
      <c r="A241" s="58"/>
      <c r="B241" s="58"/>
      <c r="C241" s="58"/>
      <c r="D241" s="58"/>
      <c r="E241" s="58"/>
      <c r="F241" s="58"/>
      <c r="G241" s="58"/>
      <c r="H241" s="58"/>
      <c r="I241" s="58"/>
      <c r="J241" s="58"/>
      <c r="K241" s="58"/>
      <c r="L241" s="58"/>
      <c r="M241" s="58"/>
      <c r="N241" s="58"/>
      <c r="O241" s="58"/>
      <c r="P241" s="58"/>
      <c r="Q241" s="58"/>
      <c r="R241" s="58"/>
      <c r="S241" s="58"/>
      <c r="T241" s="58"/>
      <c r="U241" s="58"/>
      <c r="V241" s="58"/>
    </row>
    <row r="242" spans="1:22">
      <c r="A242" s="58"/>
      <c r="B242" s="58"/>
      <c r="C242" s="58"/>
      <c r="D242" s="58"/>
      <c r="E242" s="58"/>
      <c r="F242" s="58"/>
      <c r="G242" s="58"/>
      <c r="H242" s="58"/>
      <c r="I242" s="58"/>
      <c r="J242" s="58"/>
      <c r="K242" s="58"/>
      <c r="L242" s="58"/>
      <c r="M242" s="58"/>
      <c r="N242" s="58"/>
      <c r="O242" s="58"/>
      <c r="P242" s="58"/>
      <c r="Q242" s="58"/>
      <c r="R242" s="58"/>
      <c r="S242" s="58"/>
      <c r="T242" s="58"/>
      <c r="U242" s="58"/>
      <c r="V242" s="58"/>
    </row>
    <row r="243" spans="1:22">
      <c r="A243" s="58"/>
      <c r="B243" s="58"/>
      <c r="C243" s="58"/>
      <c r="D243" s="58"/>
      <c r="E243" s="58"/>
      <c r="F243" s="58"/>
      <c r="G243" s="58"/>
      <c r="H243" s="58"/>
      <c r="I243" s="58"/>
      <c r="J243" s="58"/>
      <c r="K243" s="58"/>
      <c r="L243" s="58"/>
      <c r="M243" s="58"/>
      <c r="N243" s="58"/>
      <c r="O243" s="58"/>
      <c r="P243" s="58"/>
      <c r="Q243" s="58"/>
      <c r="R243" s="58"/>
      <c r="S243" s="58"/>
      <c r="T243" s="58"/>
      <c r="U243" s="58"/>
      <c r="V243" s="58"/>
    </row>
    <row r="244" spans="1:22">
      <c r="A244" s="58"/>
      <c r="B244" s="58"/>
      <c r="C244" s="58"/>
      <c r="D244" s="58"/>
      <c r="E244" s="58"/>
      <c r="F244" s="58"/>
      <c r="G244" s="58"/>
      <c r="H244" s="58"/>
      <c r="I244" s="58"/>
      <c r="J244" s="58"/>
      <c r="K244" s="58"/>
      <c r="L244" s="58"/>
      <c r="M244" s="58"/>
      <c r="N244" s="58"/>
      <c r="O244" s="58"/>
      <c r="P244" s="58"/>
      <c r="Q244" s="58"/>
      <c r="R244" s="58"/>
      <c r="S244" s="58"/>
      <c r="T244" s="58"/>
      <c r="U244" s="58"/>
      <c r="V244" s="58"/>
    </row>
    <row r="245" spans="1:22">
      <c r="A245" s="58"/>
      <c r="B245" s="58"/>
      <c r="C245" s="58"/>
      <c r="D245" s="58"/>
      <c r="E245" s="58"/>
      <c r="F245" s="58"/>
      <c r="G245" s="58"/>
      <c r="H245" s="58"/>
      <c r="I245" s="58"/>
      <c r="J245" s="58"/>
      <c r="K245" s="58"/>
      <c r="L245" s="58"/>
      <c r="M245" s="58"/>
      <c r="N245" s="58"/>
      <c r="O245" s="58"/>
      <c r="P245" s="58"/>
      <c r="Q245" s="58"/>
      <c r="R245" s="58"/>
      <c r="S245" s="58"/>
      <c r="T245" s="58"/>
      <c r="U245" s="58"/>
      <c r="V245" s="58"/>
    </row>
    <row r="246" spans="1:22">
      <c r="A246" s="58"/>
      <c r="B246" s="58"/>
      <c r="C246" s="58"/>
      <c r="D246" s="58"/>
      <c r="E246" s="58"/>
      <c r="F246" s="58"/>
      <c r="G246" s="58"/>
      <c r="H246" s="58"/>
      <c r="I246" s="58"/>
      <c r="J246" s="58"/>
      <c r="K246" s="58"/>
      <c r="L246" s="58"/>
      <c r="M246" s="58"/>
      <c r="N246" s="58"/>
      <c r="O246" s="58"/>
      <c r="P246" s="58"/>
      <c r="Q246" s="58"/>
      <c r="R246" s="58"/>
      <c r="S246" s="58"/>
      <c r="T246" s="58"/>
      <c r="U246" s="58"/>
      <c r="V246" s="58"/>
    </row>
    <row r="247" spans="1:22">
      <c r="A247" s="58"/>
      <c r="B247" s="58"/>
      <c r="C247" s="58"/>
      <c r="D247" s="58"/>
      <c r="E247" s="58"/>
      <c r="F247" s="58"/>
      <c r="G247" s="58"/>
      <c r="H247" s="58"/>
      <c r="I247" s="58"/>
      <c r="J247" s="58"/>
      <c r="K247" s="58"/>
      <c r="L247" s="58"/>
      <c r="M247" s="58"/>
      <c r="N247" s="58"/>
      <c r="O247" s="58"/>
      <c r="P247" s="58"/>
      <c r="Q247" s="58"/>
      <c r="R247" s="58"/>
      <c r="S247" s="58"/>
      <c r="T247" s="58"/>
      <c r="U247" s="58"/>
      <c r="V247" s="58"/>
    </row>
    <row r="248" spans="1:22">
      <c r="A248" s="58"/>
      <c r="B248" s="58"/>
      <c r="C248" s="58"/>
      <c r="D248" s="58"/>
      <c r="E248" s="58"/>
      <c r="F248" s="58"/>
      <c r="G248" s="58"/>
      <c r="H248" s="58"/>
      <c r="I248" s="58"/>
      <c r="J248" s="58"/>
      <c r="K248" s="58"/>
      <c r="L248" s="58"/>
      <c r="M248" s="58"/>
      <c r="N248" s="58"/>
      <c r="O248" s="58"/>
      <c r="P248" s="58"/>
      <c r="Q248" s="58"/>
      <c r="R248" s="58"/>
      <c r="S248" s="58"/>
      <c r="T248" s="58"/>
      <c r="U248" s="58"/>
      <c r="V248" s="58"/>
    </row>
    <row r="249" spans="1:22">
      <c r="A249" s="58"/>
      <c r="B249" s="58"/>
      <c r="C249" s="58"/>
      <c r="D249" s="58"/>
      <c r="E249" s="58"/>
      <c r="F249" s="58"/>
      <c r="G249" s="58"/>
      <c r="H249" s="58"/>
      <c r="I249" s="58"/>
      <c r="J249" s="58"/>
      <c r="K249" s="58"/>
      <c r="L249" s="58"/>
      <c r="M249" s="58"/>
      <c r="N249" s="58"/>
      <c r="O249" s="58"/>
      <c r="P249" s="58"/>
      <c r="Q249" s="58"/>
      <c r="R249" s="58"/>
      <c r="S249" s="58"/>
      <c r="T249" s="58"/>
      <c r="U249" s="58"/>
      <c r="V249" s="58"/>
    </row>
    <row r="250" spans="1:22">
      <c r="A250" s="58"/>
      <c r="B250" s="58"/>
      <c r="C250" s="58"/>
      <c r="D250" s="58"/>
      <c r="E250" s="58"/>
      <c r="F250" s="58"/>
      <c r="G250" s="58"/>
      <c r="H250" s="58"/>
      <c r="I250" s="58"/>
      <c r="J250" s="58"/>
      <c r="K250" s="58"/>
      <c r="L250" s="58"/>
      <c r="M250" s="58"/>
      <c r="N250" s="58"/>
      <c r="O250" s="58"/>
      <c r="P250" s="58"/>
      <c r="Q250" s="58"/>
      <c r="R250" s="58"/>
      <c r="S250" s="58"/>
      <c r="T250" s="58"/>
      <c r="U250" s="58"/>
      <c r="V250" s="58"/>
    </row>
    <row r="251" spans="1:22">
      <c r="A251" s="58"/>
      <c r="B251" s="58"/>
      <c r="C251" s="58"/>
      <c r="D251" s="58"/>
      <c r="E251" s="58"/>
      <c r="F251" s="58"/>
      <c r="G251" s="58"/>
      <c r="H251" s="58"/>
      <c r="I251" s="58"/>
      <c r="J251" s="58"/>
      <c r="K251" s="58"/>
      <c r="L251" s="58"/>
      <c r="M251" s="58"/>
      <c r="N251" s="58"/>
      <c r="O251" s="58"/>
      <c r="P251" s="58"/>
      <c r="Q251" s="58"/>
      <c r="R251" s="58"/>
      <c r="S251" s="58"/>
      <c r="T251" s="58"/>
      <c r="U251" s="58"/>
      <c r="V251" s="58"/>
    </row>
    <row r="252" spans="1:22">
      <c r="A252" s="58"/>
      <c r="B252" s="58"/>
      <c r="C252" s="58"/>
      <c r="D252" s="58"/>
      <c r="E252" s="58"/>
      <c r="F252" s="58"/>
      <c r="G252" s="58"/>
      <c r="H252" s="58"/>
      <c r="I252" s="58"/>
      <c r="J252" s="58"/>
      <c r="K252" s="58"/>
      <c r="L252" s="58"/>
      <c r="M252" s="58"/>
      <c r="N252" s="58"/>
      <c r="O252" s="58"/>
      <c r="P252" s="58"/>
      <c r="Q252" s="58"/>
      <c r="R252" s="58"/>
      <c r="S252" s="58"/>
      <c r="T252" s="58"/>
      <c r="U252" s="58"/>
      <c r="V252" s="58"/>
    </row>
    <row r="253" spans="1:22">
      <c r="A253" s="58"/>
      <c r="B253" s="58"/>
      <c r="C253" s="58"/>
      <c r="D253" s="58"/>
      <c r="E253" s="58"/>
      <c r="F253" s="58"/>
      <c r="G253" s="58"/>
      <c r="H253" s="58"/>
      <c r="I253" s="58"/>
      <c r="J253" s="58"/>
      <c r="K253" s="58"/>
      <c r="L253" s="58"/>
      <c r="M253" s="58"/>
      <c r="N253" s="58"/>
      <c r="O253" s="58"/>
      <c r="P253" s="58"/>
      <c r="Q253" s="58"/>
      <c r="R253" s="58"/>
      <c r="S253" s="58"/>
      <c r="T253" s="58"/>
      <c r="U253" s="58"/>
      <c r="V253" s="58"/>
    </row>
    <row r="254" spans="1:22">
      <c r="A254" s="58"/>
      <c r="B254" s="58"/>
      <c r="C254" s="58"/>
      <c r="D254" s="58"/>
      <c r="E254" s="58"/>
      <c r="F254" s="58"/>
      <c r="G254" s="58"/>
      <c r="H254" s="58"/>
      <c r="I254" s="58"/>
      <c r="J254" s="58"/>
      <c r="K254" s="58"/>
      <c r="L254" s="58"/>
      <c r="M254" s="58"/>
      <c r="N254" s="58"/>
      <c r="O254" s="58"/>
      <c r="P254" s="58"/>
      <c r="Q254" s="58"/>
      <c r="R254" s="58"/>
      <c r="S254" s="58"/>
      <c r="T254" s="58"/>
      <c r="U254" s="58"/>
      <c r="V254" s="58"/>
    </row>
    <row r="255" spans="1:22">
      <c r="A255" s="58"/>
      <c r="B255" s="58"/>
      <c r="C255" s="58"/>
      <c r="D255" s="58"/>
      <c r="E255" s="58"/>
      <c r="F255" s="58"/>
      <c r="G255" s="58"/>
      <c r="H255" s="58"/>
      <c r="I255" s="58"/>
      <c r="J255" s="58"/>
      <c r="K255" s="58"/>
      <c r="L255" s="58"/>
      <c r="M255" s="58"/>
      <c r="N255" s="58"/>
      <c r="O255" s="58"/>
      <c r="P255" s="58"/>
      <c r="Q255" s="58"/>
      <c r="R255" s="58"/>
      <c r="S255" s="58"/>
      <c r="T255" s="58"/>
      <c r="U255" s="58"/>
      <c r="V255" s="58"/>
    </row>
    <row r="256" spans="1:22">
      <c r="A256" s="58"/>
      <c r="B256" s="58"/>
      <c r="C256" s="58"/>
      <c r="D256" s="58"/>
      <c r="E256" s="58"/>
      <c r="F256" s="58"/>
      <c r="G256" s="58"/>
      <c r="H256" s="58"/>
      <c r="I256" s="58"/>
      <c r="J256" s="58"/>
      <c r="K256" s="58"/>
      <c r="L256" s="58"/>
      <c r="M256" s="58"/>
      <c r="N256" s="58"/>
      <c r="O256" s="58"/>
      <c r="P256" s="58"/>
      <c r="Q256" s="58"/>
      <c r="R256" s="58"/>
      <c r="S256" s="58"/>
      <c r="T256" s="58"/>
      <c r="U256" s="58"/>
      <c r="V256" s="58"/>
    </row>
    <row r="257" spans="1:22">
      <c r="A257" s="58"/>
      <c r="B257" s="58"/>
      <c r="C257" s="58"/>
      <c r="D257" s="58"/>
      <c r="E257" s="58"/>
      <c r="F257" s="58"/>
      <c r="G257" s="58"/>
      <c r="H257" s="58"/>
      <c r="I257" s="58"/>
      <c r="J257" s="58"/>
      <c r="K257" s="58"/>
      <c r="L257" s="58"/>
      <c r="M257" s="58"/>
      <c r="N257" s="58"/>
      <c r="O257" s="58"/>
      <c r="P257" s="58"/>
      <c r="Q257" s="58"/>
      <c r="R257" s="58"/>
      <c r="S257" s="58"/>
      <c r="T257" s="58"/>
      <c r="U257" s="58"/>
      <c r="V257" s="58"/>
    </row>
    <row r="258" spans="1:22">
      <c r="A258" s="58"/>
      <c r="B258" s="58"/>
      <c r="C258" s="58"/>
      <c r="D258" s="58"/>
      <c r="E258" s="58"/>
      <c r="F258" s="58"/>
      <c r="G258" s="58"/>
      <c r="H258" s="58"/>
      <c r="I258" s="58"/>
      <c r="J258" s="58"/>
      <c r="K258" s="58"/>
      <c r="L258" s="58"/>
      <c r="M258" s="58"/>
      <c r="N258" s="58"/>
      <c r="O258" s="58"/>
      <c r="P258" s="58"/>
      <c r="Q258" s="58"/>
      <c r="R258" s="58"/>
      <c r="S258" s="58"/>
      <c r="T258" s="58"/>
      <c r="U258" s="58"/>
      <c r="V258" s="58"/>
    </row>
    <row r="259" spans="1:22">
      <c r="A259" s="58"/>
      <c r="B259" s="58"/>
      <c r="C259" s="58"/>
      <c r="D259" s="58"/>
      <c r="E259" s="58"/>
      <c r="F259" s="58"/>
      <c r="G259" s="58"/>
      <c r="H259" s="58"/>
      <c r="I259" s="58"/>
      <c r="J259" s="58"/>
      <c r="K259" s="58"/>
      <c r="L259" s="58"/>
      <c r="M259" s="58"/>
      <c r="N259" s="58"/>
      <c r="O259" s="58"/>
      <c r="P259" s="58"/>
      <c r="Q259" s="58"/>
      <c r="R259" s="58"/>
      <c r="S259" s="58"/>
      <c r="T259" s="58"/>
      <c r="U259" s="58"/>
      <c r="V259" s="58"/>
    </row>
    <row r="260" spans="1:22">
      <c r="A260" s="58"/>
      <c r="B260" s="58"/>
      <c r="C260" s="58"/>
      <c r="D260" s="58"/>
      <c r="E260" s="58"/>
      <c r="F260" s="58"/>
      <c r="G260" s="58"/>
      <c r="H260" s="58"/>
      <c r="I260" s="58"/>
      <c r="J260" s="58"/>
      <c r="K260" s="58"/>
      <c r="L260" s="58"/>
      <c r="M260" s="58"/>
      <c r="N260" s="58"/>
      <c r="O260" s="58"/>
      <c r="P260" s="58"/>
      <c r="Q260" s="58"/>
      <c r="R260" s="58"/>
      <c r="S260" s="58"/>
      <c r="T260" s="58"/>
      <c r="U260" s="58"/>
      <c r="V260" s="58"/>
    </row>
    <row r="261" spans="1:22">
      <c r="A261" s="58"/>
      <c r="B261" s="58"/>
      <c r="C261" s="58"/>
      <c r="D261" s="58"/>
      <c r="E261" s="58"/>
      <c r="F261" s="58"/>
      <c r="G261" s="58"/>
      <c r="H261" s="58"/>
      <c r="I261" s="58"/>
      <c r="J261" s="58"/>
      <c r="K261" s="58"/>
      <c r="L261" s="58"/>
      <c r="M261" s="58"/>
      <c r="N261" s="58"/>
      <c r="O261" s="58"/>
      <c r="P261" s="58"/>
      <c r="Q261" s="58"/>
      <c r="R261" s="58"/>
      <c r="S261" s="58"/>
      <c r="T261" s="58"/>
      <c r="U261" s="58"/>
      <c r="V261" s="58"/>
    </row>
    <row r="262" spans="1:22">
      <c r="A262" s="58"/>
      <c r="B262" s="58"/>
      <c r="C262" s="58"/>
      <c r="D262" s="58"/>
      <c r="E262" s="58"/>
      <c r="F262" s="58"/>
      <c r="G262" s="58"/>
      <c r="H262" s="58"/>
      <c r="I262" s="58"/>
      <c r="J262" s="58"/>
      <c r="K262" s="58"/>
      <c r="L262" s="58"/>
      <c r="M262" s="58"/>
      <c r="N262" s="58"/>
      <c r="O262" s="58"/>
      <c r="P262" s="58"/>
      <c r="Q262" s="58"/>
      <c r="R262" s="58"/>
      <c r="S262" s="58"/>
      <c r="T262" s="58"/>
      <c r="U262" s="58"/>
      <c r="V262" s="58"/>
    </row>
    <row r="263" spans="1:22">
      <c r="A263" s="58"/>
      <c r="B263" s="58"/>
      <c r="C263" s="58"/>
      <c r="D263" s="58"/>
      <c r="E263" s="58"/>
      <c r="F263" s="58"/>
      <c r="G263" s="58"/>
      <c r="H263" s="58"/>
      <c r="I263" s="58"/>
      <c r="J263" s="58"/>
      <c r="K263" s="58"/>
      <c r="L263" s="58"/>
      <c r="M263" s="58"/>
      <c r="N263" s="58"/>
      <c r="O263" s="58"/>
      <c r="P263" s="58"/>
      <c r="Q263" s="58"/>
      <c r="R263" s="58"/>
      <c r="S263" s="58"/>
      <c r="T263" s="58"/>
      <c r="U263" s="58"/>
      <c r="V263" s="58"/>
    </row>
    <row r="264" spans="1:22">
      <c r="A264" s="58"/>
      <c r="B264" s="58"/>
      <c r="C264" s="58"/>
      <c r="D264" s="58"/>
      <c r="E264" s="58"/>
      <c r="F264" s="58"/>
      <c r="G264" s="58"/>
      <c r="H264" s="58"/>
      <c r="I264" s="58"/>
      <c r="J264" s="58"/>
      <c r="K264" s="58"/>
      <c r="L264" s="58"/>
      <c r="M264" s="58"/>
      <c r="N264" s="58"/>
      <c r="O264" s="58"/>
      <c r="P264" s="58"/>
      <c r="Q264" s="58"/>
      <c r="R264" s="58"/>
      <c r="S264" s="58"/>
      <c r="T264" s="58"/>
      <c r="U264" s="58"/>
      <c r="V264" s="58"/>
    </row>
    <row r="265" spans="1:22">
      <c r="A265" s="58"/>
      <c r="B265" s="58"/>
      <c r="C265" s="58"/>
      <c r="D265" s="58"/>
      <c r="E265" s="58"/>
      <c r="F265" s="58"/>
      <c r="G265" s="58"/>
      <c r="H265" s="58"/>
      <c r="I265" s="58"/>
      <c r="J265" s="58"/>
      <c r="K265" s="58"/>
      <c r="L265" s="58"/>
      <c r="M265" s="58"/>
      <c r="N265" s="58"/>
      <c r="O265" s="58"/>
      <c r="P265" s="58"/>
      <c r="Q265" s="58"/>
      <c r="R265" s="58"/>
      <c r="S265" s="58"/>
      <c r="T265" s="58"/>
      <c r="U265" s="58"/>
      <c r="V265" s="58"/>
    </row>
    <row r="266" spans="1:22">
      <c r="A266" s="58"/>
      <c r="B266" s="58"/>
      <c r="C266" s="58"/>
      <c r="D266" s="58"/>
      <c r="E266" s="58"/>
      <c r="F266" s="58"/>
      <c r="G266" s="58"/>
      <c r="H266" s="58"/>
      <c r="I266" s="58"/>
      <c r="J266" s="58"/>
      <c r="K266" s="58"/>
      <c r="L266" s="58"/>
      <c r="M266" s="58"/>
      <c r="N266" s="58"/>
      <c r="O266" s="58"/>
      <c r="P266" s="58"/>
      <c r="Q266" s="58"/>
      <c r="R266" s="58"/>
      <c r="S266" s="58"/>
      <c r="T266" s="58"/>
      <c r="U266" s="58"/>
      <c r="V266" s="58"/>
    </row>
    <row r="267" spans="1:22">
      <c r="A267" s="58"/>
      <c r="B267" s="58"/>
      <c r="C267" s="58"/>
      <c r="D267" s="58"/>
      <c r="E267" s="58"/>
      <c r="F267" s="58"/>
      <c r="G267" s="58"/>
      <c r="H267" s="58"/>
      <c r="I267" s="58"/>
      <c r="J267" s="58"/>
      <c r="K267" s="58"/>
      <c r="L267" s="58"/>
      <c r="M267" s="58"/>
      <c r="N267" s="58"/>
      <c r="O267" s="58"/>
      <c r="P267" s="58"/>
      <c r="Q267" s="58"/>
      <c r="R267" s="58"/>
      <c r="S267" s="58"/>
      <c r="T267" s="58"/>
      <c r="U267" s="58"/>
      <c r="V267" s="58"/>
    </row>
    <row r="268" spans="1:22">
      <c r="A268" s="58"/>
      <c r="B268" s="58"/>
      <c r="C268" s="58"/>
      <c r="D268" s="58"/>
      <c r="E268" s="58"/>
      <c r="F268" s="58"/>
      <c r="G268" s="58"/>
      <c r="H268" s="58"/>
      <c r="I268" s="58"/>
      <c r="J268" s="58"/>
      <c r="K268" s="58"/>
      <c r="L268" s="58"/>
      <c r="M268" s="58"/>
      <c r="N268" s="58"/>
      <c r="O268" s="58"/>
      <c r="P268" s="58"/>
      <c r="Q268" s="58"/>
      <c r="R268" s="58"/>
      <c r="S268" s="58"/>
      <c r="T268" s="58"/>
      <c r="U268" s="58"/>
      <c r="V268" s="58"/>
    </row>
    <row r="269" spans="1:22">
      <c r="A269" s="58"/>
      <c r="B269" s="58"/>
      <c r="C269" s="58"/>
      <c r="D269" s="58"/>
      <c r="E269" s="58"/>
      <c r="F269" s="58"/>
      <c r="G269" s="58"/>
      <c r="H269" s="58"/>
      <c r="I269" s="58"/>
      <c r="J269" s="58"/>
      <c r="K269" s="58"/>
      <c r="L269" s="58"/>
      <c r="M269" s="58"/>
      <c r="N269" s="58"/>
      <c r="O269" s="58"/>
      <c r="P269" s="58"/>
      <c r="Q269" s="58"/>
      <c r="R269" s="58"/>
      <c r="S269" s="58"/>
      <c r="T269" s="58"/>
      <c r="U269" s="58"/>
      <c r="V269" s="58"/>
    </row>
    <row r="270" spans="1:22">
      <c r="A270" s="58"/>
      <c r="B270" s="58"/>
      <c r="C270" s="58"/>
      <c r="D270" s="58"/>
      <c r="E270" s="58"/>
      <c r="F270" s="58"/>
      <c r="G270" s="58"/>
      <c r="H270" s="58"/>
      <c r="I270" s="58"/>
      <c r="J270" s="58"/>
      <c r="K270" s="58"/>
      <c r="L270" s="58"/>
      <c r="M270" s="58"/>
      <c r="N270" s="58"/>
      <c r="O270" s="58"/>
      <c r="P270" s="58"/>
      <c r="Q270" s="58"/>
      <c r="R270" s="58"/>
      <c r="S270" s="58"/>
      <c r="T270" s="58"/>
      <c r="U270" s="58"/>
      <c r="V270" s="58"/>
    </row>
    <row r="271" spans="1:22">
      <c r="A271" s="58"/>
      <c r="B271" s="58"/>
      <c r="C271" s="58"/>
      <c r="D271" s="58"/>
      <c r="E271" s="58"/>
      <c r="F271" s="58"/>
      <c r="G271" s="58"/>
      <c r="H271" s="58"/>
      <c r="I271" s="58"/>
      <c r="J271" s="58"/>
      <c r="K271" s="58"/>
      <c r="L271" s="58"/>
      <c r="M271" s="58"/>
      <c r="N271" s="58"/>
      <c r="O271" s="58"/>
      <c r="P271" s="58"/>
      <c r="Q271" s="58"/>
      <c r="R271" s="58"/>
      <c r="S271" s="58"/>
      <c r="T271" s="58"/>
      <c r="U271" s="58"/>
      <c r="V271" s="58"/>
    </row>
    <row r="272" spans="1:22">
      <c r="A272" s="58"/>
      <c r="B272" s="58"/>
      <c r="C272" s="58"/>
      <c r="D272" s="58"/>
      <c r="E272" s="58"/>
      <c r="F272" s="58"/>
      <c r="G272" s="58"/>
      <c r="H272" s="58"/>
      <c r="I272" s="58"/>
      <c r="J272" s="58"/>
      <c r="K272" s="58"/>
      <c r="L272" s="58"/>
      <c r="M272" s="58"/>
      <c r="N272" s="58"/>
      <c r="O272" s="58"/>
      <c r="P272" s="58"/>
      <c r="Q272" s="58"/>
      <c r="R272" s="58"/>
      <c r="S272" s="58"/>
      <c r="T272" s="58"/>
      <c r="U272" s="58"/>
      <c r="V272" s="58"/>
    </row>
    <row r="273" spans="1:22">
      <c r="A273" s="58"/>
      <c r="B273" s="58"/>
      <c r="C273" s="58"/>
      <c r="D273" s="58"/>
      <c r="E273" s="58"/>
      <c r="F273" s="58"/>
      <c r="G273" s="58"/>
      <c r="H273" s="58"/>
      <c r="I273" s="58"/>
      <c r="J273" s="58"/>
      <c r="K273" s="58"/>
      <c r="L273" s="58"/>
      <c r="M273" s="58"/>
      <c r="N273" s="58"/>
      <c r="O273" s="58"/>
      <c r="P273" s="58"/>
      <c r="Q273" s="58"/>
      <c r="R273" s="58"/>
      <c r="S273" s="58"/>
      <c r="T273" s="58"/>
      <c r="U273" s="58"/>
      <c r="V273" s="58"/>
    </row>
    <row r="274" spans="1:22">
      <c r="A274" s="58"/>
      <c r="B274" s="58"/>
      <c r="C274" s="58"/>
      <c r="D274" s="58"/>
      <c r="E274" s="58"/>
      <c r="F274" s="58"/>
      <c r="G274" s="58"/>
      <c r="H274" s="58"/>
      <c r="I274" s="58"/>
      <c r="J274" s="58"/>
      <c r="K274" s="58"/>
      <c r="L274" s="58"/>
      <c r="M274" s="58"/>
      <c r="N274" s="58"/>
      <c r="O274" s="58"/>
      <c r="P274" s="58"/>
      <c r="Q274" s="58"/>
      <c r="R274" s="58"/>
      <c r="S274" s="58"/>
      <c r="T274" s="58"/>
      <c r="U274" s="58"/>
      <c r="V274" s="58"/>
    </row>
    <row r="275" spans="1:22">
      <c r="A275" s="58"/>
      <c r="B275" s="58"/>
      <c r="C275" s="58"/>
      <c r="D275" s="58"/>
      <c r="E275" s="58"/>
      <c r="F275" s="58"/>
      <c r="G275" s="58"/>
      <c r="H275" s="58"/>
      <c r="I275" s="58"/>
      <c r="J275" s="58"/>
      <c r="K275" s="58"/>
      <c r="L275" s="58"/>
      <c r="M275" s="58"/>
      <c r="N275" s="58"/>
      <c r="O275" s="58"/>
      <c r="P275" s="58"/>
      <c r="Q275" s="58"/>
      <c r="R275" s="58"/>
      <c r="S275" s="58"/>
      <c r="T275" s="58"/>
      <c r="U275" s="58"/>
      <c r="V275" s="58"/>
    </row>
    <row r="276" spans="1:22">
      <c r="A276" s="58"/>
      <c r="B276" s="58"/>
      <c r="C276" s="58"/>
      <c r="D276" s="58"/>
      <c r="E276" s="58"/>
      <c r="F276" s="58"/>
      <c r="G276" s="58"/>
      <c r="H276" s="58"/>
      <c r="I276" s="58"/>
      <c r="J276" s="58"/>
      <c r="K276" s="58"/>
      <c r="L276" s="58"/>
      <c r="M276" s="58"/>
      <c r="N276" s="58"/>
      <c r="O276" s="58"/>
      <c r="P276" s="58"/>
      <c r="Q276" s="58"/>
      <c r="R276" s="58"/>
      <c r="S276" s="58"/>
      <c r="T276" s="58"/>
      <c r="U276" s="58"/>
      <c r="V276" s="58"/>
    </row>
    <row r="277" spans="1:22">
      <c r="A277" s="58"/>
      <c r="B277" s="58"/>
      <c r="C277" s="58"/>
      <c r="D277" s="58"/>
      <c r="E277" s="58"/>
      <c r="F277" s="58"/>
      <c r="G277" s="58"/>
      <c r="H277" s="58"/>
      <c r="I277" s="58"/>
      <c r="J277" s="58"/>
      <c r="K277" s="58"/>
      <c r="L277" s="58"/>
      <c r="M277" s="58"/>
      <c r="N277" s="58"/>
      <c r="O277" s="58"/>
      <c r="P277" s="58"/>
      <c r="Q277" s="58"/>
      <c r="R277" s="58"/>
      <c r="S277" s="58"/>
      <c r="T277" s="58"/>
      <c r="U277" s="58"/>
      <c r="V277" s="58"/>
    </row>
    <row r="278" spans="1:22">
      <c r="A278" s="58"/>
      <c r="B278" s="58"/>
      <c r="C278" s="58"/>
      <c r="D278" s="58"/>
      <c r="E278" s="58"/>
      <c r="F278" s="58"/>
      <c r="G278" s="58"/>
      <c r="H278" s="58"/>
      <c r="I278" s="58"/>
      <c r="J278" s="58"/>
      <c r="K278" s="58"/>
      <c r="L278" s="58"/>
      <c r="M278" s="58"/>
      <c r="N278" s="58"/>
      <c r="O278" s="58"/>
      <c r="P278" s="58"/>
      <c r="Q278" s="58"/>
      <c r="R278" s="58"/>
      <c r="S278" s="58"/>
      <c r="T278" s="58"/>
      <c r="U278" s="58"/>
      <c r="V278" s="58"/>
    </row>
    <row r="279" spans="1:22">
      <c r="A279" s="58"/>
      <c r="B279" s="58"/>
      <c r="C279" s="58"/>
      <c r="D279" s="58"/>
      <c r="E279" s="58"/>
      <c r="F279" s="58"/>
      <c r="G279" s="58"/>
      <c r="H279" s="58"/>
      <c r="I279" s="58"/>
      <c r="J279" s="58"/>
      <c r="K279" s="58"/>
      <c r="L279" s="58"/>
      <c r="M279" s="58"/>
      <c r="N279" s="58"/>
      <c r="O279" s="58"/>
      <c r="P279" s="58"/>
      <c r="Q279" s="58"/>
      <c r="R279" s="58"/>
      <c r="S279" s="58"/>
      <c r="T279" s="58"/>
      <c r="U279" s="58"/>
      <c r="V279" s="58"/>
    </row>
    <row r="280" spans="1:22">
      <c r="A280" s="58"/>
      <c r="B280" s="58"/>
      <c r="C280" s="58"/>
      <c r="D280" s="58"/>
      <c r="E280" s="58"/>
      <c r="F280" s="58"/>
      <c r="G280" s="58"/>
      <c r="H280" s="58"/>
      <c r="I280" s="58"/>
      <c r="J280" s="58"/>
      <c r="K280" s="58"/>
      <c r="L280" s="58"/>
      <c r="M280" s="58"/>
      <c r="N280" s="58"/>
      <c r="O280" s="58"/>
      <c r="P280" s="58"/>
      <c r="Q280" s="58"/>
      <c r="R280" s="58"/>
      <c r="S280" s="58"/>
      <c r="T280" s="58"/>
      <c r="U280" s="58"/>
      <c r="V280" s="58"/>
    </row>
    <row r="281" spans="1:22">
      <c r="A281" s="58"/>
      <c r="B281" s="58"/>
      <c r="C281" s="58"/>
      <c r="D281" s="58"/>
      <c r="E281" s="58"/>
      <c r="F281" s="58"/>
      <c r="G281" s="58"/>
      <c r="H281" s="58"/>
      <c r="I281" s="58"/>
      <c r="J281" s="58"/>
      <c r="K281" s="58"/>
      <c r="L281" s="58"/>
      <c r="M281" s="58"/>
      <c r="N281" s="58"/>
      <c r="O281" s="58"/>
      <c r="P281" s="58"/>
      <c r="Q281" s="58"/>
      <c r="R281" s="58"/>
      <c r="S281" s="58"/>
      <c r="T281" s="58"/>
      <c r="U281" s="58"/>
      <c r="V281" s="58"/>
    </row>
    <row r="282" spans="1:22">
      <c r="A282" s="58"/>
      <c r="B282" s="58"/>
      <c r="C282" s="58"/>
      <c r="D282" s="58"/>
      <c r="E282" s="58"/>
      <c r="F282" s="58"/>
      <c r="G282" s="58"/>
      <c r="H282" s="58"/>
      <c r="I282" s="58"/>
      <c r="J282" s="58"/>
      <c r="K282" s="58"/>
      <c r="L282" s="58"/>
      <c r="M282" s="58"/>
      <c r="N282" s="58"/>
      <c r="O282" s="58"/>
      <c r="P282" s="58"/>
      <c r="Q282" s="58"/>
      <c r="R282" s="58"/>
      <c r="S282" s="58"/>
      <c r="T282" s="58"/>
      <c r="U282" s="58"/>
      <c r="V282" s="58"/>
    </row>
    <row r="283" spans="1:22">
      <c r="A283" s="58"/>
      <c r="B283" s="58"/>
      <c r="C283" s="58"/>
      <c r="D283" s="58"/>
      <c r="E283" s="58"/>
      <c r="F283" s="58"/>
      <c r="G283" s="58"/>
      <c r="H283" s="58"/>
      <c r="I283" s="58"/>
      <c r="J283" s="58"/>
      <c r="K283" s="58"/>
      <c r="L283" s="58"/>
      <c r="M283" s="58"/>
      <c r="N283" s="58"/>
      <c r="O283" s="58"/>
      <c r="P283" s="58"/>
      <c r="Q283" s="58"/>
      <c r="R283" s="58"/>
      <c r="S283" s="58"/>
      <c r="T283" s="58"/>
      <c r="U283" s="58"/>
      <c r="V283" s="58"/>
    </row>
    <row r="284" spans="1:22">
      <c r="A284" s="58"/>
      <c r="B284" s="58"/>
      <c r="C284" s="58"/>
      <c r="D284" s="58"/>
      <c r="E284" s="58"/>
      <c r="F284" s="58"/>
      <c r="G284" s="58"/>
      <c r="H284" s="58"/>
      <c r="I284" s="58"/>
      <c r="J284" s="58"/>
      <c r="K284" s="58"/>
      <c r="L284" s="58"/>
      <c r="M284" s="58"/>
      <c r="N284" s="58"/>
      <c r="O284" s="58"/>
      <c r="P284" s="58"/>
      <c r="Q284" s="58"/>
      <c r="R284" s="58"/>
      <c r="S284" s="58"/>
      <c r="T284" s="58"/>
      <c r="U284" s="58"/>
      <c r="V284" s="58"/>
    </row>
    <row r="285" spans="1:22">
      <c r="A285" s="58"/>
      <c r="B285" s="58"/>
      <c r="C285" s="58"/>
      <c r="D285" s="58"/>
      <c r="E285" s="58"/>
      <c r="F285" s="58"/>
      <c r="G285" s="58"/>
      <c r="H285" s="58"/>
      <c r="I285" s="58"/>
      <c r="J285" s="58"/>
      <c r="K285" s="58"/>
      <c r="L285" s="58"/>
      <c r="M285" s="58"/>
      <c r="N285" s="58"/>
      <c r="O285" s="58"/>
      <c r="P285" s="58"/>
      <c r="Q285" s="58"/>
      <c r="R285" s="58"/>
      <c r="S285" s="58"/>
      <c r="T285" s="58"/>
      <c r="U285" s="58"/>
      <c r="V285" s="58"/>
    </row>
    <row r="286" spans="1:22">
      <c r="A286" s="58"/>
      <c r="B286" s="58"/>
      <c r="C286" s="58"/>
      <c r="D286" s="58"/>
      <c r="E286" s="58"/>
      <c r="F286" s="58"/>
      <c r="G286" s="58"/>
      <c r="H286" s="58"/>
      <c r="I286" s="58"/>
      <c r="J286" s="58"/>
      <c r="K286" s="58"/>
      <c r="L286" s="58"/>
      <c r="M286" s="58"/>
      <c r="N286" s="58"/>
      <c r="O286" s="58"/>
      <c r="P286" s="58"/>
      <c r="Q286" s="58"/>
      <c r="R286" s="58"/>
      <c r="S286" s="58"/>
      <c r="T286" s="58"/>
      <c r="U286" s="58"/>
      <c r="V286" s="58"/>
    </row>
    <row r="287" spans="1:22">
      <c r="A287" s="58"/>
      <c r="B287" s="58"/>
      <c r="C287" s="58"/>
      <c r="D287" s="58"/>
      <c r="E287" s="58"/>
      <c r="F287" s="58"/>
      <c r="G287" s="58"/>
      <c r="H287" s="58"/>
      <c r="I287" s="58"/>
      <c r="J287" s="58"/>
      <c r="K287" s="58"/>
      <c r="L287" s="58"/>
      <c r="M287" s="58"/>
      <c r="N287" s="58"/>
      <c r="O287" s="58"/>
      <c r="P287" s="58"/>
      <c r="Q287" s="58"/>
      <c r="R287" s="58"/>
      <c r="S287" s="58"/>
      <c r="T287" s="58"/>
      <c r="U287" s="58"/>
      <c r="V287" s="58"/>
    </row>
    <row r="288" spans="1:22">
      <c r="A288" s="58"/>
      <c r="B288" s="58"/>
      <c r="C288" s="58"/>
      <c r="D288" s="58"/>
      <c r="E288" s="58"/>
      <c r="F288" s="58"/>
      <c r="G288" s="58"/>
      <c r="H288" s="58"/>
      <c r="I288" s="58"/>
      <c r="J288" s="58"/>
      <c r="K288" s="58"/>
      <c r="L288" s="58"/>
      <c r="M288" s="58"/>
      <c r="N288" s="58"/>
      <c r="O288" s="58"/>
      <c r="P288" s="58"/>
      <c r="Q288" s="58"/>
      <c r="R288" s="58"/>
      <c r="S288" s="58"/>
      <c r="T288" s="58"/>
      <c r="U288" s="58"/>
      <c r="V288" s="58"/>
    </row>
    <row r="289" spans="1:22">
      <c r="A289" s="58"/>
      <c r="B289" s="58"/>
      <c r="C289" s="58"/>
      <c r="D289" s="58"/>
      <c r="E289" s="58"/>
      <c r="F289" s="58"/>
      <c r="G289" s="58"/>
      <c r="H289" s="58"/>
      <c r="I289" s="58"/>
      <c r="J289" s="58"/>
      <c r="K289" s="58"/>
      <c r="L289" s="58"/>
      <c r="M289" s="58"/>
      <c r="N289" s="58"/>
      <c r="O289" s="58"/>
      <c r="P289" s="58"/>
      <c r="Q289" s="58"/>
      <c r="R289" s="58"/>
      <c r="S289" s="58"/>
      <c r="T289" s="58"/>
      <c r="U289" s="58"/>
      <c r="V289" s="58"/>
    </row>
    <row r="290" spans="1:22">
      <c r="A290" s="58"/>
      <c r="B290" s="58"/>
      <c r="C290" s="58"/>
      <c r="D290" s="58"/>
      <c r="E290" s="58"/>
      <c r="F290" s="58"/>
      <c r="G290" s="58"/>
      <c r="H290" s="58"/>
      <c r="I290" s="58"/>
      <c r="J290" s="58"/>
      <c r="K290" s="58"/>
      <c r="L290" s="58"/>
      <c r="M290" s="58"/>
      <c r="N290" s="58"/>
      <c r="O290" s="58"/>
      <c r="P290" s="58"/>
      <c r="Q290" s="58"/>
      <c r="R290" s="58"/>
      <c r="S290" s="58"/>
      <c r="T290" s="58"/>
      <c r="U290" s="58"/>
      <c r="V290" s="58"/>
    </row>
    <row r="291" spans="1:22">
      <c r="A291" s="58"/>
      <c r="B291" s="58"/>
      <c r="C291" s="58"/>
      <c r="D291" s="58"/>
      <c r="E291" s="58"/>
      <c r="F291" s="58"/>
      <c r="G291" s="58"/>
      <c r="H291" s="58"/>
      <c r="I291" s="58"/>
      <c r="J291" s="58"/>
      <c r="K291" s="58"/>
      <c r="L291" s="58"/>
      <c r="M291" s="58"/>
      <c r="N291" s="58"/>
      <c r="O291" s="58"/>
      <c r="P291" s="58"/>
      <c r="Q291" s="58"/>
      <c r="R291" s="58"/>
      <c r="S291" s="58"/>
      <c r="T291" s="58"/>
      <c r="U291" s="58"/>
      <c r="V291" s="58"/>
    </row>
    <row r="292" spans="1:22">
      <c r="A292" s="58"/>
      <c r="B292" s="58"/>
      <c r="C292" s="58"/>
      <c r="D292" s="58"/>
      <c r="E292" s="58"/>
      <c r="F292" s="58"/>
      <c r="G292" s="58"/>
      <c r="H292" s="58"/>
      <c r="I292" s="58"/>
      <c r="J292" s="58"/>
      <c r="K292" s="58"/>
      <c r="L292" s="58"/>
      <c r="M292" s="58"/>
      <c r="N292" s="58"/>
      <c r="O292" s="58"/>
      <c r="P292" s="58"/>
      <c r="Q292" s="58"/>
      <c r="R292" s="58"/>
      <c r="S292" s="58"/>
      <c r="T292" s="58"/>
      <c r="U292" s="58"/>
      <c r="V292" s="58"/>
    </row>
    <row r="293" spans="1:22">
      <c r="A293" s="58"/>
      <c r="B293" s="58"/>
      <c r="C293" s="58"/>
      <c r="D293" s="58"/>
      <c r="E293" s="58"/>
      <c r="F293" s="58"/>
      <c r="G293" s="58"/>
      <c r="H293" s="58"/>
      <c r="I293" s="58"/>
      <c r="J293" s="58"/>
      <c r="K293" s="58"/>
      <c r="L293" s="58"/>
      <c r="M293" s="58"/>
      <c r="N293" s="58"/>
      <c r="O293" s="58"/>
      <c r="P293" s="58"/>
      <c r="Q293" s="58"/>
      <c r="R293" s="58"/>
      <c r="S293" s="58"/>
      <c r="T293" s="58"/>
      <c r="U293" s="58"/>
      <c r="V293" s="58"/>
    </row>
    <row r="294" spans="1:22">
      <c r="A294" s="58"/>
      <c r="B294" s="58"/>
      <c r="C294" s="58"/>
      <c r="D294" s="58"/>
      <c r="E294" s="58"/>
      <c r="F294" s="58"/>
      <c r="G294" s="58"/>
      <c r="H294" s="58"/>
      <c r="I294" s="58"/>
      <c r="J294" s="58"/>
      <c r="K294" s="58"/>
      <c r="L294" s="58"/>
      <c r="M294" s="58"/>
      <c r="N294" s="58"/>
      <c r="O294" s="58"/>
      <c r="P294" s="58"/>
      <c r="Q294" s="58"/>
      <c r="R294" s="58"/>
      <c r="S294" s="58"/>
      <c r="T294" s="58"/>
      <c r="U294" s="58"/>
      <c r="V294" s="58"/>
    </row>
    <row r="295" spans="1:22">
      <c r="A295" s="58"/>
      <c r="B295" s="58"/>
      <c r="C295" s="58"/>
      <c r="D295" s="58"/>
      <c r="E295" s="58"/>
      <c r="F295" s="58"/>
      <c r="G295" s="58"/>
      <c r="H295" s="58"/>
      <c r="I295" s="58"/>
      <c r="J295" s="58"/>
      <c r="K295" s="58"/>
      <c r="L295" s="58"/>
      <c r="M295" s="58"/>
      <c r="N295" s="58"/>
      <c r="O295" s="58"/>
      <c r="P295" s="58"/>
      <c r="Q295" s="58"/>
      <c r="R295" s="58"/>
      <c r="S295" s="58"/>
      <c r="T295" s="58"/>
      <c r="U295" s="58"/>
      <c r="V295" s="58"/>
    </row>
  </sheetData>
  <mergeCells>
    <mergeCell ref="A1:V1"/>
    <mergeCell ref="A3:F3"/>
    <mergeCell ref="G3:T3"/>
    <mergeCell ref="E4:T4"/>
    <mergeCell ref="E5:T5"/>
    <mergeCell ref="A4:D4"/>
    <mergeCell ref="A5:D5"/>
    <mergeCell ref="U3:V3"/>
    <mergeCell ref="U4:V4"/>
    <mergeCell ref="U5:V5"/>
    <mergeCell ref="A2:V2"/>
    <mergeCell ref="A6:D6"/>
    <mergeCell ref="E12:K12"/>
    <mergeCell ref="E7:M7"/>
    <mergeCell ref="L6:V6"/>
    <mergeCell ref="A7:D7"/>
    <mergeCell ref="N7:V7"/>
    <mergeCell ref="A10:V10"/>
    <mergeCell ref="M12:S12"/>
    <mergeCell ref="A18:D18"/>
    <mergeCell ref="A15:V15"/>
    <mergeCell ref="B16:D16"/>
    <mergeCell ref="B17:D17"/>
    <mergeCell ref="A14:D14"/>
    <mergeCell ref="E14:K14"/>
    <mergeCell ref="M14:S14"/>
    <mergeCell ref="B36:D36"/>
    <mergeCell ref="B32:D32"/>
    <mergeCell ref="B33:D33"/>
    <mergeCell ref="A34:D34"/>
    <mergeCell ref="A35:V35"/>
    <mergeCell ref="B24:D24"/>
    <mergeCell ref="B25:D25"/>
    <mergeCell ref="A19:V19"/>
    <mergeCell ref="B21:D21"/>
    <mergeCell ref="A23:V23"/>
    <mergeCell ref="A22:D22"/>
    <mergeCell ref="B20:D20"/>
    <mergeCell ref="B28:D28"/>
    <mergeCell ref="B29:D29"/>
    <mergeCell ref="A31:V31"/>
    <mergeCell ref="A26:D26"/>
    <mergeCell ref="A27:V27"/>
    <mergeCell ref="B53:D53"/>
    <mergeCell ref="A55:V55"/>
    <mergeCell ref="B57:D57"/>
    <mergeCell ref="A59:V59"/>
    <mergeCell ref="B56:D56"/>
    <mergeCell ref="B45:D45"/>
    <mergeCell ref="A46:D46"/>
    <mergeCell ref="A47:V47"/>
    <mergeCell ref="B49:D49"/>
    <mergeCell ref="A51:V51"/>
    <mergeCell ref="B52:D52"/>
    <mergeCell ref="B48:D48"/>
    <mergeCell ref="A43:V43"/>
    <mergeCell ref="B44:D44"/>
    <mergeCell ref="B37:D37"/>
    <mergeCell ref="A38:D38"/>
    <mergeCell ref="A39:V39"/>
    <mergeCell ref="B40:D40"/>
    <mergeCell ref="B41:D41"/>
    <mergeCell ref="B72:D72"/>
    <mergeCell ref="B68:D68"/>
    <mergeCell ref="B69:D69"/>
    <mergeCell ref="A71:V71"/>
    <mergeCell ref="A67:V67"/>
    <mergeCell ref="B64:D64"/>
    <mergeCell ref="B65:D65"/>
    <mergeCell ref="B60:D60"/>
    <mergeCell ref="B61:D61"/>
    <mergeCell ref="A63:V63"/>
    <mergeCell ref="A84:D84"/>
    <mergeCell ref="E84:K84"/>
    <mergeCell ref="M84:S84"/>
    <mergeCell ref="A85:V85"/>
    <mergeCell ref="B86:D86"/>
    <mergeCell ref="B73:D73"/>
    <mergeCell ref="A74:D74"/>
    <mergeCell ref="A81:V81"/>
    <mergeCell ref="E82:K82"/>
    <mergeCell ref="M82:S82"/>
    <mergeCell ref="A93:V93"/>
    <mergeCell ref="A96:D96"/>
    <mergeCell ref="A97:V97"/>
    <mergeCell ref="B98:D98"/>
    <mergeCell ref="B99:D99"/>
    <mergeCell ref="B87:D87"/>
    <mergeCell ref="B90:D90"/>
    <mergeCell ref="B91:D91"/>
    <mergeCell ref="A89:V89"/>
    <mergeCell ref="A92:D92"/>
    <mergeCell ref="B94:D94"/>
    <mergeCell ref="B95:D95"/>
    <mergeCell ref="B110:D110"/>
    <mergeCell ref="A113:V113"/>
    <mergeCell ref="A105:V105"/>
    <mergeCell ref="B106:D106"/>
    <mergeCell ref="B107:D107"/>
    <mergeCell ref="A109:V109"/>
    <mergeCell ref="B102:D102"/>
    <mergeCell ref="B103:D103"/>
    <mergeCell ref="A104:D104"/>
    <mergeCell ref="B122:D122"/>
    <mergeCell ref="A121:V121"/>
    <mergeCell ref="B123:D123"/>
    <mergeCell ref="B115:D115"/>
    <mergeCell ref="B118:D118"/>
    <mergeCell ref="B119:D119"/>
    <mergeCell ref="A116:D116"/>
    <mergeCell ref="A117:V117"/>
    <mergeCell ref="B111:D111"/>
    <mergeCell ref="B114:D114"/>
    <mergeCell ref="A137:V137"/>
    <mergeCell ref="B138:D138"/>
    <mergeCell ref="B139:D139"/>
    <mergeCell ref="B131:D131"/>
    <mergeCell ref="B130:D130"/>
    <mergeCell ref="A133:V133"/>
    <mergeCell ref="B134:D134"/>
    <mergeCell ref="A125:V125"/>
    <mergeCell ref="B126:D126"/>
    <mergeCell ref="B127:D127"/>
    <mergeCell ref="A129:V129"/>
    <mergeCell ref="A101:V101"/>
    <mergeCell ref="A108:D108"/>
    <mergeCell ref="B164:D164"/>
    <mergeCell ref="B165:D165"/>
    <mergeCell ref="B169:D169"/>
    <mergeCell ref="B160:D160"/>
    <mergeCell ref="B161:D161"/>
    <mergeCell ref="B168:D168"/>
    <mergeCell ref="A167:V167"/>
    <mergeCell ref="B157:D157"/>
    <mergeCell ref="A159:V159"/>
    <mergeCell ref="A154:D154"/>
    <mergeCell ref="E154:K154"/>
    <mergeCell ref="M154:S154"/>
    <mergeCell ref="A155:V155"/>
    <mergeCell ref="B156:D156"/>
    <mergeCell ref="A151:V151"/>
    <mergeCell ref="E152:K152"/>
    <mergeCell ref="M152:S152"/>
    <mergeCell ref="A141:V141"/>
    <mergeCell ref="B142:D142"/>
    <mergeCell ref="B143:D143"/>
    <mergeCell ref="A144:D144"/>
    <mergeCell ref="B135:D135"/>
    <mergeCell ref="B181:D181"/>
    <mergeCell ref="A183:V183"/>
    <mergeCell ref="B184:D184"/>
    <mergeCell ref="B185:D185"/>
    <mergeCell ref="A163:V163"/>
    <mergeCell ref="A171:V171"/>
    <mergeCell ref="B172:D172"/>
    <mergeCell ref="B173:D173"/>
    <mergeCell ref="A175:V175"/>
    <mergeCell ref="B176:D176"/>
    <mergeCell ref="B177:D177"/>
    <mergeCell ref="A179:V179"/>
    <mergeCell ref="B180:D180"/>
  </mergeCells>
  <printOptions gridLines="false" gridLinesSet="true"/>
  <pageMargins left="0.11811023622047" right="0.11811023622047" top="0.74803149606299" bottom="0.74803149606299" header="0.31496062992126" footer="0.31496062992126"/>
  <pageSetup paperSize="9" orientation="landscape" scale="65" fitToHeight="0" fitToWidth="1" pageOrder="downThenOver" r:id="rId1ps"/>
  <headerFooter differentOddEven="false" differentFirst="false" scaleWithDoc="true" alignWithMargins="true">
    <oddHeader/>
    <oddFooter/>
    <evenHeader/>
    <evenFooter/>
    <firstHeader/>
    <firstFooter/>
  </headerFooter>
  <tableParts count="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R36"/>
  <sheetViews>
    <sheetView tabSelected="0" workbookViewId="0" showGridLines="true" showRowColHeaders="1">
      <selection activeCell="N36" sqref="N36"/>
    </sheetView>
  </sheetViews>
  <sheetFormatPr defaultRowHeight="14.4" defaultColWidth="9.1796875" outlineLevelRow="0" outlineLevelCol="0"/>
  <cols>
    <col min="1" max="1" width="15" customWidth="true" style="0"/>
    <col min="2" max="2" width="10" customWidth="true" style="0"/>
    <col min="3" max="3" width="10" customWidth="true" style="0"/>
    <col min="4" max="4" width="10" customWidth="true" style="0"/>
    <col min="5" max="5" width="10" customWidth="true" style="0"/>
    <col min="6" max="6" width="10" customWidth="true" style="0"/>
    <col min="7" max="7" width="10" customWidth="true" style="0"/>
    <col min="8" max="8" width="10" customWidth="true" style="0"/>
    <col min="9" max="9" width="10" customWidth="true" style="0"/>
    <col min="10" max="10" width="10" customWidth="true" style="0"/>
    <col min="11" max="11" width="10" customWidth="true" style="0"/>
    <col min="12" max="12" width="10" customWidth="true" style="0"/>
    <col min="13" max="13" width="10" customWidth="true" style="0"/>
  </cols>
  <sheetData>
    <row r="1" spans="1:18" customHeight="1" ht="15">
      <c r="A1" s="332" t="s">
        <v>132</v>
      </c>
      <c r="B1" s="344"/>
      <c r="C1" s="344"/>
      <c r="D1" s="344"/>
      <c r="E1" s="344"/>
      <c r="F1" s="344"/>
      <c r="G1" s="344"/>
      <c r="H1" s="344"/>
      <c r="I1" s="344"/>
      <c r="J1" s="345"/>
      <c r="K1" s="87"/>
      <c r="L1" s="87"/>
      <c r="M1" s="87"/>
    </row>
    <row r="2" spans="1:18" customHeight="1" ht="15">
      <c r="A2" s="346"/>
      <c r="B2" s="347"/>
      <c r="C2" s="347"/>
      <c r="D2" s="347"/>
      <c r="E2" s="347"/>
      <c r="F2" s="347"/>
      <c r="G2" s="347"/>
      <c r="H2" s="347"/>
      <c r="I2" s="347"/>
      <c r="J2" s="348"/>
      <c r="K2" s="87"/>
      <c r="L2" s="87"/>
      <c r="M2" s="87"/>
    </row>
    <row r="3" spans="1:18" customHeight="1" ht="15">
      <c r="A3" s="509" t="s">
        <v>133</v>
      </c>
      <c r="B3" s="510"/>
      <c r="C3" s="511" t="s">
        <v>91</v>
      </c>
      <c r="D3" s="512"/>
      <c r="E3" s="512"/>
      <c r="F3" s="513"/>
      <c r="G3" s="511"/>
      <c r="H3" s="512"/>
      <c r="I3" s="513"/>
      <c r="J3" s="25"/>
      <c r="K3" s="87"/>
      <c r="L3" s="87"/>
      <c r="M3" s="87"/>
    </row>
    <row r="4" spans="1:18">
      <c r="A4" s="509" t="s">
        <v>134</v>
      </c>
      <c r="B4" s="510"/>
      <c r="C4" s="511" t="s">
        <v>93</v>
      </c>
      <c r="D4" s="512"/>
      <c r="E4" s="512"/>
      <c r="F4" s="513"/>
      <c r="G4" s="6"/>
      <c r="H4" s="6"/>
      <c r="I4" s="6"/>
      <c r="J4" s="25"/>
      <c r="K4" s="87"/>
      <c r="L4" s="87"/>
      <c r="M4" s="87"/>
    </row>
    <row r="5" spans="1:18">
      <c r="A5" s="509" t="s">
        <v>135</v>
      </c>
      <c r="B5" s="510"/>
      <c r="C5" s="511" t="s">
        <v>95</v>
      </c>
      <c r="D5" s="512"/>
      <c r="E5" s="512"/>
      <c r="F5" s="513"/>
      <c r="G5" s="6"/>
      <c r="H5" s="6"/>
      <c r="I5" s="6"/>
      <c r="J5" s="25"/>
      <c r="K5" s="87"/>
      <c r="L5" s="87"/>
      <c r="M5" s="87"/>
    </row>
    <row r="6" spans="1:18">
      <c r="A6" s="509" t="s">
        <v>136</v>
      </c>
      <c r="B6" s="510"/>
      <c r="C6" s="511" t="s">
        <v>137</v>
      </c>
      <c r="D6" s="512"/>
      <c r="E6" s="512"/>
      <c r="F6" s="513"/>
      <c r="G6" s="6"/>
      <c r="H6" s="6"/>
      <c r="I6" s="6"/>
      <c r="J6" s="25"/>
      <c r="K6" s="87"/>
      <c r="L6" s="87"/>
      <c r="M6" s="87"/>
    </row>
    <row r="7" spans="1:18" customHeight="1" ht="15">
      <c r="A7" s="23"/>
      <c r="B7" s="24"/>
      <c r="C7" s="24"/>
      <c r="D7" s="24"/>
      <c r="E7" s="24"/>
      <c r="F7" s="24"/>
      <c r="G7" s="24"/>
      <c r="H7" s="24"/>
      <c r="I7" s="24"/>
      <c r="J7" s="26"/>
      <c r="K7" s="87"/>
      <c r="L7" s="87"/>
      <c r="M7" s="87"/>
    </row>
    <row r="9" spans="1:18" customHeight="1" ht="15"/>
    <row r="10" spans="1:18" customHeight="1" ht="15.5">
      <c r="A10" s="1"/>
      <c r="B10" s="37" t="s">
        <v>138</v>
      </c>
      <c r="C10" s="38" t="s">
        <v>138</v>
      </c>
      <c r="D10" s="38" t="s">
        <v>138</v>
      </c>
      <c r="E10" s="38" t="s">
        <v>138</v>
      </c>
      <c r="F10" s="38" t="s">
        <v>138</v>
      </c>
      <c r="G10" s="38" t="s">
        <v>138</v>
      </c>
      <c r="H10" s="38" t="s">
        <v>138</v>
      </c>
      <c r="I10" s="38" t="s">
        <v>138</v>
      </c>
      <c r="J10" s="88" t="s">
        <v>138</v>
      </c>
      <c r="K10" s="88" t="s">
        <v>138</v>
      </c>
      <c r="L10" s="86" t="s">
        <v>138</v>
      </c>
      <c r="M10" s="87"/>
      <c r="N10" s="39"/>
      <c r="P10" s="12" t="s">
        <v>139</v>
      </c>
      <c r="Q10" s="7"/>
      <c r="R10" s="8"/>
    </row>
    <row r="11" spans="1:18" customHeight="1" ht="15">
      <c r="A11" s="32" t="s">
        <v>140</v>
      </c>
      <c r="B11" s="28"/>
      <c r="C11" s="28"/>
      <c r="D11" s="28"/>
      <c r="E11" s="28"/>
      <c r="F11" s="28"/>
      <c r="G11" s="28"/>
      <c r="H11" s="28"/>
      <c r="I11" s="28"/>
      <c r="J11" s="28"/>
      <c r="K11" s="42"/>
      <c r="L11" s="180"/>
      <c r="M11" s="87"/>
      <c r="N11" s="40"/>
      <c r="P11" s="506"/>
      <c r="Q11" s="333"/>
      <c r="R11" s="20"/>
    </row>
    <row r="12" spans="1:18">
      <c r="A12" s="15" t="s">
        <v>141</v>
      </c>
      <c r="B12" s="27"/>
      <c r="C12" s="27"/>
      <c r="D12" s="27"/>
      <c r="E12" s="27"/>
      <c r="F12" s="27"/>
      <c r="G12" s="27"/>
      <c r="H12" s="27"/>
      <c r="I12" s="27"/>
      <c r="J12" s="27"/>
      <c r="K12" s="13"/>
      <c r="L12" s="181"/>
      <c r="M12" s="87"/>
      <c r="N12" s="40">
        <f>SUM(B12:J12)</f>
        <v>0</v>
      </c>
      <c r="P12" s="507"/>
      <c r="Q12" s="508"/>
      <c r="R12" s="89"/>
    </row>
    <row r="13" spans="1:18">
      <c r="A13" s="33" t="s">
        <v>142</v>
      </c>
      <c r="B13" s="29"/>
      <c r="C13" s="29"/>
      <c r="D13" s="29"/>
      <c r="E13" s="29"/>
      <c r="F13" s="29"/>
      <c r="G13" s="29"/>
      <c r="H13" s="29"/>
      <c r="I13" s="29"/>
      <c r="J13" s="29"/>
      <c r="K13" s="94"/>
      <c r="L13" s="182"/>
      <c r="M13" s="87"/>
      <c r="N13" s="40"/>
      <c r="P13" s="514"/>
      <c r="Q13" s="515"/>
      <c r="R13" s="90"/>
    </row>
    <row r="14" spans="1:18">
      <c r="A14" s="34" t="s">
        <v>141</v>
      </c>
      <c r="B14" s="30"/>
      <c r="C14" s="30"/>
      <c r="D14" s="30"/>
      <c r="E14" s="30"/>
      <c r="F14" s="30"/>
      <c r="G14" s="30"/>
      <c r="H14" s="30"/>
      <c r="I14" s="30"/>
      <c r="J14" s="30"/>
      <c r="K14" s="95"/>
      <c r="L14" s="183"/>
      <c r="M14" s="87"/>
      <c r="N14" s="40">
        <f>SUM(B14:J14)</f>
        <v>0</v>
      </c>
      <c r="P14" s="514"/>
      <c r="Q14" s="515"/>
      <c r="R14" s="90"/>
    </row>
    <row r="15" spans="1:18">
      <c r="A15" s="35" t="s">
        <v>143</v>
      </c>
      <c r="B15" s="28"/>
      <c r="C15" s="28"/>
      <c r="D15" s="28"/>
      <c r="E15" s="28"/>
      <c r="F15" s="28"/>
      <c r="G15" s="28"/>
      <c r="H15" s="28"/>
      <c r="I15" s="28"/>
      <c r="J15" s="28"/>
      <c r="K15" s="42"/>
      <c r="L15" s="184"/>
      <c r="M15" s="87"/>
      <c r="N15" s="40"/>
      <c r="P15" s="516"/>
      <c r="Q15" s="517"/>
      <c r="R15" s="92"/>
    </row>
    <row r="16" spans="1:18">
      <c r="A16" s="15" t="s">
        <v>141</v>
      </c>
      <c r="B16" s="27"/>
      <c r="C16" s="27"/>
      <c r="D16" s="27"/>
      <c r="E16" s="27"/>
      <c r="F16" s="27"/>
      <c r="G16" s="27"/>
      <c r="H16" s="27"/>
      <c r="I16" s="27"/>
      <c r="J16" s="27"/>
      <c r="K16" s="13"/>
      <c r="L16" s="181"/>
      <c r="M16" s="87"/>
      <c r="N16" s="40">
        <f>SUM(B16:J16)</f>
        <v>0</v>
      </c>
      <c r="P16" s="518"/>
      <c r="Q16" s="519"/>
      <c r="R16" s="91"/>
    </row>
    <row r="17" spans="1:18">
      <c r="A17" s="33" t="s">
        <v>144</v>
      </c>
      <c r="B17" s="29"/>
      <c r="C17" s="29"/>
      <c r="D17" s="29"/>
      <c r="E17" s="29"/>
      <c r="F17" s="29"/>
      <c r="G17" s="29"/>
      <c r="H17" s="29"/>
      <c r="I17" s="29"/>
      <c r="J17" s="29"/>
      <c r="K17" s="94"/>
      <c r="L17" s="182"/>
      <c r="M17" s="87"/>
      <c r="N17" s="40"/>
      <c r="P17" s="520"/>
      <c r="Q17" s="521"/>
      <c r="R17" s="93"/>
    </row>
    <row r="18" spans="1:18">
      <c r="A18" s="34" t="s">
        <v>141</v>
      </c>
      <c r="B18" s="30"/>
      <c r="C18" s="30"/>
      <c r="D18" s="30"/>
      <c r="E18" s="30"/>
      <c r="F18" s="30"/>
      <c r="G18" s="30"/>
      <c r="H18" s="30"/>
      <c r="I18" s="30"/>
      <c r="J18" s="30"/>
      <c r="K18" s="95"/>
      <c r="L18" s="183"/>
      <c r="M18" s="87"/>
      <c r="N18" s="40">
        <f>SUM(B18:J18)</f>
        <v>0</v>
      </c>
      <c r="P18" s="520"/>
      <c r="Q18" s="521"/>
      <c r="R18" s="93"/>
    </row>
    <row r="19" spans="1:18">
      <c r="A19" s="35" t="s">
        <v>145</v>
      </c>
      <c r="B19" s="28"/>
      <c r="C19" s="28"/>
      <c r="D19" s="28"/>
      <c r="E19" s="28"/>
      <c r="F19" s="28"/>
      <c r="G19" s="28"/>
      <c r="H19" s="28"/>
      <c r="I19" s="28"/>
      <c r="J19" s="28"/>
      <c r="K19" s="42"/>
      <c r="L19" s="184"/>
      <c r="M19" s="87"/>
      <c r="N19" s="40"/>
      <c r="P19" s="520"/>
      <c r="Q19" s="521"/>
      <c r="R19" s="93"/>
    </row>
    <row r="20" spans="1:18">
      <c r="A20" s="15" t="s">
        <v>141</v>
      </c>
      <c r="B20" s="27"/>
      <c r="C20" s="27"/>
      <c r="D20" s="27"/>
      <c r="E20" s="27"/>
      <c r="F20" s="27"/>
      <c r="G20" s="27"/>
      <c r="H20" s="27"/>
      <c r="I20" s="27"/>
      <c r="J20" s="27"/>
      <c r="K20" s="13"/>
      <c r="L20" s="181"/>
      <c r="M20" s="87"/>
      <c r="N20" s="40">
        <f>SUM(B20:J20)</f>
        <v>0</v>
      </c>
      <c r="P20" s="520"/>
      <c r="Q20" s="521"/>
      <c r="R20" s="93"/>
    </row>
    <row r="21" spans="1:18">
      <c r="A21" s="33" t="s">
        <v>146</v>
      </c>
      <c r="B21" s="29"/>
      <c r="C21" s="29"/>
      <c r="D21" s="29"/>
      <c r="E21" s="29"/>
      <c r="F21" s="29"/>
      <c r="G21" s="29"/>
      <c r="H21" s="29"/>
      <c r="I21" s="29"/>
      <c r="J21" s="29"/>
      <c r="K21" s="94"/>
      <c r="L21" s="182"/>
      <c r="M21" s="87"/>
      <c r="N21" s="40"/>
      <c r="P21" s="520"/>
      <c r="Q21" s="521"/>
      <c r="R21" s="93"/>
    </row>
    <row r="22" spans="1:18">
      <c r="A22" s="34" t="s">
        <v>141</v>
      </c>
      <c r="B22" s="30"/>
      <c r="C22" s="30"/>
      <c r="D22" s="30"/>
      <c r="E22" s="30"/>
      <c r="F22" s="30"/>
      <c r="G22" s="30"/>
      <c r="H22" s="30"/>
      <c r="I22" s="30"/>
      <c r="J22" s="30"/>
      <c r="K22" s="95"/>
      <c r="L22" s="183"/>
      <c r="M22" s="87"/>
      <c r="N22" s="40">
        <f>SUM(B22:J22)</f>
        <v>0</v>
      </c>
      <c r="P22" s="520"/>
      <c r="Q22" s="521"/>
      <c r="R22" s="93"/>
    </row>
    <row r="23" spans="1:18">
      <c r="A23" s="35" t="s">
        <v>147</v>
      </c>
      <c r="B23" s="28"/>
      <c r="C23" s="28"/>
      <c r="D23" s="28"/>
      <c r="E23" s="28"/>
      <c r="F23" s="28"/>
      <c r="G23" s="28"/>
      <c r="H23" s="28"/>
      <c r="I23" s="28"/>
      <c r="J23" s="28"/>
      <c r="K23" s="42"/>
      <c r="L23" s="184"/>
      <c r="M23" s="87"/>
      <c r="N23" s="40"/>
      <c r="P23" s="520"/>
      <c r="Q23" s="521"/>
      <c r="R23" s="93"/>
    </row>
    <row r="24" spans="1:18">
      <c r="A24" s="15" t="s">
        <v>141</v>
      </c>
      <c r="B24" s="27"/>
      <c r="C24" s="27"/>
      <c r="D24" s="27"/>
      <c r="E24" s="27"/>
      <c r="F24" s="27"/>
      <c r="G24" s="27"/>
      <c r="H24" s="27"/>
      <c r="I24" s="27"/>
      <c r="J24" s="27"/>
      <c r="K24" s="13"/>
      <c r="L24" s="181"/>
      <c r="M24" s="87"/>
      <c r="N24" s="40">
        <f>SUM(B24:J24)</f>
        <v>0</v>
      </c>
      <c r="P24" s="520"/>
      <c r="Q24" s="521"/>
      <c r="R24" s="93"/>
    </row>
    <row r="25" spans="1:18">
      <c r="A25" s="33" t="s">
        <v>148</v>
      </c>
      <c r="B25" s="29"/>
      <c r="C25" s="29"/>
      <c r="D25" s="29"/>
      <c r="E25" s="29"/>
      <c r="F25" s="29"/>
      <c r="G25" s="29"/>
      <c r="H25" s="29"/>
      <c r="I25" s="29"/>
      <c r="J25" s="29"/>
      <c r="K25" s="94"/>
      <c r="L25" s="182"/>
      <c r="M25" s="87"/>
      <c r="N25" s="40"/>
      <c r="P25" s="520"/>
      <c r="Q25" s="521"/>
      <c r="R25" s="93"/>
    </row>
    <row r="26" spans="1:18">
      <c r="A26" s="34" t="s">
        <v>141</v>
      </c>
      <c r="B26" s="30"/>
      <c r="C26" s="30"/>
      <c r="D26" s="30"/>
      <c r="E26" s="30"/>
      <c r="F26" s="30"/>
      <c r="G26" s="30"/>
      <c r="H26" s="30"/>
      <c r="I26" s="30"/>
      <c r="J26" s="30"/>
      <c r="K26" s="95"/>
      <c r="L26" s="183"/>
      <c r="M26" s="87"/>
      <c r="N26" s="40">
        <f>SUM(B26:J26)</f>
        <v>0</v>
      </c>
      <c r="P26" s="520"/>
      <c r="Q26" s="521"/>
      <c r="R26" s="93"/>
    </row>
    <row r="27" spans="1:18">
      <c r="A27" s="35" t="s">
        <v>149</v>
      </c>
      <c r="B27" s="28"/>
      <c r="C27" s="28"/>
      <c r="D27" s="28"/>
      <c r="E27" s="28"/>
      <c r="F27" s="28"/>
      <c r="G27" s="28"/>
      <c r="H27" s="28"/>
      <c r="I27" s="28"/>
      <c r="J27" s="28"/>
      <c r="K27" s="42"/>
      <c r="L27" s="184"/>
      <c r="M27" s="87"/>
      <c r="N27" s="40"/>
      <c r="P27" s="520"/>
      <c r="Q27" s="521"/>
      <c r="R27" s="93"/>
    </row>
    <row r="28" spans="1:18">
      <c r="A28" s="15" t="s">
        <v>141</v>
      </c>
      <c r="B28" s="27"/>
      <c r="C28" s="27"/>
      <c r="D28" s="27"/>
      <c r="E28" s="27"/>
      <c r="F28" s="27"/>
      <c r="G28" s="27"/>
      <c r="H28" s="27"/>
      <c r="I28" s="27"/>
      <c r="J28" s="27"/>
      <c r="K28" s="13"/>
      <c r="L28" s="181"/>
      <c r="M28" s="87"/>
      <c r="N28" s="40">
        <f>SUM(B28:J28)</f>
        <v>0</v>
      </c>
      <c r="P28" s="520"/>
      <c r="Q28" s="521"/>
      <c r="R28" s="93"/>
    </row>
    <row r="29" spans="1:18">
      <c r="A29" s="33" t="s">
        <v>150</v>
      </c>
      <c r="B29" s="29"/>
      <c r="C29" s="29"/>
      <c r="D29" s="29"/>
      <c r="E29" s="29"/>
      <c r="F29" s="29"/>
      <c r="G29" s="29"/>
      <c r="H29" s="29"/>
      <c r="I29" s="29"/>
      <c r="J29" s="29"/>
      <c r="K29" s="94"/>
      <c r="L29" s="182"/>
      <c r="M29" s="87"/>
      <c r="N29" s="40"/>
      <c r="P29" s="520"/>
      <c r="Q29" s="521"/>
      <c r="R29" s="93"/>
    </row>
    <row r="30" spans="1:18">
      <c r="A30" s="34" t="s">
        <v>141</v>
      </c>
      <c r="B30" s="30"/>
      <c r="C30" s="30"/>
      <c r="D30" s="30"/>
      <c r="E30" s="30"/>
      <c r="F30" s="30"/>
      <c r="G30" s="30"/>
      <c r="H30" s="30"/>
      <c r="I30" s="30"/>
      <c r="J30" s="30"/>
      <c r="K30" s="95"/>
      <c r="L30" s="183"/>
      <c r="M30" s="87"/>
      <c r="N30" s="40">
        <f>SUM(B30:J30)</f>
        <v>0</v>
      </c>
      <c r="P30" s="520"/>
      <c r="Q30" s="521"/>
      <c r="R30" s="93"/>
    </row>
    <row r="31" spans="1:18">
      <c r="A31" s="35" t="s">
        <v>151</v>
      </c>
      <c r="B31" s="28"/>
      <c r="C31" s="28"/>
      <c r="D31" s="28"/>
      <c r="E31" s="28"/>
      <c r="F31" s="28"/>
      <c r="G31" s="28"/>
      <c r="H31" s="28"/>
      <c r="I31" s="28"/>
      <c r="J31" s="28"/>
      <c r="K31" s="42"/>
      <c r="L31" s="184"/>
      <c r="M31" s="87"/>
      <c r="N31" s="40"/>
      <c r="P31" s="520"/>
      <c r="Q31" s="521"/>
      <c r="R31" s="93"/>
    </row>
    <row r="32" spans="1:18">
      <c r="A32" s="15" t="s">
        <v>141</v>
      </c>
      <c r="B32" s="27"/>
      <c r="C32" s="27"/>
      <c r="D32" s="27"/>
      <c r="E32" s="27"/>
      <c r="F32" s="27"/>
      <c r="G32" s="27"/>
      <c r="H32" s="27"/>
      <c r="I32" s="27"/>
      <c r="J32" s="27"/>
      <c r="K32" s="13"/>
      <c r="L32" s="181"/>
      <c r="M32" s="87"/>
      <c r="N32" s="40">
        <f>SUM(B32:J32)</f>
        <v>0</v>
      </c>
      <c r="P32" s="514"/>
      <c r="Q32" s="515"/>
      <c r="R32" s="90"/>
    </row>
    <row r="33" spans="1:18">
      <c r="A33" s="33" t="s">
        <v>152</v>
      </c>
      <c r="B33" s="29"/>
      <c r="C33" s="29"/>
      <c r="D33" s="29"/>
      <c r="E33" s="29"/>
      <c r="F33" s="29"/>
      <c r="G33" s="29"/>
      <c r="H33" s="29"/>
      <c r="I33" s="29"/>
      <c r="J33" s="29"/>
      <c r="K33" s="94"/>
      <c r="L33" s="182"/>
      <c r="M33" s="87"/>
      <c r="N33" s="40"/>
      <c r="P33" s="514"/>
      <c r="Q33" s="515"/>
      <c r="R33" s="90"/>
    </row>
    <row r="34" spans="1:18" customHeight="1" ht="15">
      <c r="A34" s="36" t="s">
        <v>141</v>
      </c>
      <c r="B34" s="31"/>
      <c r="C34" s="31"/>
      <c r="D34" s="31"/>
      <c r="E34" s="31"/>
      <c r="F34" s="31"/>
      <c r="G34" s="31"/>
      <c r="H34" s="31"/>
      <c r="I34" s="31"/>
      <c r="J34" s="31"/>
      <c r="K34" s="19"/>
      <c r="L34" s="185"/>
      <c r="M34" s="87"/>
      <c r="N34" s="41">
        <f>SUM(B34:J34)</f>
        <v>0</v>
      </c>
      <c r="P34" s="340"/>
      <c r="Q34" s="341"/>
      <c r="R34" s="22"/>
    </row>
    <row r="35" spans="1:18" customHeight="1" ht="15.5">
      <c r="M35" s="87"/>
    </row>
    <row r="36" spans="1:18" customHeight="1" ht="15.5">
      <c r="N36" s="77">
        <f>SUM(N12,N14,N16,N18,N20,N22,N24,N26,N28,N30,N32,N34)</f>
        <v>0</v>
      </c>
    </row>
  </sheetData>
  <sheetProtection formatCells="0" formatColumns="0" formatRows="0" insertColumns="0" insertRows="0" insertHyperlinks="0" deleteColumns="0" deleteRows="0" sort="0" autoFilter="0" pivotTables="0"/>
  <mergeCells>
    <mergeCell ref="P33:Q33"/>
    <mergeCell ref="P34:Q34"/>
    <mergeCell ref="P28:Q28"/>
    <mergeCell ref="P29:Q29"/>
    <mergeCell ref="P30:Q30"/>
    <mergeCell ref="P31:Q31"/>
    <mergeCell ref="P32:Q32"/>
    <mergeCell ref="P23:Q23"/>
    <mergeCell ref="P24:Q24"/>
    <mergeCell ref="P25:Q25"/>
    <mergeCell ref="P26:Q26"/>
    <mergeCell ref="P27:Q27"/>
    <mergeCell ref="P18:Q18"/>
    <mergeCell ref="P19:Q19"/>
    <mergeCell ref="P20:Q20"/>
    <mergeCell ref="P21:Q21"/>
    <mergeCell ref="P22:Q22"/>
    <mergeCell ref="P13:Q13"/>
    <mergeCell ref="P14:Q14"/>
    <mergeCell ref="P15:Q15"/>
    <mergeCell ref="P16:Q16"/>
    <mergeCell ref="P17:Q17"/>
    <mergeCell ref="P11:Q11"/>
    <mergeCell ref="P12:Q12"/>
    <mergeCell ref="A1:J2"/>
    <mergeCell ref="A3:B3"/>
    <mergeCell ref="A4:B4"/>
    <mergeCell ref="A5:B5"/>
    <mergeCell ref="A6:B6"/>
    <mergeCell ref="C3:F3"/>
    <mergeCell ref="G3:I3"/>
    <mergeCell ref="C4:F4"/>
    <mergeCell ref="C5:F5"/>
    <mergeCell ref="C6:F6"/>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O37"/>
  <sheetViews>
    <sheetView tabSelected="0" workbookViewId="0" showGridLines="true" showRowColHeaders="1">
      <selection activeCell="N36" sqref="N36"/>
    </sheetView>
  </sheetViews>
  <sheetFormatPr defaultRowHeight="14.4" defaultColWidth="9.1796875" outlineLevelRow="0" outlineLevelCol="0"/>
  <cols>
    <col min="1" max="1" width="15" customWidth="true" style="0"/>
    <col min="2" max="2" width="10" customWidth="true" style="0"/>
    <col min="3" max="3" width="10" customWidth="true" style="0"/>
    <col min="4" max="4" width="10" customWidth="true" style="0"/>
    <col min="5" max="5" width="10" customWidth="true" style="0"/>
    <col min="6" max="6" width="10" customWidth="true" style="0"/>
    <col min="7" max="7" width="10" customWidth="true" style="0"/>
    <col min="8" max="8" width="10" customWidth="true" style="0"/>
    <col min="9" max="9" width="10" customWidth="true" style="0"/>
    <col min="10" max="10" width="10" customWidth="true" style="0"/>
    <col min="14" max="14" width="11.7265625" customWidth="true" style="0"/>
  </cols>
  <sheetData>
    <row r="1" spans="1:15" customHeight="1" ht="15">
      <c r="A1" s="332" t="s">
        <v>153</v>
      </c>
      <c r="B1" s="344"/>
      <c r="C1" s="344"/>
      <c r="D1" s="344"/>
      <c r="E1" s="344"/>
      <c r="F1" s="344"/>
      <c r="G1" s="344"/>
      <c r="H1" s="344"/>
      <c r="I1" s="344"/>
      <c r="J1" s="345"/>
      <c r="K1"/>
      <c r="L1"/>
      <c r="M1"/>
      <c r="O1"/>
    </row>
    <row r="2" spans="1:15" customHeight="1" ht="15">
      <c r="A2" s="346"/>
      <c r="B2" s="347"/>
      <c r="C2" s="347"/>
      <c r="D2" s="347"/>
      <c r="E2" s="347"/>
      <c r="F2" s="347"/>
      <c r="G2" s="347"/>
      <c r="H2" s="347"/>
      <c r="I2" s="347"/>
      <c r="J2" s="348"/>
      <c r="K2"/>
      <c r="L2"/>
      <c r="M2"/>
      <c r="O2"/>
    </row>
    <row r="3" spans="1:15" customHeight="1" ht="15">
      <c r="A3" s="509" t="s">
        <v>133</v>
      </c>
      <c r="B3" s="510"/>
      <c r="C3" s="511" t="s">
        <v>91</v>
      </c>
      <c r="D3" s="512"/>
      <c r="E3" s="512"/>
      <c r="F3" s="513"/>
      <c r="G3" s="511"/>
      <c r="H3" s="512"/>
      <c r="I3" s="513"/>
      <c r="J3" s="25"/>
      <c r="K3"/>
      <c r="L3"/>
      <c r="M3"/>
      <c r="O3"/>
    </row>
    <row r="4" spans="1:15">
      <c r="A4" s="509" t="s">
        <v>134</v>
      </c>
      <c r="B4" s="510"/>
      <c r="C4" s="511" t="s">
        <v>93</v>
      </c>
      <c r="D4" s="512"/>
      <c r="E4" s="512"/>
      <c r="F4" s="513"/>
      <c r="G4" s="6"/>
      <c r="H4" s="6"/>
      <c r="I4" s="6"/>
      <c r="J4" s="25"/>
      <c r="K4"/>
      <c r="L4"/>
      <c r="M4"/>
      <c r="O4"/>
    </row>
    <row r="5" spans="1:15">
      <c r="A5" s="509" t="s">
        <v>135</v>
      </c>
      <c r="B5" s="510"/>
      <c r="C5" s="511" t="s">
        <v>95</v>
      </c>
      <c r="D5" s="512"/>
      <c r="E5" s="512"/>
      <c r="F5" s="513"/>
      <c r="G5" s="6"/>
      <c r="H5" s="6"/>
      <c r="I5" s="6"/>
      <c r="J5" s="25"/>
      <c r="K5"/>
      <c r="L5"/>
      <c r="M5"/>
      <c r="O5"/>
    </row>
    <row r="6" spans="1:15">
      <c r="A6" s="509" t="s">
        <v>136</v>
      </c>
      <c r="B6" s="510"/>
      <c r="C6" s="511" t="s">
        <v>137</v>
      </c>
      <c r="D6" s="512"/>
      <c r="E6" s="512"/>
      <c r="F6" s="513"/>
      <c r="G6" s="6"/>
      <c r="H6" s="6"/>
      <c r="I6" s="6"/>
      <c r="J6" s="25"/>
      <c r="K6"/>
      <c r="L6"/>
      <c r="M6"/>
      <c r="O6"/>
    </row>
    <row r="7" spans="1:15" customHeight="1" ht="15">
      <c r="A7" s="23"/>
      <c r="B7" s="24"/>
      <c r="C7" s="24"/>
      <c r="D7" s="24"/>
      <c r="E7" s="24"/>
      <c r="F7" s="24"/>
      <c r="G7" s="24"/>
      <c r="H7" s="24"/>
      <c r="I7" s="24"/>
      <c r="J7" s="26"/>
      <c r="K7"/>
      <c r="L7"/>
      <c r="M7"/>
      <c r="O7"/>
    </row>
    <row r="8" spans="1:15" customHeight="1" ht="15">
      <c r="O8"/>
    </row>
    <row r="9" spans="1:15" customHeight="1" ht="15">
      <c r="O9"/>
    </row>
    <row r="10" spans="1:15" customHeight="1" ht="15.5">
      <c r="A10" s="1"/>
      <c r="B10" s="37" t="s">
        <v>138</v>
      </c>
      <c r="C10" s="38" t="s">
        <v>138</v>
      </c>
      <c r="D10" s="38" t="s">
        <v>138</v>
      </c>
      <c r="E10" s="38" t="s">
        <v>138</v>
      </c>
      <c r="F10" s="38" t="s">
        <v>138</v>
      </c>
      <c r="G10" s="38" t="s">
        <v>138</v>
      </c>
      <c r="H10" s="38" t="s">
        <v>138</v>
      </c>
      <c r="I10" s="38" t="s">
        <v>138</v>
      </c>
      <c r="J10" s="88" t="s">
        <v>138</v>
      </c>
      <c r="K10" s="186"/>
      <c r="L10"/>
      <c r="M10" s="522" t="s">
        <v>154</v>
      </c>
      <c r="N10" s="523"/>
      <c r="O10" s="524"/>
    </row>
    <row r="11" spans="1:15" customHeight="1" ht="15">
      <c r="A11" s="32" t="s">
        <v>140</v>
      </c>
      <c r="B11" s="28"/>
      <c r="C11" s="28"/>
      <c r="D11" s="28"/>
      <c r="E11" s="28"/>
      <c r="F11" s="28"/>
      <c r="G11" s="28"/>
      <c r="H11" s="28"/>
      <c r="I11" s="28"/>
      <c r="J11" s="28"/>
      <c r="K11" s="187"/>
      <c r="L11"/>
      <c r="M11" s="525" t="s">
        <v>155</v>
      </c>
      <c r="N11" s="526"/>
      <c r="O11" s="20">
        <v>0</v>
      </c>
    </row>
    <row r="12" spans="1:15">
      <c r="A12" s="15" t="s">
        <v>141</v>
      </c>
      <c r="B12" s="27"/>
      <c r="C12" s="27"/>
      <c r="D12" s="27"/>
      <c r="E12" s="27"/>
      <c r="F12" s="27"/>
      <c r="G12" s="27"/>
      <c r="H12" s="27"/>
      <c r="I12" s="27"/>
      <c r="J12" s="27"/>
      <c r="K12" s="187">
        <f>SUM(B12:J12)</f>
        <v>0</v>
      </c>
      <c r="L12"/>
      <c r="M12" s="527" t="s">
        <v>156</v>
      </c>
      <c r="N12" s="528"/>
      <c r="O12" s="89">
        <f>K36</f>
        <v>0</v>
      </c>
    </row>
    <row r="13" spans="1:15">
      <c r="A13" s="33" t="s">
        <v>142</v>
      </c>
      <c r="B13" s="29"/>
      <c r="C13" s="29"/>
      <c r="D13" s="29"/>
      <c r="E13" s="29"/>
      <c r="F13" s="29"/>
      <c r="G13" s="29"/>
      <c r="H13" s="29"/>
      <c r="I13" s="29"/>
      <c r="J13" s="29"/>
      <c r="K13" s="187"/>
      <c r="L13"/>
      <c r="M13" s="514"/>
      <c r="N13" s="515"/>
      <c r="O13" s="90"/>
    </row>
    <row r="14" spans="1:15">
      <c r="A14" s="34" t="s">
        <v>141</v>
      </c>
      <c r="B14" s="30"/>
      <c r="C14" s="30"/>
      <c r="D14" s="30"/>
      <c r="E14" s="30"/>
      <c r="F14" s="30"/>
      <c r="G14" s="30"/>
      <c r="H14" s="30"/>
      <c r="I14" s="30"/>
      <c r="J14" s="30"/>
      <c r="K14" s="187">
        <f>SUM(B14:J14)</f>
        <v>0</v>
      </c>
      <c r="L14"/>
      <c r="M14" s="514"/>
      <c r="N14" s="515"/>
      <c r="O14" s="90"/>
    </row>
    <row r="15" spans="1:15">
      <c r="A15" s="35" t="s">
        <v>143</v>
      </c>
      <c r="B15" s="28"/>
      <c r="C15" s="28"/>
      <c r="D15" s="28"/>
      <c r="E15" s="28"/>
      <c r="F15" s="28"/>
      <c r="G15" s="28"/>
      <c r="H15" s="28"/>
      <c r="I15" s="28"/>
      <c r="J15" s="28"/>
      <c r="K15" s="187"/>
      <c r="L15"/>
      <c r="M15" s="516"/>
      <c r="N15" s="517"/>
      <c r="O15" s="92"/>
    </row>
    <row r="16" spans="1:15">
      <c r="A16" s="15" t="s">
        <v>141</v>
      </c>
      <c r="B16" s="27"/>
      <c r="C16" s="27"/>
      <c r="D16" s="27"/>
      <c r="E16" s="27"/>
      <c r="F16" s="27"/>
      <c r="G16" s="27"/>
      <c r="H16" s="27"/>
      <c r="I16" s="27"/>
      <c r="J16" s="27"/>
      <c r="K16" s="187">
        <f>SUM(B16:J16)</f>
        <v>0</v>
      </c>
      <c r="L16"/>
      <c r="M16" s="518"/>
      <c r="N16" s="519"/>
      <c r="O16" s="91"/>
    </row>
    <row r="17" spans="1:15">
      <c r="A17" s="33" t="s">
        <v>144</v>
      </c>
      <c r="B17" s="29"/>
      <c r="C17" s="29"/>
      <c r="D17" s="29"/>
      <c r="E17" s="29"/>
      <c r="F17" s="29"/>
      <c r="G17" s="29"/>
      <c r="H17" s="29"/>
      <c r="I17" s="29"/>
      <c r="J17" s="29"/>
      <c r="K17" s="187"/>
      <c r="L17"/>
      <c r="M17" s="520"/>
      <c r="N17" s="521"/>
      <c r="O17" s="93"/>
    </row>
    <row r="18" spans="1:15">
      <c r="A18" s="34" t="s">
        <v>141</v>
      </c>
      <c r="B18" s="30"/>
      <c r="C18" s="30"/>
      <c r="D18" s="30"/>
      <c r="E18" s="30"/>
      <c r="F18" s="30"/>
      <c r="G18" s="30"/>
      <c r="H18" s="30"/>
      <c r="I18" s="30"/>
      <c r="J18" s="30"/>
      <c r="K18" s="187">
        <f>SUM(B18:J18)</f>
        <v>0</v>
      </c>
      <c r="L18"/>
      <c r="M18" s="520"/>
      <c r="N18" s="521"/>
      <c r="O18" s="93"/>
    </row>
    <row r="19" spans="1:15">
      <c r="A19" s="35" t="s">
        <v>145</v>
      </c>
      <c r="B19" s="28"/>
      <c r="C19" s="28"/>
      <c r="D19" s="28"/>
      <c r="E19" s="28"/>
      <c r="F19" s="28"/>
      <c r="G19" s="28"/>
      <c r="H19" s="28"/>
      <c r="I19" s="28"/>
      <c r="J19" s="28"/>
      <c r="K19" s="187"/>
      <c r="L19"/>
      <c r="M19" s="520"/>
      <c r="N19" s="521"/>
      <c r="O19" s="93"/>
    </row>
    <row r="20" spans="1:15">
      <c r="A20" s="15" t="s">
        <v>141</v>
      </c>
      <c r="B20" s="27"/>
      <c r="C20" s="27"/>
      <c r="D20" s="27"/>
      <c r="E20" s="27"/>
      <c r="F20" s="27"/>
      <c r="G20" s="27"/>
      <c r="H20" s="27"/>
      <c r="I20" s="27"/>
      <c r="J20" s="27"/>
      <c r="K20" s="187">
        <f>SUM(B20:J20)</f>
        <v>0</v>
      </c>
      <c r="L20"/>
      <c r="M20" s="520"/>
      <c r="N20" s="521"/>
      <c r="O20" s="93"/>
    </row>
    <row r="21" spans="1:15">
      <c r="A21" s="33" t="s">
        <v>146</v>
      </c>
      <c r="B21" s="29"/>
      <c r="C21" s="29"/>
      <c r="D21" s="29"/>
      <c r="E21" s="29"/>
      <c r="F21" s="29"/>
      <c r="G21" s="29"/>
      <c r="H21" s="29"/>
      <c r="I21" s="29"/>
      <c r="J21" s="29"/>
      <c r="K21" s="187"/>
      <c r="L21"/>
      <c r="M21" s="520"/>
      <c r="N21" s="521"/>
      <c r="O21" s="93"/>
    </row>
    <row r="22" spans="1:15">
      <c r="A22" s="34" t="s">
        <v>141</v>
      </c>
      <c r="B22" s="30"/>
      <c r="C22" s="30"/>
      <c r="D22" s="30"/>
      <c r="E22" s="30"/>
      <c r="F22" s="30"/>
      <c r="G22" s="30"/>
      <c r="H22" s="30"/>
      <c r="I22" s="30"/>
      <c r="J22" s="30"/>
      <c r="K22" s="187">
        <f>SUM(B22:J22)</f>
        <v>0</v>
      </c>
      <c r="L22"/>
      <c r="M22" s="520"/>
      <c r="N22" s="521"/>
      <c r="O22" s="93"/>
    </row>
    <row r="23" spans="1:15">
      <c r="A23" s="35" t="s">
        <v>147</v>
      </c>
      <c r="B23" s="28"/>
      <c r="C23" s="28"/>
      <c r="D23" s="28"/>
      <c r="E23" s="28"/>
      <c r="F23" s="28"/>
      <c r="G23" s="28"/>
      <c r="H23" s="28"/>
      <c r="I23" s="28"/>
      <c r="J23" s="28"/>
      <c r="K23" s="187"/>
      <c r="L23"/>
      <c r="M23" s="520"/>
      <c r="N23" s="521"/>
      <c r="O23" s="93"/>
    </row>
    <row r="24" spans="1:15">
      <c r="A24" s="15" t="s">
        <v>141</v>
      </c>
      <c r="B24" s="27"/>
      <c r="C24" s="27"/>
      <c r="D24" s="27"/>
      <c r="E24" s="27"/>
      <c r="F24" s="27"/>
      <c r="G24" s="27"/>
      <c r="H24" s="27"/>
      <c r="I24" s="27"/>
      <c r="J24" s="27"/>
      <c r="K24" s="187">
        <f>SUM(B24:J24)</f>
        <v>0</v>
      </c>
      <c r="L24"/>
      <c r="M24" s="520"/>
      <c r="N24" s="521"/>
      <c r="O24" s="93"/>
    </row>
    <row r="25" spans="1:15">
      <c r="A25" s="33" t="s">
        <v>148</v>
      </c>
      <c r="B25" s="29"/>
      <c r="C25" s="29"/>
      <c r="D25" s="29"/>
      <c r="E25" s="29"/>
      <c r="F25" s="29"/>
      <c r="G25" s="29"/>
      <c r="H25" s="29"/>
      <c r="I25" s="29"/>
      <c r="J25" s="29"/>
      <c r="K25" s="187"/>
      <c r="L25"/>
      <c r="M25" s="520"/>
      <c r="N25" s="521"/>
      <c r="O25" s="93"/>
    </row>
    <row r="26" spans="1:15">
      <c r="A26" s="34" t="s">
        <v>141</v>
      </c>
      <c r="B26" s="30"/>
      <c r="C26" s="30"/>
      <c r="D26" s="30"/>
      <c r="E26" s="30"/>
      <c r="F26" s="30"/>
      <c r="G26" s="30"/>
      <c r="H26" s="30"/>
      <c r="I26" s="30"/>
      <c r="J26" s="30"/>
      <c r="K26" s="187">
        <f>SUM(B26:J26)</f>
        <v>0</v>
      </c>
      <c r="L26"/>
      <c r="M26" s="520"/>
      <c r="N26" s="521"/>
      <c r="O26" s="93"/>
    </row>
    <row r="27" spans="1:15">
      <c r="A27" s="35" t="s">
        <v>149</v>
      </c>
      <c r="B27" s="28"/>
      <c r="C27" s="28"/>
      <c r="D27" s="28"/>
      <c r="E27" s="28"/>
      <c r="F27" s="28"/>
      <c r="G27" s="28"/>
      <c r="H27" s="28"/>
      <c r="I27" s="28"/>
      <c r="J27" s="28"/>
      <c r="K27" s="187"/>
      <c r="L27"/>
      <c r="M27" s="520"/>
      <c r="N27" s="521"/>
      <c r="O27" s="93"/>
    </row>
    <row r="28" spans="1:15">
      <c r="A28" s="15" t="s">
        <v>141</v>
      </c>
      <c r="B28" s="27"/>
      <c r="C28" s="27"/>
      <c r="D28" s="27"/>
      <c r="E28" s="27"/>
      <c r="F28" s="27"/>
      <c r="G28" s="27"/>
      <c r="H28" s="27"/>
      <c r="I28" s="27"/>
      <c r="J28" s="27"/>
      <c r="K28" s="187">
        <f>SUM(B28:J28)</f>
        <v>0</v>
      </c>
      <c r="L28"/>
      <c r="M28" s="520"/>
      <c r="N28" s="521"/>
      <c r="O28" s="93"/>
    </row>
    <row r="29" spans="1:15">
      <c r="A29" s="33" t="s">
        <v>150</v>
      </c>
      <c r="B29" s="29"/>
      <c r="C29" s="29"/>
      <c r="D29" s="29"/>
      <c r="E29" s="29"/>
      <c r="F29" s="29"/>
      <c r="G29" s="29"/>
      <c r="H29" s="29"/>
      <c r="I29" s="29"/>
      <c r="J29" s="29"/>
      <c r="K29" s="187"/>
      <c r="L29"/>
      <c r="M29" s="520"/>
      <c r="N29" s="521"/>
      <c r="O29" s="93"/>
    </row>
    <row r="30" spans="1:15">
      <c r="A30" s="34" t="s">
        <v>141</v>
      </c>
      <c r="B30" s="30"/>
      <c r="C30" s="30"/>
      <c r="D30" s="30"/>
      <c r="E30" s="30"/>
      <c r="F30" s="30"/>
      <c r="G30" s="30"/>
      <c r="H30" s="30"/>
      <c r="I30" s="30"/>
      <c r="J30" s="30"/>
      <c r="K30" s="187">
        <f>SUM(B30:J30)</f>
        <v>0</v>
      </c>
      <c r="L30"/>
      <c r="M30" s="520"/>
      <c r="N30" s="521"/>
      <c r="O30" s="93"/>
    </row>
    <row r="31" spans="1:15">
      <c r="A31" s="35" t="s">
        <v>151</v>
      </c>
      <c r="B31" s="28"/>
      <c r="C31" s="28"/>
      <c r="D31" s="28"/>
      <c r="E31" s="28"/>
      <c r="F31" s="28"/>
      <c r="G31" s="28"/>
      <c r="H31" s="28"/>
      <c r="I31" s="28"/>
      <c r="J31" s="28"/>
      <c r="K31" s="187"/>
      <c r="L31"/>
      <c r="M31" s="520"/>
      <c r="N31" s="521"/>
      <c r="O31" s="93"/>
    </row>
    <row r="32" spans="1:15">
      <c r="A32" s="15" t="s">
        <v>141</v>
      </c>
      <c r="B32" s="27"/>
      <c r="C32" s="27"/>
      <c r="D32" s="27"/>
      <c r="E32" s="27"/>
      <c r="F32" s="27"/>
      <c r="G32" s="27"/>
      <c r="H32" s="27"/>
      <c r="I32" s="27"/>
      <c r="J32" s="27"/>
      <c r="K32" s="187">
        <f>SUM(B32:J32)</f>
        <v>0</v>
      </c>
      <c r="L32"/>
      <c r="M32" s="514"/>
      <c r="N32" s="515"/>
      <c r="O32" s="90"/>
    </row>
    <row r="33" spans="1:15">
      <c r="A33" s="33" t="s">
        <v>152</v>
      </c>
      <c r="B33" s="29"/>
      <c r="C33" s="29"/>
      <c r="D33" s="29"/>
      <c r="E33" s="29"/>
      <c r="F33" s="29"/>
      <c r="G33" s="29"/>
      <c r="H33" s="29"/>
      <c r="I33" s="29"/>
      <c r="J33" s="29"/>
      <c r="K33" s="187"/>
      <c r="L33"/>
      <c r="M33" s="514"/>
      <c r="N33" s="515"/>
      <c r="O33" s="90"/>
    </row>
    <row r="34" spans="1:15" customHeight="1" ht="15">
      <c r="A34" s="36" t="s">
        <v>141</v>
      </c>
      <c r="B34" s="31"/>
      <c r="C34" s="31"/>
      <c r="D34" s="31"/>
      <c r="E34" s="31"/>
      <c r="F34" s="31"/>
      <c r="G34" s="31"/>
      <c r="H34" s="31"/>
      <c r="I34" s="31"/>
      <c r="J34" s="31"/>
      <c r="K34" s="188">
        <f>SUM(B34:J34)</f>
        <v>0</v>
      </c>
      <c r="L34"/>
      <c r="M34" s="340"/>
      <c r="N34" s="341"/>
      <c r="O34" s="22"/>
    </row>
    <row r="35" spans="1:15" customHeight="1" ht="15.5">
      <c r="M35"/>
      <c r="O35"/>
    </row>
    <row r="36" spans="1:15" customHeight="1" ht="15.5">
      <c r="K36" s="77">
        <f>SUM(K12,K14,K16,K18,K20,K22,K24,K26,K28,K30,K32,K34)</f>
        <v>0</v>
      </c>
      <c r="O36"/>
    </row>
    <row r="37" spans="1:15" customHeight="1" ht="15">
      <c r="O37"/>
    </row>
  </sheetData>
  <sheetProtection formatCells="0" formatColumns="0" formatRows="0" insertColumns="0" insertRows="0" insertHyperlinks="0" deleteColumns="0" deleteRows="0" sort="0" autoFilter="0" pivotTables="0"/>
  <mergeCells>
    <mergeCell ref="M31:N31"/>
    <mergeCell ref="M32:N32"/>
    <mergeCell ref="M33:N33"/>
    <mergeCell ref="M34:N34"/>
    <mergeCell ref="M26:N26"/>
    <mergeCell ref="M27:N27"/>
    <mergeCell ref="M28:N28"/>
    <mergeCell ref="M29:N29"/>
    <mergeCell ref="M30:N30"/>
    <mergeCell ref="M21:N21"/>
    <mergeCell ref="M22:N22"/>
    <mergeCell ref="M23:N23"/>
    <mergeCell ref="M24:N24"/>
    <mergeCell ref="M25:N25"/>
    <mergeCell ref="M16:N16"/>
    <mergeCell ref="M17:N17"/>
    <mergeCell ref="M18:N18"/>
    <mergeCell ref="M19:N19"/>
    <mergeCell ref="M20:N20"/>
    <mergeCell ref="M11:N11"/>
    <mergeCell ref="M12:N12"/>
    <mergeCell ref="M13:N13"/>
    <mergeCell ref="M14:N14"/>
    <mergeCell ref="M15:N15"/>
    <mergeCell ref="M10:O10"/>
    <mergeCell ref="A1:J2"/>
    <mergeCell ref="A3:B3"/>
    <mergeCell ref="A4:B4"/>
    <mergeCell ref="A5:B5"/>
    <mergeCell ref="A6:B6"/>
    <mergeCell ref="C3:F3"/>
    <mergeCell ref="G3:I3"/>
    <mergeCell ref="C4:F4"/>
    <mergeCell ref="C5:F5"/>
    <mergeCell ref="C6:F6"/>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BA74"/>
  <sheetViews>
    <sheetView tabSelected="0" workbookViewId="0" showGridLines="true" showRowColHeaders="1" topLeftCell="P31">
      <selection activeCell="AK52" sqref="AK52"/>
    </sheetView>
  </sheetViews>
  <sheetFormatPr defaultRowHeight="14.4" defaultColWidth="9.1796875" outlineLevelRow="0" outlineLevelCol="0"/>
  <cols>
    <col min="1" max="1" width="10" customWidth="true" style="0"/>
    <col min="2" max="2" width="15" customWidth="true" style="0"/>
    <col min="3" max="3" width="4.1796875" customWidth="true" style="0"/>
    <col min="4" max="4" width="4.1796875" customWidth="true" style="0"/>
    <col min="5" max="5" width="4.1796875" customWidth="true" style="0"/>
    <col min="6" max="6" width="4.1796875" customWidth="true" style="0"/>
    <col min="7" max="7" width="4.1796875" customWidth="true" style="0"/>
    <col min="8" max="8" width="4.1796875" customWidth="true" style="0"/>
    <col min="9" max="9" width="4.1796875" customWidth="true" style="0"/>
    <col min="10" max="10" width="4.1796875" customWidth="true" style="0"/>
    <col min="11" max="11" width="4.1796875" customWidth="true" style="0"/>
    <col min="12" max="12" width="4.1796875" customWidth="true" style="0"/>
    <col min="13" max="13" width="4.1796875" customWidth="true" style="0"/>
    <col min="14" max="14" width="4.1796875" customWidth="true" style="0"/>
    <col min="15" max="15" width="4.1796875" customWidth="true" style="0"/>
    <col min="16" max="16" width="4.1796875" customWidth="true" style="0"/>
    <col min="17" max="17" width="4.1796875" customWidth="true" style="0"/>
    <col min="18" max="18" width="4.1796875" customWidth="true" style="0"/>
    <col min="19" max="19" width="4.1796875" customWidth="true" style="0"/>
    <col min="20" max="20" width="4.1796875" customWidth="true" style="0"/>
    <col min="21" max="21" width="4.1796875" customWidth="true" style="0"/>
    <col min="22" max="22" width="4.1796875" customWidth="true" style="0"/>
    <col min="23" max="23" width="4.1796875" customWidth="true" style="0"/>
    <col min="24" max="24" width="4.1796875" customWidth="true" style="0"/>
    <col min="25" max="25" width="4.1796875" customWidth="true" style="0"/>
    <col min="26" max="26" width="4.1796875" customWidth="true" style="0"/>
    <col min="29" max="29" width="15" customWidth="true" style="0"/>
    <col min="30" max="30" width="4.1796875" customWidth="true" style="0"/>
    <col min="31" max="31" width="4.1796875" customWidth="true" style="0"/>
    <col min="32" max="32" width="4.1796875" customWidth="true" style="0"/>
    <col min="33" max="33" width="4.1796875" customWidth="true" style="0"/>
    <col min="34" max="34" width="6.81640625" customWidth="true" style="0"/>
    <col min="35" max="35" width="7.453125" customWidth="true" style="0"/>
    <col min="36" max="36" width="6.7265625" customWidth="true" style="0"/>
    <col min="37" max="37" width="4.1796875" customWidth="true" style="0"/>
    <col min="38" max="38" width="4.1796875" customWidth="true" style="0"/>
    <col min="39" max="39" width="4.1796875" customWidth="true" style="0"/>
    <col min="40" max="40" width="4.1796875" customWidth="true" style="0"/>
    <col min="41" max="41" width="4.1796875" customWidth="true" style="0"/>
    <col min="42" max="42" width="4.1796875" customWidth="true" style="0"/>
    <col min="43" max="43" width="4.1796875" customWidth="true" style="0"/>
    <col min="44" max="44" width="4.1796875" customWidth="true" style="0"/>
    <col min="45" max="45" width="4.1796875" customWidth="true" style="0"/>
    <col min="46" max="46" width="4.1796875" customWidth="true" style="0"/>
    <col min="47" max="47" width="4.1796875" customWidth="true" style="0"/>
    <col min="48" max="48" width="4.1796875" customWidth="true" style="0"/>
    <col min="49" max="49" width="4.1796875" customWidth="true" style="0"/>
    <col min="50" max="50" width="4.1796875" customWidth="true" style="0"/>
    <col min="51" max="51" width="4.1796875" customWidth="true" style="0"/>
    <col min="52" max="52" width="4.1796875" customWidth="true" style="0"/>
    <col min="53" max="53" width="4.1796875" customWidth="true" style="0"/>
  </cols>
  <sheetData>
    <row r="2" spans="1:53">
      <c r="A2" s="42">
        <v>1</v>
      </c>
      <c r="C2" s="547" t="s">
        <v>157</v>
      </c>
      <c r="D2" s="548"/>
      <c r="E2" s="548"/>
      <c r="F2" s="548"/>
      <c r="G2" s="548"/>
      <c r="H2" s="548"/>
      <c r="I2" s="548"/>
      <c r="J2" s="549"/>
      <c r="K2" s="547" t="s">
        <v>158</v>
      </c>
      <c r="L2" s="548"/>
      <c r="M2" s="548"/>
      <c r="N2" s="548"/>
      <c r="O2" s="548"/>
      <c r="P2" s="548"/>
      <c r="Q2" s="548"/>
      <c r="R2" s="549"/>
      <c r="S2" s="547" t="s">
        <v>159</v>
      </c>
      <c r="T2" s="548"/>
      <c r="U2" s="548"/>
      <c r="V2" s="548"/>
      <c r="W2" s="548"/>
      <c r="X2" s="548"/>
      <c r="Y2" s="548"/>
      <c r="Z2" s="549"/>
      <c r="AA2" s="13"/>
      <c r="AB2" s="42">
        <v>2</v>
      </c>
      <c r="AC2" s="13"/>
      <c r="AD2" s="547" t="s">
        <v>160</v>
      </c>
      <c r="AE2" s="548"/>
      <c r="AF2" s="548"/>
      <c r="AG2" s="548"/>
      <c r="AH2" s="548"/>
      <c r="AI2" s="548"/>
      <c r="AJ2" s="548"/>
      <c r="AK2" s="549"/>
      <c r="AL2" s="547" t="s">
        <v>161</v>
      </c>
      <c r="AM2" s="548"/>
      <c r="AN2" s="548"/>
      <c r="AO2" s="548"/>
      <c r="AP2" s="548"/>
      <c r="AQ2" s="548"/>
      <c r="AR2" s="548"/>
      <c r="AS2" s="549"/>
      <c r="AT2" s="547" t="s">
        <v>162</v>
      </c>
      <c r="AU2" s="548"/>
      <c r="AV2" s="548"/>
      <c r="AW2" s="548"/>
      <c r="AX2" s="548"/>
      <c r="AY2" s="548"/>
      <c r="AZ2" s="548"/>
      <c r="BA2" s="549"/>
    </row>
    <row r="3" spans="1:53" customHeight="1" ht="152.25">
      <c r="C3" s="49" t="s">
        <v>163</v>
      </c>
      <c r="D3" s="50" t="s">
        <v>164</v>
      </c>
      <c r="E3" s="50" t="s">
        <v>165</v>
      </c>
      <c r="F3" s="50" t="s">
        <v>166</v>
      </c>
      <c r="G3" s="193" t="s">
        <v>167</v>
      </c>
      <c r="H3" s="50" t="s">
        <v>168</v>
      </c>
      <c r="I3" s="50" t="s">
        <v>169</v>
      </c>
      <c r="J3" s="51" t="s">
        <v>170</v>
      </c>
      <c r="K3" s="49" t="s">
        <v>163</v>
      </c>
      <c r="L3" s="50" t="s">
        <v>164</v>
      </c>
      <c r="M3" s="50" t="s">
        <v>165</v>
      </c>
      <c r="N3" s="50" t="s">
        <v>166</v>
      </c>
      <c r="O3" s="50" t="s">
        <v>167</v>
      </c>
      <c r="P3" s="50" t="s">
        <v>168</v>
      </c>
      <c r="Q3" s="50" t="s">
        <v>169</v>
      </c>
      <c r="R3" s="51" t="s">
        <v>170</v>
      </c>
      <c r="S3" s="49" t="s">
        <v>163</v>
      </c>
      <c r="T3" s="50" t="s">
        <v>164</v>
      </c>
      <c r="U3" s="50" t="s">
        <v>165</v>
      </c>
      <c r="V3" s="50" t="s">
        <v>166</v>
      </c>
      <c r="W3" s="50" t="s">
        <v>167</v>
      </c>
      <c r="X3" s="50" t="s">
        <v>168</v>
      </c>
      <c r="Y3" s="50" t="s">
        <v>169</v>
      </c>
      <c r="Z3" s="51" t="s">
        <v>170</v>
      </c>
      <c r="AD3" s="46" t="s">
        <v>163</v>
      </c>
      <c r="AE3" s="47" t="s">
        <v>164</v>
      </c>
      <c r="AF3" s="47" t="s">
        <v>165</v>
      </c>
      <c r="AG3" s="47" t="s">
        <v>166</v>
      </c>
      <c r="AH3" s="47" t="s">
        <v>167</v>
      </c>
      <c r="AI3" s="47" t="s">
        <v>168</v>
      </c>
      <c r="AJ3" s="47" t="s">
        <v>169</v>
      </c>
      <c r="AK3" s="48" t="s">
        <v>170</v>
      </c>
      <c r="AL3" s="46" t="s">
        <v>163</v>
      </c>
      <c r="AM3" s="47" t="s">
        <v>164</v>
      </c>
      <c r="AN3" s="47" t="s">
        <v>165</v>
      </c>
      <c r="AO3" s="47" t="s">
        <v>166</v>
      </c>
      <c r="AP3" s="47" t="s">
        <v>167</v>
      </c>
      <c r="AQ3" s="47" t="s">
        <v>168</v>
      </c>
      <c r="AR3" s="47" t="s">
        <v>169</v>
      </c>
      <c r="AS3" s="48" t="s">
        <v>170</v>
      </c>
      <c r="AT3" s="46" t="s">
        <v>163</v>
      </c>
      <c r="AU3" s="47" t="s">
        <v>164</v>
      </c>
      <c r="AV3" s="47" t="s">
        <v>165</v>
      </c>
      <c r="AW3" s="47" t="s">
        <v>166</v>
      </c>
      <c r="AX3" s="47" t="s">
        <v>167</v>
      </c>
      <c r="AY3" s="47" t="s">
        <v>168</v>
      </c>
      <c r="AZ3" s="47" t="s">
        <v>169</v>
      </c>
      <c r="BA3" s="48" t="s">
        <v>170</v>
      </c>
    </row>
    <row r="4" spans="1:53">
      <c r="A4" s="1" t="s">
        <v>171</v>
      </c>
      <c r="B4" s="2" t="s">
        <v>172</v>
      </c>
      <c r="C4" s="43"/>
      <c r="D4" s="13"/>
      <c r="E4" s="13"/>
      <c r="F4" s="13"/>
      <c r="G4" s="13"/>
      <c r="H4" s="13"/>
      <c r="I4" s="13"/>
      <c r="J4" s="78"/>
      <c r="K4" s="43"/>
      <c r="L4" s="13"/>
      <c r="M4" s="13"/>
      <c r="N4" s="13"/>
      <c r="O4" s="13"/>
      <c r="P4" s="13">
        <v>1</v>
      </c>
      <c r="Q4" s="13"/>
      <c r="R4" s="78"/>
      <c r="S4" s="43"/>
      <c r="T4" s="13"/>
      <c r="U4" s="13"/>
      <c r="V4" s="13"/>
      <c r="W4" s="13"/>
      <c r="X4" s="13"/>
      <c r="Y4" s="13"/>
      <c r="Z4" s="78"/>
      <c r="AB4" s="1" t="s">
        <v>171</v>
      </c>
      <c r="AC4" s="2" t="s">
        <v>172</v>
      </c>
      <c r="AD4" s="43"/>
      <c r="AE4" s="13"/>
      <c r="AF4" s="13"/>
      <c r="AG4" s="13"/>
      <c r="AH4" s="13"/>
      <c r="AI4" s="13"/>
      <c r="AJ4" s="13"/>
      <c r="AK4" s="78"/>
      <c r="AL4" s="43"/>
      <c r="AM4" s="13"/>
      <c r="AN4" s="13"/>
      <c r="AO4" s="13"/>
      <c r="AP4" s="13"/>
      <c r="AQ4" s="13"/>
      <c r="AR4" s="13"/>
      <c r="AS4" s="78"/>
      <c r="AT4" s="43"/>
      <c r="AU4" s="13"/>
      <c r="AV4" s="13"/>
      <c r="AW4" s="13"/>
      <c r="AX4" s="13"/>
      <c r="AY4" s="13"/>
      <c r="AZ4" s="13"/>
      <c r="BA4" s="78"/>
    </row>
    <row r="5" spans="1:53">
      <c r="A5" s="82"/>
      <c r="B5" s="9" t="s">
        <v>173</v>
      </c>
      <c r="C5" s="43"/>
      <c r="D5" s="13"/>
      <c r="E5" s="13"/>
      <c r="F5" s="13"/>
      <c r="G5" s="13"/>
      <c r="H5" s="13"/>
      <c r="I5" s="13"/>
      <c r="J5" s="78"/>
      <c r="K5" s="43"/>
      <c r="L5" s="13"/>
      <c r="M5" s="13"/>
      <c r="N5" s="13"/>
      <c r="O5" s="13"/>
      <c r="P5" s="13"/>
      <c r="Q5" s="13"/>
      <c r="R5" s="78"/>
      <c r="S5" s="43"/>
      <c r="T5" s="13"/>
      <c r="U5" s="13"/>
      <c r="V5" s="13"/>
      <c r="W5" s="13"/>
      <c r="X5" s="13"/>
      <c r="Y5" s="13"/>
      <c r="Z5" s="78"/>
      <c r="AB5" s="82"/>
      <c r="AC5" s="9" t="s">
        <v>173</v>
      </c>
      <c r="AD5" s="43"/>
      <c r="AE5" s="13"/>
      <c r="AF5" s="13"/>
      <c r="AG5" s="13"/>
      <c r="AH5" s="13"/>
      <c r="AI5" s="13"/>
      <c r="AJ5" s="13"/>
      <c r="AK5" s="78"/>
      <c r="AL5" s="43"/>
      <c r="AM5" s="13"/>
      <c r="AN5" s="13"/>
      <c r="AO5" s="13"/>
      <c r="AP5" s="13"/>
      <c r="AQ5" s="13"/>
      <c r="AR5" s="13"/>
      <c r="AS5" s="78"/>
      <c r="AT5" s="43"/>
      <c r="AU5" s="13"/>
      <c r="AV5" s="13"/>
      <c r="AW5" s="13"/>
      <c r="AX5" s="13"/>
      <c r="AY5" s="13"/>
      <c r="AZ5" s="13"/>
      <c r="BA5" s="78"/>
    </row>
    <row r="6" spans="1:53">
      <c r="A6" s="82"/>
      <c r="B6" s="9" t="s">
        <v>174</v>
      </c>
      <c r="C6" s="43"/>
      <c r="D6" s="13"/>
      <c r="E6" s="13"/>
      <c r="F6" s="13"/>
      <c r="G6" s="13"/>
      <c r="H6" s="13"/>
      <c r="I6" s="13"/>
      <c r="J6" s="78"/>
      <c r="K6" s="43"/>
      <c r="L6" s="13"/>
      <c r="M6" s="13"/>
      <c r="N6" s="13"/>
      <c r="O6" s="13"/>
      <c r="P6" s="13"/>
      <c r="Q6" s="13"/>
      <c r="R6" s="78"/>
      <c r="S6" s="43"/>
      <c r="T6" s="13"/>
      <c r="U6" s="13"/>
      <c r="V6" s="13"/>
      <c r="W6" s="13"/>
      <c r="X6" s="13"/>
      <c r="Y6" s="13"/>
      <c r="Z6" s="78"/>
      <c r="AB6" s="82"/>
      <c r="AC6" s="9" t="s">
        <v>174</v>
      </c>
      <c r="AD6" s="43"/>
      <c r="AE6" s="13"/>
      <c r="AF6" s="13"/>
      <c r="AG6" s="13"/>
      <c r="AH6" s="13"/>
      <c r="AI6" s="13"/>
      <c r="AJ6" s="13"/>
      <c r="AK6" s="78"/>
      <c r="AL6" s="43"/>
      <c r="AM6" s="13"/>
      <c r="AN6" s="13"/>
      <c r="AO6" s="13"/>
      <c r="AP6" s="13"/>
      <c r="AQ6" s="13"/>
      <c r="AR6" s="13"/>
      <c r="AS6" s="78"/>
      <c r="AT6" s="43"/>
      <c r="AU6" s="13"/>
      <c r="AV6" s="13"/>
      <c r="AW6" s="13"/>
      <c r="AX6" s="13"/>
      <c r="AY6" s="13"/>
      <c r="AZ6" s="13"/>
      <c r="BA6" s="78"/>
    </row>
    <row r="7" spans="1:53">
      <c r="A7" s="82" t="s">
        <v>175</v>
      </c>
      <c r="B7" s="9" t="s">
        <v>172</v>
      </c>
      <c r="C7" s="43"/>
      <c r="D7" s="13"/>
      <c r="E7" s="13"/>
      <c r="F7" s="13"/>
      <c r="G7" s="13"/>
      <c r="H7" s="13"/>
      <c r="I7" s="13"/>
      <c r="J7" s="78"/>
      <c r="K7" s="43"/>
      <c r="L7" s="13"/>
      <c r="M7" s="13"/>
      <c r="N7" s="13"/>
      <c r="O7" s="13"/>
      <c r="P7" s="13">
        <v>1</v>
      </c>
      <c r="Q7" s="13"/>
      <c r="R7" s="78"/>
      <c r="S7" s="43"/>
      <c r="T7" s="13"/>
      <c r="U7" s="13"/>
      <c r="V7" s="13"/>
      <c r="W7" s="13"/>
      <c r="X7" s="13"/>
      <c r="Y7" s="13"/>
      <c r="Z7" s="78"/>
      <c r="AB7" s="82" t="s">
        <v>175</v>
      </c>
      <c r="AC7" s="9" t="s">
        <v>172</v>
      </c>
      <c r="AD7" s="43"/>
      <c r="AE7" s="13"/>
      <c r="AF7" s="13"/>
      <c r="AG7" s="13"/>
      <c r="AH7" s="13"/>
      <c r="AI7" s="13"/>
      <c r="AJ7" s="13"/>
      <c r="AK7" s="78"/>
      <c r="AL7" s="43"/>
      <c r="AM7" s="13"/>
      <c r="AN7" s="13"/>
      <c r="AO7" s="13"/>
      <c r="AP7" s="13"/>
      <c r="AQ7" s="13"/>
      <c r="AR7" s="13"/>
      <c r="AS7" s="78"/>
      <c r="AT7" s="43"/>
      <c r="AU7" s="13"/>
      <c r="AV7" s="13"/>
      <c r="AW7" s="13"/>
      <c r="AX7" s="13"/>
      <c r="AY7" s="13"/>
      <c r="AZ7" s="13"/>
      <c r="BA7" s="78"/>
    </row>
    <row r="8" spans="1:53">
      <c r="A8" s="82"/>
      <c r="B8" s="9" t="s">
        <v>173</v>
      </c>
      <c r="C8" s="43"/>
      <c r="D8" s="13"/>
      <c r="E8" s="13"/>
      <c r="F8" s="13"/>
      <c r="G8" s="13"/>
      <c r="H8" s="13"/>
      <c r="I8" s="13"/>
      <c r="J8" s="78"/>
      <c r="K8" s="43"/>
      <c r="L8" s="13"/>
      <c r="M8" s="13"/>
      <c r="N8" s="13"/>
      <c r="O8" s="13"/>
      <c r="P8" s="13"/>
      <c r="Q8" s="13"/>
      <c r="R8" s="78"/>
      <c r="S8" s="43"/>
      <c r="T8" s="13"/>
      <c r="U8" s="13"/>
      <c r="V8" s="13"/>
      <c r="W8" s="13"/>
      <c r="X8" s="13"/>
      <c r="Y8" s="13"/>
      <c r="Z8" s="78"/>
      <c r="AB8" s="82"/>
      <c r="AC8" s="9" t="s">
        <v>173</v>
      </c>
      <c r="AD8" s="43"/>
      <c r="AE8" s="13"/>
      <c r="AF8" s="13"/>
      <c r="AG8" s="13"/>
      <c r="AH8" s="13"/>
      <c r="AI8" s="13"/>
      <c r="AJ8" s="13"/>
      <c r="AK8" s="78"/>
      <c r="AL8" s="43"/>
      <c r="AM8" s="13"/>
      <c r="AN8" s="13"/>
      <c r="AO8" s="13"/>
      <c r="AP8" s="13"/>
      <c r="AQ8" s="13"/>
      <c r="AR8" s="13"/>
      <c r="AS8" s="78"/>
      <c r="AT8" s="43"/>
      <c r="AU8" s="13"/>
      <c r="AV8" s="13"/>
      <c r="AW8" s="13"/>
      <c r="AX8" s="13"/>
      <c r="AY8" s="13"/>
      <c r="AZ8" s="13"/>
      <c r="BA8" s="78"/>
    </row>
    <row r="9" spans="1:53">
      <c r="A9" s="82"/>
      <c r="B9" s="9" t="s">
        <v>174</v>
      </c>
      <c r="C9" s="43"/>
      <c r="D9" s="13"/>
      <c r="E9" s="13"/>
      <c r="F9" s="13"/>
      <c r="G9" s="13"/>
      <c r="H9" s="13"/>
      <c r="I9" s="13"/>
      <c r="J9" s="78"/>
      <c r="K9" s="43"/>
      <c r="L9" s="13"/>
      <c r="M9" s="13"/>
      <c r="N9" s="13"/>
      <c r="O9" s="13"/>
      <c r="P9" s="13"/>
      <c r="Q9" s="13"/>
      <c r="R9" s="78"/>
      <c r="S9" s="43"/>
      <c r="T9" s="13"/>
      <c r="U9" s="13"/>
      <c r="V9" s="13"/>
      <c r="W9" s="13"/>
      <c r="X9" s="13"/>
      <c r="Y9" s="13"/>
      <c r="Z9" s="78"/>
      <c r="AB9" s="82"/>
      <c r="AC9" s="9" t="s">
        <v>174</v>
      </c>
      <c r="AD9" s="43"/>
      <c r="AE9" s="13"/>
      <c r="AF9" s="13"/>
      <c r="AG9" s="13"/>
      <c r="AH9" s="13"/>
      <c r="AI9" s="13"/>
      <c r="AJ9" s="13"/>
      <c r="AK9" s="78"/>
      <c r="AL9" s="43"/>
      <c r="AM9" s="13"/>
      <c r="AN9" s="13"/>
      <c r="AO9" s="13"/>
      <c r="AP9" s="13"/>
      <c r="AQ9" s="13"/>
      <c r="AR9" s="13"/>
      <c r="AS9" s="78"/>
      <c r="AT9" s="43"/>
      <c r="AU9" s="13"/>
      <c r="AV9" s="13"/>
      <c r="AW9" s="13"/>
      <c r="AX9" s="13"/>
      <c r="AY9" s="13"/>
      <c r="AZ9" s="13"/>
      <c r="BA9" s="78"/>
    </row>
    <row r="10" spans="1:53">
      <c r="A10" s="82" t="s">
        <v>176</v>
      </c>
      <c r="B10" s="9" t="s">
        <v>172</v>
      </c>
      <c r="C10" s="43"/>
      <c r="D10" s="13"/>
      <c r="E10" s="13"/>
      <c r="F10" s="13"/>
      <c r="G10" s="13"/>
      <c r="H10" s="13"/>
      <c r="I10" s="13"/>
      <c r="J10" s="78"/>
      <c r="K10" s="43"/>
      <c r="L10" s="13"/>
      <c r="M10" s="13"/>
      <c r="N10" s="13"/>
      <c r="O10" s="13"/>
      <c r="P10" s="13">
        <v>1</v>
      </c>
      <c r="Q10" s="13"/>
      <c r="R10" s="78"/>
      <c r="S10" s="43"/>
      <c r="T10" s="13"/>
      <c r="U10" s="13"/>
      <c r="V10" s="13"/>
      <c r="W10" s="13"/>
      <c r="X10" s="13"/>
      <c r="Y10" s="13"/>
      <c r="Z10" s="78"/>
      <c r="AB10" s="82" t="s">
        <v>176</v>
      </c>
      <c r="AC10" s="9" t="s">
        <v>172</v>
      </c>
      <c r="AD10" s="43"/>
      <c r="AE10" s="13"/>
      <c r="AF10" s="13"/>
      <c r="AG10" s="13"/>
      <c r="AH10" s="13"/>
      <c r="AI10" s="13"/>
      <c r="AJ10" s="13"/>
      <c r="AK10" s="78"/>
      <c r="AL10" s="43"/>
      <c r="AM10" s="13"/>
      <c r="AN10" s="13"/>
      <c r="AO10" s="13"/>
      <c r="AP10" s="13"/>
      <c r="AQ10" s="13"/>
      <c r="AR10" s="13"/>
      <c r="AS10" s="78"/>
      <c r="AT10" s="43"/>
      <c r="AU10" s="13"/>
      <c r="AV10" s="13"/>
      <c r="AW10" s="13"/>
      <c r="AX10" s="13"/>
      <c r="AY10" s="13"/>
      <c r="AZ10" s="13"/>
      <c r="BA10" s="78"/>
    </row>
    <row r="11" spans="1:53">
      <c r="A11" s="82"/>
      <c r="B11" s="9" t="s">
        <v>173</v>
      </c>
      <c r="C11" s="43"/>
      <c r="D11" s="13"/>
      <c r="E11" s="13"/>
      <c r="F11" s="13"/>
      <c r="G11" s="13"/>
      <c r="H11" s="13"/>
      <c r="I11" s="13"/>
      <c r="J11" s="78"/>
      <c r="K11" s="43"/>
      <c r="L11" s="13"/>
      <c r="M11" s="13"/>
      <c r="N11" s="13"/>
      <c r="O11" s="13"/>
      <c r="P11" s="13"/>
      <c r="Q11" s="13"/>
      <c r="R11" s="78"/>
      <c r="S11" s="43"/>
      <c r="T11" s="13"/>
      <c r="U11" s="13"/>
      <c r="V11" s="13"/>
      <c r="W11" s="13"/>
      <c r="X11" s="13"/>
      <c r="Y11" s="13"/>
      <c r="Z11" s="78"/>
      <c r="AB11" s="82"/>
      <c r="AC11" s="9" t="s">
        <v>173</v>
      </c>
      <c r="AD11" s="43"/>
      <c r="AE11" s="13"/>
      <c r="AF11" s="13"/>
      <c r="AG11" s="13"/>
      <c r="AH11" s="13"/>
      <c r="AI11" s="13"/>
      <c r="AJ11" s="13"/>
      <c r="AK11" s="78"/>
      <c r="AL11" s="43"/>
      <c r="AM11" s="13"/>
      <c r="AN11" s="13"/>
      <c r="AO11" s="13"/>
      <c r="AP11" s="13"/>
      <c r="AQ11" s="13"/>
      <c r="AR11" s="13"/>
      <c r="AS11" s="78"/>
      <c r="AT11" s="43"/>
      <c r="AU11" s="13"/>
      <c r="AV11" s="13"/>
      <c r="AW11" s="13"/>
      <c r="AX11" s="13"/>
      <c r="AY11" s="13"/>
      <c r="AZ11" s="13"/>
      <c r="BA11" s="78"/>
    </row>
    <row r="12" spans="1:53">
      <c r="A12" s="82"/>
      <c r="B12" s="9" t="s">
        <v>174</v>
      </c>
      <c r="C12" s="43"/>
      <c r="D12" s="13"/>
      <c r="E12" s="13"/>
      <c r="F12" s="13"/>
      <c r="G12" s="13"/>
      <c r="H12" s="13"/>
      <c r="I12" s="13"/>
      <c r="J12" s="78"/>
      <c r="K12" s="43"/>
      <c r="L12" s="13"/>
      <c r="M12" s="13"/>
      <c r="N12" s="13"/>
      <c r="O12" s="13"/>
      <c r="P12" s="13"/>
      <c r="Q12" s="13"/>
      <c r="R12" s="78"/>
      <c r="S12" s="43"/>
      <c r="T12" s="13"/>
      <c r="U12" s="13"/>
      <c r="V12" s="13"/>
      <c r="W12" s="13"/>
      <c r="X12" s="13"/>
      <c r="Y12" s="13"/>
      <c r="Z12" s="78"/>
      <c r="AB12" s="82"/>
      <c r="AC12" s="9" t="s">
        <v>174</v>
      </c>
      <c r="AD12" s="43"/>
      <c r="AE12" s="13"/>
      <c r="AF12" s="13"/>
      <c r="AG12" s="13"/>
      <c r="AH12" s="13"/>
      <c r="AI12" s="13"/>
      <c r="AJ12" s="13"/>
      <c r="AK12" s="78"/>
      <c r="AL12" s="43"/>
      <c r="AM12" s="13"/>
      <c r="AN12" s="13"/>
      <c r="AO12" s="13"/>
      <c r="AP12" s="13"/>
      <c r="AQ12" s="13"/>
      <c r="AR12" s="13"/>
      <c r="AS12" s="78"/>
      <c r="AT12" s="43"/>
      <c r="AU12" s="13"/>
      <c r="AV12" s="13"/>
      <c r="AW12" s="13"/>
      <c r="AX12" s="13"/>
      <c r="AY12" s="13"/>
      <c r="AZ12" s="13"/>
      <c r="BA12" s="78"/>
    </row>
    <row r="13" spans="1:53">
      <c r="A13" s="82" t="s">
        <v>177</v>
      </c>
      <c r="B13" s="9" t="s">
        <v>172</v>
      </c>
      <c r="C13" s="43"/>
      <c r="D13" s="13"/>
      <c r="E13" s="13"/>
      <c r="F13" s="13"/>
      <c r="G13" s="13"/>
      <c r="H13" s="13"/>
      <c r="I13" s="13"/>
      <c r="J13" s="78"/>
      <c r="K13" s="43"/>
      <c r="L13" s="13"/>
      <c r="M13" s="13"/>
      <c r="N13" s="13"/>
      <c r="O13" s="13"/>
      <c r="P13" s="13"/>
      <c r="Q13" s="13">
        <v>1</v>
      </c>
      <c r="R13" s="78"/>
      <c r="S13" s="43"/>
      <c r="T13" s="13"/>
      <c r="U13" s="13"/>
      <c r="V13" s="13"/>
      <c r="W13" s="13"/>
      <c r="X13" s="13"/>
      <c r="Y13" s="13"/>
      <c r="Z13" s="78"/>
      <c r="AB13" s="82" t="s">
        <v>177</v>
      </c>
      <c r="AC13" s="9" t="s">
        <v>172</v>
      </c>
      <c r="AD13" s="43"/>
      <c r="AE13" s="13"/>
      <c r="AF13" s="13"/>
      <c r="AG13" s="13"/>
      <c r="AH13" s="13"/>
      <c r="AI13" s="13"/>
      <c r="AJ13" s="13"/>
      <c r="AK13" s="78"/>
      <c r="AL13" s="43"/>
      <c r="AM13" s="13"/>
      <c r="AN13" s="13"/>
      <c r="AO13" s="13"/>
      <c r="AP13" s="13"/>
      <c r="AQ13" s="13"/>
      <c r="AR13" s="13"/>
      <c r="AS13" s="78"/>
      <c r="AT13" s="43"/>
      <c r="AU13" s="13"/>
      <c r="AV13" s="13"/>
      <c r="AW13" s="13"/>
      <c r="AX13" s="13"/>
      <c r="AY13" s="13"/>
      <c r="AZ13" s="13"/>
      <c r="BA13" s="78"/>
    </row>
    <row r="14" spans="1:53">
      <c r="A14" s="82"/>
      <c r="B14" s="9" t="s">
        <v>173</v>
      </c>
      <c r="C14" s="43"/>
      <c r="D14" s="13"/>
      <c r="E14" s="13"/>
      <c r="F14" s="13"/>
      <c r="G14" s="13"/>
      <c r="H14" s="13"/>
      <c r="I14" s="13"/>
      <c r="J14" s="78"/>
      <c r="K14" s="43"/>
      <c r="L14" s="13"/>
      <c r="M14" s="13"/>
      <c r="N14" s="13"/>
      <c r="O14" s="13"/>
      <c r="P14" s="13"/>
      <c r="Q14" s="13"/>
      <c r="R14" s="78"/>
      <c r="S14" s="43"/>
      <c r="T14" s="13"/>
      <c r="U14" s="13"/>
      <c r="V14" s="13"/>
      <c r="W14" s="13"/>
      <c r="X14" s="13"/>
      <c r="Y14" s="13"/>
      <c r="Z14" s="78"/>
      <c r="AB14" s="82"/>
      <c r="AC14" s="9" t="s">
        <v>173</v>
      </c>
      <c r="AD14" s="43"/>
      <c r="AE14" s="13"/>
      <c r="AF14" s="13"/>
      <c r="AG14" s="13"/>
      <c r="AH14" s="13"/>
      <c r="AI14" s="13"/>
      <c r="AJ14" s="13"/>
      <c r="AK14" s="78"/>
      <c r="AL14" s="43"/>
      <c r="AM14" s="13"/>
      <c r="AN14" s="13"/>
      <c r="AO14" s="13"/>
      <c r="AP14" s="13"/>
      <c r="AQ14" s="13"/>
      <c r="AR14" s="13"/>
      <c r="AS14" s="78"/>
      <c r="AT14" s="43"/>
      <c r="AU14" s="13"/>
      <c r="AV14" s="13"/>
      <c r="AW14" s="13"/>
      <c r="AX14" s="13"/>
      <c r="AY14" s="13"/>
      <c r="AZ14" s="13"/>
      <c r="BA14" s="78"/>
    </row>
    <row r="15" spans="1:53">
      <c r="A15" s="82"/>
      <c r="B15" s="9" t="s">
        <v>174</v>
      </c>
      <c r="C15" s="43"/>
      <c r="D15" s="13"/>
      <c r="E15" s="13"/>
      <c r="F15" s="13"/>
      <c r="G15" s="13"/>
      <c r="H15" s="13"/>
      <c r="I15" s="13"/>
      <c r="J15" s="78"/>
      <c r="K15" s="43"/>
      <c r="L15" s="13"/>
      <c r="M15" s="13"/>
      <c r="N15" s="13"/>
      <c r="O15" s="13"/>
      <c r="P15" s="13"/>
      <c r="Q15" s="13"/>
      <c r="R15" s="78"/>
      <c r="S15" s="43"/>
      <c r="T15" s="13"/>
      <c r="U15" s="13"/>
      <c r="V15" s="13"/>
      <c r="W15" s="13"/>
      <c r="X15" s="13"/>
      <c r="Y15" s="13"/>
      <c r="Z15" s="78"/>
      <c r="AB15" s="82"/>
      <c r="AC15" s="9" t="s">
        <v>174</v>
      </c>
      <c r="AD15" s="43"/>
      <c r="AE15" s="13"/>
      <c r="AF15" s="13"/>
      <c r="AG15" s="13"/>
      <c r="AH15" s="13"/>
      <c r="AI15" s="13"/>
      <c r="AJ15" s="13"/>
      <c r="AK15" s="78"/>
      <c r="AL15" s="43"/>
      <c r="AM15" s="13"/>
      <c r="AN15" s="13"/>
      <c r="AO15" s="13"/>
      <c r="AP15" s="13"/>
      <c r="AQ15" s="13"/>
      <c r="AR15" s="13"/>
      <c r="AS15" s="78"/>
      <c r="AT15" s="43"/>
      <c r="AU15" s="13"/>
      <c r="AV15" s="13"/>
      <c r="AW15" s="13"/>
      <c r="AX15" s="13"/>
      <c r="AY15" s="13"/>
      <c r="AZ15" s="13"/>
      <c r="BA15" s="78"/>
    </row>
    <row r="16" spans="1:53">
      <c r="A16" s="82" t="s">
        <v>178</v>
      </c>
      <c r="B16" s="9" t="s">
        <v>172</v>
      </c>
      <c r="C16" s="43"/>
      <c r="D16" s="13"/>
      <c r="E16" s="13"/>
      <c r="F16" s="13"/>
      <c r="G16" s="13"/>
      <c r="H16" s="13"/>
      <c r="I16" s="13"/>
      <c r="J16" s="78"/>
      <c r="K16" s="43"/>
      <c r="L16" s="13"/>
      <c r="M16" s="13"/>
      <c r="N16" s="13"/>
      <c r="O16" s="13"/>
      <c r="P16" s="13"/>
      <c r="Q16" s="13">
        <v>1</v>
      </c>
      <c r="R16" s="78"/>
      <c r="S16" s="43"/>
      <c r="T16" s="13"/>
      <c r="U16" s="13"/>
      <c r="V16" s="13"/>
      <c r="W16" s="13"/>
      <c r="X16" s="13"/>
      <c r="Y16" s="13"/>
      <c r="Z16" s="78"/>
      <c r="AB16" s="82" t="s">
        <v>178</v>
      </c>
      <c r="AC16" s="9" t="s">
        <v>172</v>
      </c>
      <c r="AD16" s="43"/>
      <c r="AE16" s="13"/>
      <c r="AF16" s="13"/>
      <c r="AG16" s="13"/>
      <c r="AH16" s="13"/>
      <c r="AI16" s="13"/>
      <c r="AJ16" s="13"/>
      <c r="AK16" s="78"/>
      <c r="AL16" s="43"/>
      <c r="AM16" s="13"/>
      <c r="AN16" s="13"/>
      <c r="AO16" s="13"/>
      <c r="AP16" s="13"/>
      <c r="AQ16" s="13"/>
      <c r="AR16" s="13"/>
      <c r="AS16" s="78"/>
      <c r="AT16" s="43"/>
      <c r="AU16" s="13"/>
      <c r="AV16" s="13"/>
      <c r="AW16" s="13"/>
      <c r="AX16" s="13"/>
      <c r="AY16" s="13"/>
      <c r="AZ16" s="13"/>
      <c r="BA16" s="78"/>
    </row>
    <row r="17" spans="1:53">
      <c r="A17" s="82"/>
      <c r="B17" s="9" t="s">
        <v>173</v>
      </c>
      <c r="C17" s="43"/>
      <c r="D17" s="13"/>
      <c r="E17" s="13"/>
      <c r="F17" s="13"/>
      <c r="G17" s="13"/>
      <c r="H17" s="13"/>
      <c r="I17" s="13"/>
      <c r="J17" s="78"/>
      <c r="K17" s="43"/>
      <c r="L17" s="13"/>
      <c r="M17" s="13"/>
      <c r="N17" s="13"/>
      <c r="O17" s="13"/>
      <c r="P17" s="13"/>
      <c r="Q17" s="13"/>
      <c r="R17" s="78"/>
      <c r="S17" s="43"/>
      <c r="T17" s="13"/>
      <c r="U17" s="13"/>
      <c r="V17" s="13"/>
      <c r="W17" s="13"/>
      <c r="X17" s="13"/>
      <c r="Y17" s="13"/>
      <c r="Z17" s="78"/>
      <c r="AB17" s="82"/>
      <c r="AC17" s="9" t="s">
        <v>173</v>
      </c>
      <c r="AD17" s="43"/>
      <c r="AE17" s="13"/>
      <c r="AF17" s="13"/>
      <c r="AG17" s="13"/>
      <c r="AH17" s="13"/>
      <c r="AI17" s="13"/>
      <c r="AJ17" s="13"/>
      <c r="AK17" s="78"/>
      <c r="AL17" s="43"/>
      <c r="AM17" s="13"/>
      <c r="AN17" s="13"/>
      <c r="AO17" s="13"/>
      <c r="AP17" s="13"/>
      <c r="AQ17" s="13"/>
      <c r="AR17" s="13"/>
      <c r="AS17" s="78"/>
      <c r="AT17" s="43"/>
      <c r="AU17" s="13"/>
      <c r="AV17" s="13"/>
      <c r="AW17" s="13"/>
      <c r="AX17" s="13"/>
      <c r="AY17" s="13"/>
      <c r="AZ17" s="13"/>
      <c r="BA17" s="78"/>
    </row>
    <row r="18" spans="1:53">
      <c r="A18" s="82"/>
      <c r="B18" s="9" t="s">
        <v>174</v>
      </c>
      <c r="C18" s="43"/>
      <c r="D18" s="13"/>
      <c r="E18" s="13"/>
      <c r="F18" s="13"/>
      <c r="G18" s="13"/>
      <c r="H18" s="13"/>
      <c r="I18" s="13"/>
      <c r="J18" s="78"/>
      <c r="K18" s="43"/>
      <c r="L18" s="13"/>
      <c r="M18" s="13"/>
      <c r="N18" s="13"/>
      <c r="O18" s="13"/>
      <c r="P18" s="13"/>
      <c r="Q18" s="13"/>
      <c r="R18" s="78"/>
      <c r="S18" s="43"/>
      <c r="T18" s="13"/>
      <c r="U18" s="13"/>
      <c r="V18" s="13"/>
      <c r="W18" s="13"/>
      <c r="X18" s="13"/>
      <c r="Y18" s="13"/>
      <c r="Z18" s="78"/>
      <c r="AB18" s="82"/>
      <c r="AC18" s="9" t="s">
        <v>174</v>
      </c>
      <c r="AD18" s="43"/>
      <c r="AE18" s="13"/>
      <c r="AF18" s="13"/>
      <c r="AG18" s="13"/>
      <c r="AH18" s="13"/>
      <c r="AI18" s="13"/>
      <c r="AJ18" s="13"/>
      <c r="AK18" s="78"/>
      <c r="AL18" s="43"/>
      <c r="AM18" s="13"/>
      <c r="AN18" s="13"/>
      <c r="AO18" s="13"/>
      <c r="AP18" s="13"/>
      <c r="AQ18" s="13"/>
      <c r="AR18" s="13"/>
      <c r="AS18" s="78"/>
      <c r="AT18" s="43"/>
      <c r="AU18" s="13"/>
      <c r="AV18" s="13"/>
      <c r="AW18" s="13"/>
      <c r="AX18" s="13"/>
      <c r="AY18" s="13"/>
      <c r="AZ18" s="13"/>
      <c r="BA18" s="78"/>
    </row>
    <row r="19" spans="1:53">
      <c r="A19" s="82" t="s">
        <v>179</v>
      </c>
      <c r="B19" s="9" t="s">
        <v>172</v>
      </c>
      <c r="C19" s="43"/>
      <c r="D19" s="13"/>
      <c r="E19" s="13"/>
      <c r="F19" s="13"/>
      <c r="G19" s="13"/>
      <c r="H19" s="13"/>
      <c r="I19" s="13"/>
      <c r="J19" s="78"/>
      <c r="K19" s="43"/>
      <c r="L19" s="13"/>
      <c r="M19" s="13"/>
      <c r="N19" s="13"/>
      <c r="O19" s="13"/>
      <c r="P19" s="13"/>
      <c r="Q19" s="13">
        <v>1</v>
      </c>
      <c r="R19" s="78"/>
      <c r="S19" s="43"/>
      <c r="T19" s="13"/>
      <c r="U19" s="13"/>
      <c r="V19" s="13"/>
      <c r="W19" s="13"/>
      <c r="X19" s="13"/>
      <c r="Y19" s="13"/>
      <c r="Z19" s="78"/>
      <c r="AB19" s="82" t="s">
        <v>179</v>
      </c>
      <c r="AC19" s="9" t="s">
        <v>172</v>
      </c>
      <c r="AD19" s="43"/>
      <c r="AE19" s="13"/>
      <c r="AF19" s="13"/>
      <c r="AG19" s="13"/>
      <c r="AH19" s="13"/>
      <c r="AI19" s="13"/>
      <c r="AJ19" s="13"/>
      <c r="AK19" s="78"/>
      <c r="AL19" s="43"/>
      <c r="AM19" s="13"/>
      <c r="AN19" s="13"/>
      <c r="AO19" s="13"/>
      <c r="AP19" s="13"/>
      <c r="AQ19" s="13"/>
      <c r="AR19" s="13"/>
      <c r="AS19" s="78"/>
      <c r="AT19" s="43"/>
      <c r="AU19" s="13"/>
      <c r="AV19" s="13"/>
      <c r="AW19" s="13"/>
      <c r="AX19" s="13"/>
      <c r="AY19" s="13"/>
      <c r="AZ19" s="13"/>
      <c r="BA19" s="78"/>
    </row>
    <row r="20" spans="1:53">
      <c r="A20" s="82"/>
      <c r="B20" s="9" t="s">
        <v>173</v>
      </c>
      <c r="C20" s="43"/>
      <c r="D20" s="13"/>
      <c r="E20" s="13"/>
      <c r="F20" s="13"/>
      <c r="G20" s="13"/>
      <c r="H20" s="13"/>
      <c r="I20" s="13"/>
      <c r="J20" s="78"/>
      <c r="K20" s="43"/>
      <c r="L20" s="13"/>
      <c r="M20" s="13"/>
      <c r="N20" s="13"/>
      <c r="O20" s="13"/>
      <c r="P20" s="13"/>
      <c r="Q20" s="13"/>
      <c r="R20" s="78"/>
      <c r="S20" s="43"/>
      <c r="T20" s="13"/>
      <c r="U20" s="13"/>
      <c r="V20" s="13"/>
      <c r="W20" s="13"/>
      <c r="X20" s="13"/>
      <c r="Y20" s="13"/>
      <c r="Z20" s="78"/>
      <c r="AB20" s="82"/>
      <c r="AC20" s="9" t="s">
        <v>173</v>
      </c>
      <c r="AD20" s="43"/>
      <c r="AE20" s="13"/>
      <c r="AF20" s="13"/>
      <c r="AG20" s="13"/>
      <c r="AH20" s="13"/>
      <c r="AI20" s="13"/>
      <c r="AJ20" s="13"/>
      <c r="AK20" s="78"/>
      <c r="AL20" s="43"/>
      <c r="AM20" s="13"/>
      <c r="AN20" s="13"/>
      <c r="AO20" s="13"/>
      <c r="AP20" s="13"/>
      <c r="AQ20" s="13"/>
      <c r="AR20" s="13"/>
      <c r="AS20" s="78"/>
      <c r="AT20" s="43"/>
      <c r="AU20" s="13"/>
      <c r="AV20" s="13"/>
      <c r="AW20" s="13"/>
      <c r="AX20" s="13"/>
      <c r="AY20" s="13"/>
      <c r="AZ20" s="13"/>
      <c r="BA20" s="78"/>
    </row>
    <row r="21" spans="1:53">
      <c r="A21" s="82"/>
      <c r="B21" s="9" t="s">
        <v>174</v>
      </c>
      <c r="C21" s="43"/>
      <c r="D21" s="13"/>
      <c r="E21" s="13"/>
      <c r="F21" s="13"/>
      <c r="G21" s="13"/>
      <c r="H21" s="13"/>
      <c r="I21" s="13"/>
      <c r="J21" s="78"/>
      <c r="K21" s="43"/>
      <c r="L21" s="13"/>
      <c r="M21" s="13"/>
      <c r="N21" s="13"/>
      <c r="O21" s="13"/>
      <c r="P21" s="13"/>
      <c r="Q21" s="13"/>
      <c r="R21" s="78"/>
      <c r="S21" s="43"/>
      <c r="T21" s="13"/>
      <c r="U21" s="13"/>
      <c r="V21" s="13"/>
      <c r="W21" s="13"/>
      <c r="X21" s="13"/>
      <c r="Y21" s="13"/>
      <c r="Z21" s="78"/>
      <c r="AB21" s="82"/>
      <c r="AC21" s="9" t="s">
        <v>174</v>
      </c>
      <c r="AD21" s="43"/>
      <c r="AE21" s="13"/>
      <c r="AF21" s="13"/>
      <c r="AG21" s="13"/>
      <c r="AH21" s="13"/>
      <c r="AI21" s="13"/>
      <c r="AJ21" s="13"/>
      <c r="AK21" s="78"/>
      <c r="AL21" s="43"/>
      <c r="AM21" s="13"/>
      <c r="AN21" s="13"/>
      <c r="AO21" s="13"/>
      <c r="AP21" s="13"/>
      <c r="AQ21" s="13"/>
      <c r="AR21" s="13"/>
      <c r="AS21" s="78"/>
      <c r="AT21" s="43"/>
      <c r="AU21" s="13"/>
      <c r="AV21" s="13"/>
      <c r="AW21" s="13"/>
      <c r="AX21" s="13"/>
      <c r="AY21" s="13"/>
      <c r="AZ21" s="13"/>
      <c r="BA21" s="78"/>
    </row>
    <row r="22" spans="1:53">
      <c r="A22" s="82" t="s">
        <v>180</v>
      </c>
      <c r="B22" s="9" t="s">
        <v>172</v>
      </c>
      <c r="C22" s="43"/>
      <c r="D22" s="13"/>
      <c r="E22" s="13"/>
      <c r="F22" s="13"/>
      <c r="G22" s="13"/>
      <c r="H22" s="13"/>
      <c r="I22" s="13"/>
      <c r="J22" s="78"/>
      <c r="K22" s="43"/>
      <c r="L22" s="13"/>
      <c r="M22" s="13"/>
      <c r="N22" s="13"/>
      <c r="O22" s="13"/>
      <c r="P22" s="13"/>
      <c r="Q22" s="13"/>
      <c r="R22" s="78"/>
      <c r="S22" s="43"/>
      <c r="T22" s="13"/>
      <c r="U22" s="13"/>
      <c r="V22" s="13"/>
      <c r="W22" s="13"/>
      <c r="X22" s="13"/>
      <c r="Y22" s="13"/>
      <c r="Z22" s="78"/>
      <c r="AB22" s="82" t="s">
        <v>180</v>
      </c>
      <c r="AC22" s="9" t="s">
        <v>172</v>
      </c>
      <c r="AD22" s="43"/>
      <c r="AE22" s="13"/>
      <c r="AF22" s="13"/>
      <c r="AG22" s="13"/>
      <c r="AH22" s="13"/>
      <c r="AI22" s="13"/>
      <c r="AJ22" s="13"/>
      <c r="AK22" s="78"/>
      <c r="AL22" s="43"/>
      <c r="AM22" s="13"/>
      <c r="AN22" s="13"/>
      <c r="AO22" s="13"/>
      <c r="AP22" s="13"/>
      <c r="AQ22" s="13"/>
      <c r="AR22" s="13"/>
      <c r="AS22" s="78"/>
      <c r="AT22" s="43"/>
      <c r="AU22" s="13"/>
      <c r="AV22" s="13"/>
      <c r="AW22" s="13"/>
      <c r="AX22" s="13"/>
      <c r="AY22" s="13"/>
      <c r="AZ22" s="13"/>
      <c r="BA22" s="78"/>
    </row>
    <row r="23" spans="1:53">
      <c r="A23" s="82"/>
      <c r="B23" s="9" t="s">
        <v>173</v>
      </c>
      <c r="C23" s="43"/>
      <c r="D23" s="13"/>
      <c r="E23" s="13"/>
      <c r="F23" s="13"/>
      <c r="G23" s="13"/>
      <c r="H23" s="13"/>
      <c r="I23" s="13"/>
      <c r="J23" s="78"/>
      <c r="K23" s="43"/>
      <c r="L23" s="13"/>
      <c r="M23" s="13"/>
      <c r="N23" s="13"/>
      <c r="O23" s="13"/>
      <c r="P23" s="13"/>
      <c r="Q23" s="13"/>
      <c r="R23" s="78"/>
      <c r="S23" s="43"/>
      <c r="T23" s="13"/>
      <c r="U23" s="13"/>
      <c r="V23" s="13"/>
      <c r="W23" s="13"/>
      <c r="X23" s="13"/>
      <c r="Y23" s="13"/>
      <c r="Z23" s="78"/>
      <c r="AB23" s="82"/>
      <c r="AC23" s="9" t="s">
        <v>173</v>
      </c>
      <c r="AD23" s="43"/>
      <c r="AE23" s="13"/>
      <c r="AF23" s="13"/>
      <c r="AG23" s="13"/>
      <c r="AH23" s="13"/>
      <c r="AI23" s="13"/>
      <c r="AJ23" s="13"/>
      <c r="AK23" s="78"/>
      <c r="AL23" s="43"/>
      <c r="AM23" s="13"/>
      <c r="AN23" s="13"/>
      <c r="AO23" s="13"/>
      <c r="AP23" s="13"/>
      <c r="AQ23" s="13"/>
      <c r="AR23" s="13"/>
      <c r="AS23" s="78"/>
      <c r="AT23" s="43"/>
      <c r="AU23" s="13"/>
      <c r="AV23" s="13"/>
      <c r="AW23" s="13"/>
      <c r="AX23" s="13"/>
      <c r="AY23" s="13"/>
      <c r="AZ23" s="13"/>
      <c r="BA23" s="78"/>
    </row>
    <row r="24" spans="1:53">
      <c r="A24" s="81"/>
      <c r="B24" s="55" t="s">
        <v>174</v>
      </c>
      <c r="C24" s="44"/>
      <c r="D24" s="56"/>
      <c r="E24" s="56"/>
      <c r="F24" s="56"/>
      <c r="G24" s="56"/>
      <c r="H24" s="56"/>
      <c r="I24" s="56"/>
      <c r="J24" s="22"/>
      <c r="K24" s="44"/>
      <c r="L24" s="56"/>
      <c r="M24" s="56"/>
      <c r="N24" s="56"/>
      <c r="O24" s="56"/>
      <c r="P24" s="56"/>
      <c r="Q24" s="56"/>
      <c r="R24" s="22"/>
      <c r="S24" s="44"/>
      <c r="T24" s="56"/>
      <c r="U24" s="56"/>
      <c r="V24" s="56"/>
      <c r="W24" s="56"/>
      <c r="X24" s="56"/>
      <c r="Y24" s="56"/>
      <c r="Z24" s="22"/>
      <c r="AB24" s="81"/>
      <c r="AC24" s="55" t="s">
        <v>174</v>
      </c>
      <c r="AD24" s="44"/>
      <c r="AE24" s="56"/>
      <c r="AF24" s="56"/>
      <c r="AG24" s="56"/>
      <c r="AH24" s="56"/>
      <c r="AI24" s="56"/>
      <c r="AJ24" s="56"/>
      <c r="AK24" s="22"/>
      <c r="AL24" s="44"/>
      <c r="AM24" s="56"/>
      <c r="AN24" s="56"/>
      <c r="AO24" s="56"/>
      <c r="AP24" s="56"/>
      <c r="AQ24" s="56"/>
      <c r="AR24" s="56"/>
      <c r="AS24" s="22"/>
      <c r="AT24" s="44"/>
      <c r="AU24" s="56"/>
      <c r="AV24" s="56"/>
      <c r="AW24" s="56"/>
      <c r="AX24" s="56"/>
      <c r="AY24" s="56"/>
      <c r="AZ24" s="56"/>
      <c r="BA24" s="22"/>
    </row>
    <row r="25" spans="1:53">
      <c r="A25" s="79" t="s">
        <v>102</v>
      </c>
      <c r="B25" s="80"/>
      <c r="C25" s="45">
        <f>SUM(C4:C24)</f>
        <v>0</v>
      </c>
      <c r="D25" s="83">
        <f>SUM(D4:D24)</f>
        <v>0</v>
      </c>
      <c r="E25" s="83">
        <f>SUM(E4:E24)</f>
        <v>0</v>
      </c>
      <c r="F25" s="83">
        <f>SUM(F4:F24)</f>
        <v>0</v>
      </c>
      <c r="G25" s="83">
        <f>SUM(G4:G24)</f>
        <v>0</v>
      </c>
      <c r="H25" s="83">
        <v>0</v>
      </c>
      <c r="I25" s="83">
        <v>0</v>
      </c>
      <c r="J25" s="83">
        <f>SUM(J4:J24)</f>
        <v>0</v>
      </c>
      <c r="K25" s="84">
        <f>SUM(K4:K24)</f>
        <v>0</v>
      </c>
      <c r="L25" s="83">
        <f>SUM(L4:L24)</f>
        <v>0</v>
      </c>
      <c r="M25" s="83">
        <f>SUM(M4:M24)</f>
        <v>0</v>
      </c>
      <c r="N25" s="83">
        <f>SUM(N4:N24)</f>
        <v>0</v>
      </c>
      <c r="O25" s="83">
        <f>SUM(O4:O24)</f>
        <v>0</v>
      </c>
      <c r="P25" s="83">
        <v>3</v>
      </c>
      <c r="Q25" s="83">
        <v>3</v>
      </c>
      <c r="R25" s="83">
        <f>SUM(R4:R24)</f>
        <v>0</v>
      </c>
      <c r="S25" s="84">
        <f>SUM(S4:S24)</f>
        <v>0</v>
      </c>
      <c r="T25" s="85">
        <f>SUM(T4:T24)</f>
        <v>0</v>
      </c>
      <c r="U25" s="85">
        <f>SUM(U4:U24)</f>
        <v>0</v>
      </c>
      <c r="V25" s="85">
        <f>SUM(V4:V24)</f>
        <v>0</v>
      </c>
      <c r="W25" s="85">
        <f>SUM(W4:W24)</f>
        <v>0</v>
      </c>
      <c r="X25" s="85">
        <v>0</v>
      </c>
      <c r="Y25" s="85">
        <v>0</v>
      </c>
      <c r="Z25" s="86">
        <f>SUM(Z4:Z24)</f>
        <v>0</v>
      </c>
      <c r="AB25" s="79" t="s">
        <v>102</v>
      </c>
      <c r="AC25" s="80"/>
      <c r="AD25" s="84">
        <f>SUM(AD4:AD24)</f>
        <v>0</v>
      </c>
      <c r="AE25" s="83">
        <f>SUM(AE4:AE24)</f>
        <v>0</v>
      </c>
      <c r="AF25" s="83">
        <f>SUM(AF4:AF24)</f>
        <v>0</v>
      </c>
      <c r="AG25" s="83">
        <f>SUM(AG4:AG24)</f>
        <v>0</v>
      </c>
      <c r="AH25" s="83">
        <f>SUM(AH4:AH24)</f>
        <v>0</v>
      </c>
      <c r="AI25" s="83">
        <v>0</v>
      </c>
      <c r="AJ25" s="83">
        <v>0</v>
      </c>
      <c r="AK25" s="83">
        <f>SUM(AK4:AK24)</f>
        <v>0</v>
      </c>
      <c r="AL25" s="84">
        <f>SUM(AL4:AL24)</f>
        <v>0</v>
      </c>
      <c r="AM25" s="83">
        <f>SUM(AM4:AM24)</f>
        <v>0</v>
      </c>
      <c r="AN25" s="83">
        <f>SUM(AN4:AN24)</f>
        <v>0</v>
      </c>
      <c r="AO25" s="83">
        <f>SUM(AO4:AO24)</f>
        <v>0</v>
      </c>
      <c r="AP25" s="83">
        <f>SUM(AP4:AP24)</f>
        <v>0</v>
      </c>
      <c r="AQ25" s="83">
        <v>0</v>
      </c>
      <c r="AR25" s="83">
        <v>0</v>
      </c>
      <c r="AS25" s="83">
        <f>SUM(AS4:AS24)</f>
        <v>0</v>
      </c>
      <c r="AT25" s="84">
        <f>SUM(AT4:AT24)</f>
        <v>0</v>
      </c>
      <c r="AU25" s="85">
        <f>SUM(AU4:AU24)</f>
        <v>0</v>
      </c>
      <c r="AV25" s="85">
        <f>SUM(AV4:AV24)</f>
        <v>0</v>
      </c>
      <c r="AW25" s="85">
        <f>SUM(AW4:AW24)</f>
        <v>0</v>
      </c>
      <c r="AX25" s="85">
        <f>SUM(AX4:AX24)</f>
        <v>0</v>
      </c>
      <c r="AY25" s="85">
        <v>0</v>
      </c>
      <c r="AZ25" s="85">
        <v>0</v>
      </c>
      <c r="BA25" s="86">
        <f>SUM(BA4:BA24)</f>
        <v>0</v>
      </c>
    </row>
    <row r="28" spans="1:53">
      <c r="A28" s="42">
        <v>3</v>
      </c>
      <c r="C28" s="547" t="s">
        <v>181</v>
      </c>
      <c r="D28" s="548"/>
      <c r="E28" s="548"/>
      <c r="F28" s="548"/>
      <c r="G28" s="548"/>
      <c r="H28" s="548"/>
      <c r="I28" s="548"/>
      <c r="J28" s="549"/>
      <c r="K28" s="547" t="s">
        <v>182</v>
      </c>
      <c r="L28" s="548"/>
      <c r="M28" s="548"/>
      <c r="N28" s="548"/>
      <c r="O28" s="548"/>
      <c r="P28" s="548"/>
      <c r="Q28" s="548"/>
      <c r="R28" s="549"/>
      <c r="S28" s="547" t="s">
        <v>183</v>
      </c>
      <c r="T28" s="548"/>
      <c r="U28" s="548"/>
      <c r="V28" s="548"/>
      <c r="W28" s="548"/>
      <c r="X28" s="548"/>
      <c r="Y28" s="548"/>
      <c r="Z28" s="549"/>
      <c r="AA28" s="13"/>
      <c r="AB28" s="42">
        <v>4</v>
      </c>
      <c r="AC28" s="13"/>
      <c r="AD28" s="547" t="s">
        <v>184</v>
      </c>
      <c r="AE28" s="548"/>
      <c r="AF28" s="548"/>
      <c r="AG28" s="548"/>
      <c r="AH28" s="548"/>
      <c r="AI28" s="548"/>
      <c r="AJ28" s="548"/>
      <c r="AK28" s="549"/>
      <c r="AL28" s="547" t="s">
        <v>185</v>
      </c>
      <c r="AM28" s="548"/>
      <c r="AN28" s="548"/>
      <c r="AO28" s="548"/>
      <c r="AP28" s="548"/>
      <c r="AQ28" s="548"/>
      <c r="AR28" s="548"/>
      <c r="AS28" s="549"/>
      <c r="AT28" s="547" t="s">
        <v>186</v>
      </c>
      <c r="AU28" s="548"/>
      <c r="AV28" s="548"/>
      <c r="AW28" s="548"/>
      <c r="AX28" s="548"/>
      <c r="AY28" s="548"/>
      <c r="AZ28" s="548"/>
      <c r="BA28" s="549"/>
    </row>
    <row r="29" spans="1:53" customHeight="1" ht="152.25">
      <c r="C29" s="191" t="s">
        <v>163</v>
      </c>
      <c r="D29" s="192" t="s">
        <v>164</v>
      </c>
      <c r="E29" s="192" t="s">
        <v>165</v>
      </c>
      <c r="F29" s="192" t="s">
        <v>166</v>
      </c>
      <c r="G29" s="47" t="s">
        <v>167</v>
      </c>
      <c r="H29" s="192" t="s">
        <v>168</v>
      </c>
      <c r="I29" s="192" t="s">
        <v>169</v>
      </c>
      <c r="J29" s="194" t="s">
        <v>170</v>
      </c>
      <c r="K29" s="46" t="s">
        <v>163</v>
      </c>
      <c r="L29" s="47" t="s">
        <v>164</v>
      </c>
      <c r="M29" s="47" t="s">
        <v>165</v>
      </c>
      <c r="N29" s="47" t="s">
        <v>166</v>
      </c>
      <c r="O29" s="47" t="s">
        <v>167</v>
      </c>
      <c r="P29" s="47" t="s">
        <v>168</v>
      </c>
      <c r="Q29" s="47" t="s">
        <v>169</v>
      </c>
      <c r="R29" s="48" t="s">
        <v>170</v>
      </c>
      <c r="S29" s="46" t="s">
        <v>163</v>
      </c>
      <c r="T29" s="47" t="s">
        <v>164</v>
      </c>
      <c r="U29" s="47" t="s">
        <v>165</v>
      </c>
      <c r="V29" s="47" t="s">
        <v>166</v>
      </c>
      <c r="W29" s="47" t="s">
        <v>167</v>
      </c>
      <c r="X29" s="47" t="s">
        <v>168</v>
      </c>
      <c r="Y29" s="47" t="s">
        <v>169</v>
      </c>
      <c r="Z29" s="48" t="s">
        <v>170</v>
      </c>
      <c r="AD29" s="46" t="s">
        <v>163</v>
      </c>
      <c r="AE29" s="47" t="s">
        <v>164</v>
      </c>
      <c r="AF29" s="47" t="s">
        <v>165</v>
      </c>
      <c r="AG29" s="47" t="s">
        <v>166</v>
      </c>
      <c r="AH29" s="47" t="s">
        <v>167</v>
      </c>
      <c r="AI29" s="47" t="s">
        <v>168</v>
      </c>
      <c r="AJ29" s="47" t="s">
        <v>169</v>
      </c>
      <c r="AK29" s="48" t="s">
        <v>170</v>
      </c>
      <c r="AL29" s="46" t="s">
        <v>163</v>
      </c>
      <c r="AM29" s="47" t="s">
        <v>164</v>
      </c>
      <c r="AN29" s="47" t="s">
        <v>165</v>
      </c>
      <c r="AO29" s="47" t="s">
        <v>166</v>
      </c>
      <c r="AP29" s="47" t="s">
        <v>167</v>
      </c>
      <c r="AQ29" s="47" t="s">
        <v>168</v>
      </c>
      <c r="AR29" s="47" t="s">
        <v>169</v>
      </c>
      <c r="AS29" s="48" t="s">
        <v>170</v>
      </c>
      <c r="AT29" s="46" t="s">
        <v>163</v>
      </c>
      <c r="AU29" s="47" t="s">
        <v>164</v>
      </c>
      <c r="AV29" s="47" t="s">
        <v>165</v>
      </c>
      <c r="AW29" s="47" t="s">
        <v>166</v>
      </c>
      <c r="AX29" s="47" t="s">
        <v>167</v>
      </c>
      <c r="AY29" s="47" t="s">
        <v>168</v>
      </c>
      <c r="AZ29" s="47" t="s">
        <v>169</v>
      </c>
      <c r="BA29" s="48" t="s">
        <v>170</v>
      </c>
    </row>
    <row r="30" spans="1:53">
      <c r="A30" s="1" t="s">
        <v>171</v>
      </c>
      <c r="B30" s="2" t="s">
        <v>172</v>
      </c>
      <c r="C30" s="43"/>
      <c r="D30" s="13"/>
      <c r="E30" s="13"/>
      <c r="F30" s="13"/>
      <c r="G30" s="13"/>
      <c r="H30" s="13"/>
      <c r="I30" s="13"/>
      <c r="J30" s="78"/>
      <c r="K30" s="43"/>
      <c r="L30" s="13"/>
      <c r="M30" s="13"/>
      <c r="N30" s="13"/>
      <c r="O30" s="13"/>
      <c r="P30" s="13"/>
      <c r="Q30" s="13"/>
      <c r="R30" s="78"/>
      <c r="S30" s="43"/>
      <c r="T30" s="13"/>
      <c r="U30" s="13"/>
      <c r="V30" s="13"/>
      <c r="W30" s="13"/>
      <c r="X30" s="13"/>
      <c r="Y30" s="13"/>
      <c r="Z30" s="78"/>
      <c r="AB30" s="1" t="s">
        <v>171</v>
      </c>
      <c r="AC30" s="2" t="s">
        <v>172</v>
      </c>
      <c r="AD30" s="43"/>
      <c r="AE30" s="13"/>
      <c r="AF30" s="13"/>
      <c r="AG30" s="13"/>
      <c r="AH30" s="13"/>
      <c r="AI30" s="13"/>
      <c r="AJ30" s="13"/>
      <c r="AK30" s="78"/>
      <c r="AL30" s="43"/>
      <c r="AM30" s="13"/>
      <c r="AN30" s="13"/>
      <c r="AO30" s="13"/>
      <c r="AP30" s="13"/>
      <c r="AQ30" s="13"/>
      <c r="AR30" s="13"/>
      <c r="AS30" s="78"/>
      <c r="AT30" s="43"/>
      <c r="AU30" s="13"/>
      <c r="AV30" s="13"/>
      <c r="AW30" s="13"/>
      <c r="AX30" s="13"/>
      <c r="AY30" s="13"/>
      <c r="AZ30" s="13"/>
      <c r="BA30" s="78"/>
    </row>
    <row r="31" spans="1:53">
      <c r="A31" s="82"/>
      <c r="B31" s="9" t="s">
        <v>173</v>
      </c>
      <c r="C31" s="43"/>
      <c r="D31" s="13"/>
      <c r="E31" s="13"/>
      <c r="F31" s="13"/>
      <c r="G31" s="13"/>
      <c r="H31" s="13"/>
      <c r="I31" s="13"/>
      <c r="J31" s="78"/>
      <c r="K31" s="43"/>
      <c r="L31" s="13"/>
      <c r="M31" s="13"/>
      <c r="N31" s="13"/>
      <c r="O31" s="13"/>
      <c r="P31" s="13"/>
      <c r="Q31" s="13"/>
      <c r="R31" s="78"/>
      <c r="S31" s="43"/>
      <c r="T31" s="13"/>
      <c r="U31" s="13"/>
      <c r="V31" s="13"/>
      <c r="W31" s="13"/>
      <c r="X31" s="13"/>
      <c r="Y31" s="13"/>
      <c r="Z31" s="78"/>
      <c r="AB31" s="82"/>
      <c r="AC31" s="9" t="s">
        <v>173</v>
      </c>
      <c r="AD31" s="43"/>
      <c r="AE31" s="13"/>
      <c r="AF31" s="13"/>
      <c r="AG31" s="13"/>
      <c r="AH31" s="13"/>
      <c r="AI31" s="13"/>
      <c r="AJ31" s="13"/>
      <c r="AK31" s="78"/>
      <c r="AL31" s="43"/>
      <c r="AM31" s="13"/>
      <c r="AN31" s="13"/>
      <c r="AO31" s="13"/>
      <c r="AP31" s="13"/>
      <c r="AQ31" s="13"/>
      <c r="AR31" s="13"/>
      <c r="AS31" s="78"/>
      <c r="AT31" s="43"/>
      <c r="AU31" s="13"/>
      <c r="AV31" s="13"/>
      <c r="AW31" s="13"/>
      <c r="AX31" s="13"/>
      <c r="AY31" s="13"/>
      <c r="AZ31" s="13"/>
      <c r="BA31" s="78"/>
    </row>
    <row r="32" spans="1:53">
      <c r="A32" s="82"/>
      <c r="B32" s="9" t="s">
        <v>174</v>
      </c>
      <c r="C32" s="43"/>
      <c r="D32" s="13"/>
      <c r="E32" s="13"/>
      <c r="F32" s="13"/>
      <c r="G32" s="13"/>
      <c r="H32" s="13"/>
      <c r="I32" s="13"/>
      <c r="J32" s="78"/>
      <c r="K32" s="43"/>
      <c r="L32" s="13"/>
      <c r="M32" s="13"/>
      <c r="N32" s="13"/>
      <c r="O32" s="13"/>
      <c r="P32" s="13"/>
      <c r="Q32" s="13"/>
      <c r="R32" s="78"/>
      <c r="S32" s="43"/>
      <c r="T32" s="13"/>
      <c r="U32" s="13"/>
      <c r="V32" s="13"/>
      <c r="W32" s="13"/>
      <c r="X32" s="13"/>
      <c r="Y32" s="13"/>
      <c r="Z32" s="78"/>
      <c r="AB32" s="82"/>
      <c r="AC32" s="9" t="s">
        <v>174</v>
      </c>
      <c r="AD32" s="43"/>
      <c r="AE32" s="13"/>
      <c r="AF32" s="13"/>
      <c r="AG32" s="13"/>
      <c r="AH32" s="13"/>
      <c r="AI32" s="13"/>
      <c r="AJ32" s="13"/>
      <c r="AK32" s="78"/>
      <c r="AL32" s="43"/>
      <c r="AM32" s="13"/>
      <c r="AN32" s="13"/>
      <c r="AO32" s="13"/>
      <c r="AP32" s="13"/>
      <c r="AQ32" s="13"/>
      <c r="AR32" s="13"/>
      <c r="AS32" s="78"/>
      <c r="AT32" s="43"/>
      <c r="AU32" s="13"/>
      <c r="AV32" s="13"/>
      <c r="AW32" s="13"/>
      <c r="AX32" s="13"/>
      <c r="AY32" s="13"/>
      <c r="AZ32" s="13"/>
      <c r="BA32" s="78"/>
    </row>
    <row r="33" spans="1:53">
      <c r="A33" s="82" t="s">
        <v>175</v>
      </c>
      <c r="B33" s="9" t="s">
        <v>172</v>
      </c>
      <c r="C33" s="43"/>
      <c r="D33" s="13"/>
      <c r="E33" s="13"/>
      <c r="F33" s="13"/>
      <c r="G33" s="13"/>
      <c r="H33" s="13"/>
      <c r="I33" s="13"/>
      <c r="J33" s="78"/>
      <c r="K33" s="43"/>
      <c r="L33" s="13"/>
      <c r="M33" s="13"/>
      <c r="N33" s="13"/>
      <c r="O33" s="13"/>
      <c r="P33" s="13"/>
      <c r="Q33" s="13"/>
      <c r="R33" s="78"/>
      <c r="S33" s="43"/>
      <c r="T33" s="13"/>
      <c r="U33" s="13"/>
      <c r="V33" s="13"/>
      <c r="W33" s="13"/>
      <c r="X33" s="13"/>
      <c r="Y33" s="13"/>
      <c r="Z33" s="78"/>
      <c r="AB33" s="82" t="s">
        <v>175</v>
      </c>
      <c r="AC33" s="9" t="s">
        <v>172</v>
      </c>
      <c r="AD33" s="43"/>
      <c r="AE33" s="13"/>
      <c r="AF33" s="13"/>
      <c r="AG33" s="13"/>
      <c r="AH33" s="13"/>
      <c r="AI33" s="13"/>
      <c r="AJ33" s="13"/>
      <c r="AK33" s="78"/>
      <c r="AL33" s="43"/>
      <c r="AM33" s="13"/>
      <c r="AN33" s="13"/>
      <c r="AO33" s="13"/>
      <c r="AP33" s="13"/>
      <c r="AQ33" s="13"/>
      <c r="AR33" s="13"/>
      <c r="AS33" s="78"/>
      <c r="AT33" s="43"/>
      <c r="AU33" s="13"/>
      <c r="AV33" s="13"/>
      <c r="AW33" s="13"/>
      <c r="AX33" s="13"/>
      <c r="AY33" s="13"/>
      <c r="AZ33" s="13"/>
      <c r="BA33" s="78"/>
    </row>
    <row r="34" spans="1:53">
      <c r="A34" s="82"/>
      <c r="B34" s="9" t="s">
        <v>173</v>
      </c>
      <c r="C34" s="43"/>
      <c r="D34" s="13"/>
      <c r="E34" s="13"/>
      <c r="F34" s="13"/>
      <c r="G34" s="13"/>
      <c r="H34" s="13"/>
      <c r="I34" s="13"/>
      <c r="J34" s="78"/>
      <c r="K34" s="43"/>
      <c r="L34" s="13"/>
      <c r="M34" s="13"/>
      <c r="N34" s="13"/>
      <c r="O34" s="13"/>
      <c r="P34" s="13"/>
      <c r="Q34" s="13"/>
      <c r="R34" s="78"/>
      <c r="S34" s="43"/>
      <c r="T34" s="13"/>
      <c r="U34" s="13"/>
      <c r="V34" s="13"/>
      <c r="W34" s="13"/>
      <c r="X34" s="13"/>
      <c r="Y34" s="13"/>
      <c r="Z34" s="78"/>
      <c r="AB34" s="82"/>
      <c r="AC34" s="9" t="s">
        <v>173</v>
      </c>
      <c r="AD34" s="43"/>
      <c r="AE34" s="13"/>
      <c r="AF34" s="13"/>
      <c r="AG34" s="13"/>
      <c r="AH34" s="13"/>
      <c r="AI34" s="13"/>
      <c r="AJ34" s="13"/>
      <c r="AK34" s="78"/>
      <c r="AL34" s="43"/>
      <c r="AM34" s="13"/>
      <c r="AN34" s="13"/>
      <c r="AO34" s="13"/>
      <c r="AP34" s="13"/>
      <c r="AQ34" s="13"/>
      <c r="AR34" s="13"/>
      <c r="AS34" s="78"/>
      <c r="AT34" s="43"/>
      <c r="AU34" s="13"/>
      <c r="AV34" s="13"/>
      <c r="AW34" s="13"/>
      <c r="AX34" s="13"/>
      <c r="AY34" s="13"/>
      <c r="AZ34" s="13"/>
      <c r="BA34" s="78"/>
    </row>
    <row r="35" spans="1:53">
      <c r="A35" s="82"/>
      <c r="B35" s="9" t="s">
        <v>174</v>
      </c>
      <c r="C35" s="43"/>
      <c r="D35" s="13"/>
      <c r="E35" s="13"/>
      <c r="F35" s="13"/>
      <c r="G35" s="13"/>
      <c r="H35" s="13"/>
      <c r="I35" s="13"/>
      <c r="J35" s="78"/>
      <c r="K35" s="43"/>
      <c r="L35" s="13"/>
      <c r="M35" s="13"/>
      <c r="N35" s="13"/>
      <c r="O35" s="13"/>
      <c r="P35" s="13"/>
      <c r="Q35" s="13"/>
      <c r="R35" s="78"/>
      <c r="S35" s="43"/>
      <c r="T35" s="13"/>
      <c r="U35" s="13"/>
      <c r="V35" s="13"/>
      <c r="W35" s="13"/>
      <c r="X35" s="13"/>
      <c r="Y35" s="13"/>
      <c r="Z35" s="78"/>
      <c r="AB35" s="82"/>
      <c r="AC35" s="9" t="s">
        <v>174</v>
      </c>
      <c r="AD35" s="43"/>
      <c r="AE35" s="13"/>
      <c r="AF35" s="13"/>
      <c r="AG35" s="13"/>
      <c r="AH35" s="13"/>
      <c r="AI35" s="13"/>
      <c r="AJ35" s="13"/>
      <c r="AK35" s="78"/>
      <c r="AL35" s="43"/>
      <c r="AM35" s="13"/>
      <c r="AN35" s="13"/>
      <c r="AO35" s="13"/>
      <c r="AP35" s="13"/>
      <c r="AQ35" s="13"/>
      <c r="AR35" s="13"/>
      <c r="AS35" s="78"/>
      <c r="AT35" s="43"/>
      <c r="AU35" s="13"/>
      <c r="AV35" s="13"/>
      <c r="AW35" s="13"/>
      <c r="AX35" s="13"/>
      <c r="AY35" s="13"/>
      <c r="AZ35" s="13"/>
      <c r="BA35" s="78"/>
    </row>
    <row r="36" spans="1:53">
      <c r="A36" s="82" t="s">
        <v>176</v>
      </c>
      <c r="B36" s="9" t="s">
        <v>172</v>
      </c>
      <c r="C36" s="43"/>
      <c r="D36" s="13"/>
      <c r="E36" s="13"/>
      <c r="F36" s="13"/>
      <c r="G36" s="13"/>
      <c r="H36" s="13"/>
      <c r="I36" s="13"/>
      <c r="J36" s="78"/>
      <c r="K36" s="43"/>
      <c r="L36" s="13"/>
      <c r="M36" s="13"/>
      <c r="N36" s="13"/>
      <c r="O36" s="13"/>
      <c r="P36" s="13"/>
      <c r="Q36" s="13"/>
      <c r="R36" s="78"/>
      <c r="S36" s="43"/>
      <c r="T36" s="13"/>
      <c r="U36" s="13"/>
      <c r="V36" s="13"/>
      <c r="W36" s="13"/>
      <c r="X36" s="13"/>
      <c r="Y36" s="13"/>
      <c r="Z36" s="78"/>
      <c r="AB36" s="82" t="s">
        <v>176</v>
      </c>
      <c r="AC36" s="9" t="s">
        <v>172</v>
      </c>
      <c r="AD36" s="43"/>
      <c r="AE36" s="13"/>
      <c r="AF36" s="13"/>
      <c r="AG36" s="13"/>
      <c r="AH36" s="13"/>
      <c r="AI36" s="13"/>
      <c r="AJ36" s="13"/>
      <c r="AK36" s="78"/>
      <c r="AL36" s="43"/>
      <c r="AM36" s="13"/>
      <c r="AN36" s="13"/>
      <c r="AO36" s="13"/>
      <c r="AP36" s="13"/>
      <c r="AQ36" s="13"/>
      <c r="AR36" s="13"/>
      <c r="AS36" s="78"/>
      <c r="AT36" s="43"/>
      <c r="AU36" s="13"/>
      <c r="AV36" s="13"/>
      <c r="AW36" s="13"/>
      <c r="AX36" s="13"/>
      <c r="AY36" s="13"/>
      <c r="AZ36" s="13"/>
      <c r="BA36" s="78"/>
    </row>
    <row r="37" spans="1:53">
      <c r="A37" s="82"/>
      <c r="B37" s="9" t="s">
        <v>173</v>
      </c>
      <c r="C37" s="43"/>
      <c r="D37" s="13"/>
      <c r="E37" s="13"/>
      <c r="F37" s="13"/>
      <c r="G37" s="13"/>
      <c r="H37" s="13"/>
      <c r="I37" s="13"/>
      <c r="J37" s="78"/>
      <c r="K37" s="43"/>
      <c r="L37" s="13"/>
      <c r="M37" s="13"/>
      <c r="N37" s="13"/>
      <c r="O37" s="13"/>
      <c r="P37" s="13"/>
      <c r="Q37" s="13"/>
      <c r="R37" s="78"/>
      <c r="S37" s="43"/>
      <c r="T37" s="13"/>
      <c r="U37" s="13"/>
      <c r="V37" s="13"/>
      <c r="W37" s="13"/>
      <c r="X37" s="13"/>
      <c r="Y37" s="13"/>
      <c r="Z37" s="78"/>
      <c r="AB37" s="82"/>
      <c r="AC37" s="9" t="s">
        <v>173</v>
      </c>
      <c r="AD37" s="43"/>
      <c r="AE37" s="13"/>
      <c r="AF37" s="13"/>
      <c r="AG37" s="13"/>
      <c r="AH37" s="13"/>
      <c r="AI37" s="13"/>
      <c r="AJ37" s="13"/>
      <c r="AK37" s="78"/>
      <c r="AL37" s="43"/>
      <c r="AM37" s="13"/>
      <c r="AN37" s="13"/>
      <c r="AO37" s="13"/>
      <c r="AP37" s="13"/>
      <c r="AQ37" s="13"/>
      <c r="AR37" s="13"/>
      <c r="AS37" s="78"/>
      <c r="AT37" s="43"/>
      <c r="AU37" s="13"/>
      <c r="AV37" s="13"/>
      <c r="AW37" s="13"/>
      <c r="AX37" s="13"/>
      <c r="AY37" s="13"/>
      <c r="AZ37" s="13"/>
      <c r="BA37" s="78"/>
    </row>
    <row r="38" spans="1:53">
      <c r="A38" s="82"/>
      <c r="B38" s="9" t="s">
        <v>174</v>
      </c>
      <c r="C38" s="43"/>
      <c r="D38" s="13"/>
      <c r="E38" s="13"/>
      <c r="F38" s="13"/>
      <c r="G38" s="13"/>
      <c r="H38" s="13"/>
      <c r="I38" s="13"/>
      <c r="J38" s="78"/>
      <c r="K38" s="43"/>
      <c r="L38" s="13"/>
      <c r="M38" s="13"/>
      <c r="N38" s="13"/>
      <c r="O38" s="13"/>
      <c r="P38" s="13"/>
      <c r="Q38" s="13"/>
      <c r="R38" s="78"/>
      <c r="S38" s="43"/>
      <c r="T38" s="13"/>
      <c r="U38" s="13"/>
      <c r="V38" s="13"/>
      <c r="W38" s="13"/>
      <c r="X38" s="13"/>
      <c r="Y38" s="13"/>
      <c r="Z38" s="78"/>
      <c r="AB38" s="82"/>
      <c r="AC38" s="9" t="s">
        <v>174</v>
      </c>
      <c r="AD38" s="43"/>
      <c r="AE38" s="13"/>
      <c r="AF38" s="13"/>
      <c r="AG38" s="13"/>
      <c r="AH38" s="13"/>
      <c r="AI38" s="13"/>
      <c r="AJ38" s="13"/>
      <c r="AK38" s="78"/>
      <c r="AL38" s="43"/>
      <c r="AM38" s="13"/>
      <c r="AN38" s="13"/>
      <c r="AO38" s="13"/>
      <c r="AP38" s="13"/>
      <c r="AQ38" s="13"/>
      <c r="AR38" s="13"/>
      <c r="AS38" s="78"/>
      <c r="AT38" s="43"/>
      <c r="AU38" s="13"/>
      <c r="AV38" s="13"/>
      <c r="AW38" s="13"/>
      <c r="AX38" s="13"/>
      <c r="AY38" s="13"/>
      <c r="AZ38" s="13"/>
      <c r="BA38" s="78"/>
    </row>
    <row r="39" spans="1:53">
      <c r="A39" s="82" t="s">
        <v>177</v>
      </c>
      <c r="B39" s="9" t="s">
        <v>172</v>
      </c>
      <c r="C39" s="43"/>
      <c r="D39" s="13"/>
      <c r="E39" s="13"/>
      <c r="F39" s="13"/>
      <c r="G39" s="13"/>
      <c r="H39" s="13"/>
      <c r="I39" s="13"/>
      <c r="J39" s="78"/>
      <c r="K39" s="43"/>
      <c r="L39" s="13"/>
      <c r="M39" s="13"/>
      <c r="N39" s="13"/>
      <c r="O39" s="13"/>
      <c r="P39" s="13"/>
      <c r="Q39" s="13"/>
      <c r="R39" s="78"/>
      <c r="S39" s="43"/>
      <c r="T39" s="13"/>
      <c r="U39" s="13"/>
      <c r="V39" s="13"/>
      <c r="W39" s="13"/>
      <c r="X39" s="13"/>
      <c r="Y39" s="13"/>
      <c r="Z39" s="78"/>
      <c r="AB39" s="82" t="s">
        <v>177</v>
      </c>
      <c r="AC39" s="9" t="s">
        <v>172</v>
      </c>
      <c r="AD39" s="43"/>
      <c r="AE39" s="13"/>
      <c r="AF39" s="13"/>
      <c r="AG39" s="13"/>
      <c r="AH39" s="13"/>
      <c r="AI39" s="13"/>
      <c r="AJ39" s="13"/>
      <c r="AK39" s="78"/>
      <c r="AL39" s="43"/>
      <c r="AM39" s="13"/>
      <c r="AN39" s="13"/>
      <c r="AO39" s="13"/>
      <c r="AP39" s="13"/>
      <c r="AQ39" s="13"/>
      <c r="AR39" s="13"/>
      <c r="AS39" s="78"/>
      <c r="AT39" s="43"/>
      <c r="AU39" s="13"/>
      <c r="AV39" s="13"/>
      <c r="AW39" s="13"/>
      <c r="AX39" s="13"/>
      <c r="AY39" s="13"/>
      <c r="AZ39" s="13"/>
      <c r="BA39" s="78"/>
    </row>
    <row r="40" spans="1:53">
      <c r="A40" s="82"/>
      <c r="B40" s="9" t="s">
        <v>173</v>
      </c>
      <c r="C40" s="43"/>
      <c r="D40" s="13"/>
      <c r="E40" s="13"/>
      <c r="F40" s="13"/>
      <c r="G40" s="13"/>
      <c r="H40" s="13"/>
      <c r="I40" s="13"/>
      <c r="J40" s="78"/>
      <c r="K40" s="43"/>
      <c r="L40" s="13"/>
      <c r="M40" s="13"/>
      <c r="N40" s="13"/>
      <c r="O40" s="13"/>
      <c r="P40" s="13"/>
      <c r="Q40" s="13"/>
      <c r="R40" s="78"/>
      <c r="S40" s="43"/>
      <c r="T40" s="13"/>
      <c r="U40" s="13"/>
      <c r="V40" s="13"/>
      <c r="W40" s="13"/>
      <c r="X40" s="13"/>
      <c r="Y40" s="13"/>
      <c r="Z40" s="78"/>
      <c r="AB40" s="82"/>
      <c r="AC40" s="9" t="s">
        <v>173</v>
      </c>
      <c r="AD40" s="43"/>
      <c r="AE40" s="13"/>
      <c r="AF40" s="13"/>
      <c r="AG40" s="13"/>
      <c r="AH40" s="13"/>
      <c r="AI40" s="13"/>
      <c r="AJ40" s="13"/>
      <c r="AK40" s="78"/>
      <c r="AL40" s="43"/>
      <c r="AM40" s="13"/>
      <c r="AN40" s="13"/>
      <c r="AO40" s="13"/>
      <c r="AP40" s="13"/>
      <c r="AQ40" s="13"/>
      <c r="AR40" s="13"/>
      <c r="AS40" s="78"/>
      <c r="AT40" s="43"/>
      <c r="AU40" s="13"/>
      <c r="AV40" s="13"/>
      <c r="AW40" s="13"/>
      <c r="AX40" s="13"/>
      <c r="AY40" s="13"/>
      <c r="AZ40" s="13"/>
      <c r="BA40" s="78"/>
    </row>
    <row r="41" spans="1:53">
      <c r="A41" s="82"/>
      <c r="B41" s="9" t="s">
        <v>174</v>
      </c>
      <c r="C41" s="43"/>
      <c r="D41" s="13"/>
      <c r="E41" s="13"/>
      <c r="F41" s="13"/>
      <c r="G41" s="13"/>
      <c r="H41" s="13"/>
      <c r="I41" s="13"/>
      <c r="J41" s="78"/>
      <c r="K41" s="43"/>
      <c r="L41" s="13"/>
      <c r="M41" s="13"/>
      <c r="N41" s="13"/>
      <c r="O41" s="13"/>
      <c r="P41" s="13"/>
      <c r="Q41" s="13"/>
      <c r="R41" s="78"/>
      <c r="S41" s="43"/>
      <c r="T41" s="13"/>
      <c r="U41" s="13"/>
      <c r="V41" s="13"/>
      <c r="W41" s="13"/>
      <c r="X41" s="13"/>
      <c r="Y41" s="13"/>
      <c r="Z41" s="78"/>
      <c r="AB41" s="82"/>
      <c r="AC41" s="9" t="s">
        <v>174</v>
      </c>
      <c r="AD41" s="43"/>
      <c r="AE41" s="13"/>
      <c r="AF41" s="13"/>
      <c r="AG41" s="13"/>
      <c r="AH41" s="13"/>
      <c r="AI41" s="13"/>
      <c r="AJ41" s="13"/>
      <c r="AK41" s="78"/>
      <c r="AL41" s="43"/>
      <c r="AM41" s="13"/>
      <c r="AN41" s="13"/>
      <c r="AO41" s="13"/>
      <c r="AP41" s="13"/>
      <c r="AQ41" s="13"/>
      <c r="AR41" s="13"/>
      <c r="AS41" s="78"/>
      <c r="AT41" s="43"/>
      <c r="AU41" s="13"/>
      <c r="AV41" s="13"/>
      <c r="AW41" s="13"/>
      <c r="AX41" s="13"/>
      <c r="AY41" s="13"/>
      <c r="AZ41" s="13"/>
      <c r="BA41" s="78"/>
    </row>
    <row r="42" spans="1:53">
      <c r="A42" s="82" t="s">
        <v>178</v>
      </c>
      <c r="B42" s="9" t="s">
        <v>172</v>
      </c>
      <c r="C42" s="43"/>
      <c r="D42" s="13"/>
      <c r="E42" s="13"/>
      <c r="F42" s="13"/>
      <c r="G42" s="13"/>
      <c r="H42" s="13"/>
      <c r="I42" s="13"/>
      <c r="J42" s="78"/>
      <c r="K42" s="43"/>
      <c r="L42" s="13"/>
      <c r="M42" s="13"/>
      <c r="N42" s="13"/>
      <c r="O42" s="13"/>
      <c r="P42" s="13"/>
      <c r="Q42" s="13"/>
      <c r="R42" s="78"/>
      <c r="S42" s="43"/>
      <c r="T42" s="13"/>
      <c r="U42" s="13"/>
      <c r="V42" s="13"/>
      <c r="W42" s="13"/>
      <c r="X42" s="13"/>
      <c r="Y42" s="13"/>
      <c r="Z42" s="78"/>
      <c r="AB42" s="82" t="s">
        <v>178</v>
      </c>
      <c r="AC42" s="9" t="s">
        <v>172</v>
      </c>
      <c r="AD42" s="43"/>
      <c r="AE42" s="13"/>
      <c r="AF42" s="13"/>
      <c r="AG42" s="13"/>
      <c r="AH42" s="13"/>
      <c r="AI42" s="13"/>
      <c r="AJ42" s="13"/>
      <c r="AK42" s="78"/>
      <c r="AL42" s="43"/>
      <c r="AM42" s="13"/>
      <c r="AN42" s="13"/>
      <c r="AO42" s="13"/>
      <c r="AP42" s="13"/>
      <c r="AQ42" s="13"/>
      <c r="AR42" s="13"/>
      <c r="AS42" s="78"/>
      <c r="AT42" s="43"/>
      <c r="AU42" s="13"/>
      <c r="AV42" s="13"/>
      <c r="AW42" s="13"/>
      <c r="AX42" s="13"/>
      <c r="AY42" s="13"/>
      <c r="AZ42" s="13"/>
      <c r="BA42" s="78"/>
    </row>
    <row r="43" spans="1:53">
      <c r="A43" s="82"/>
      <c r="B43" s="9" t="s">
        <v>173</v>
      </c>
      <c r="C43" s="43"/>
      <c r="D43" s="13"/>
      <c r="E43" s="13"/>
      <c r="F43" s="13"/>
      <c r="G43" s="13"/>
      <c r="H43" s="13"/>
      <c r="I43" s="13"/>
      <c r="J43" s="78"/>
      <c r="K43" s="43"/>
      <c r="L43" s="13"/>
      <c r="M43" s="13"/>
      <c r="N43" s="13"/>
      <c r="O43" s="13"/>
      <c r="P43" s="13"/>
      <c r="Q43" s="13"/>
      <c r="R43" s="78"/>
      <c r="S43" s="43"/>
      <c r="T43" s="13"/>
      <c r="U43" s="13"/>
      <c r="V43" s="13"/>
      <c r="W43" s="13"/>
      <c r="X43" s="13"/>
      <c r="Y43" s="13"/>
      <c r="Z43" s="78"/>
      <c r="AB43" s="82"/>
      <c r="AC43" s="9" t="s">
        <v>173</v>
      </c>
      <c r="AD43" s="43"/>
      <c r="AE43" s="13"/>
      <c r="AF43" s="13"/>
      <c r="AG43" s="13"/>
      <c r="AH43" s="13"/>
      <c r="AI43" s="13"/>
      <c r="AJ43" s="13"/>
      <c r="AK43" s="78"/>
      <c r="AL43" s="43"/>
      <c r="AM43" s="13"/>
      <c r="AN43" s="13"/>
      <c r="AO43" s="13"/>
      <c r="AP43" s="13"/>
      <c r="AQ43" s="13"/>
      <c r="AR43" s="13"/>
      <c r="AS43" s="78"/>
      <c r="AT43" s="43"/>
      <c r="AU43" s="13"/>
      <c r="AV43" s="13"/>
      <c r="AW43" s="13"/>
      <c r="AX43" s="13"/>
      <c r="AY43" s="13"/>
      <c r="AZ43" s="13"/>
      <c r="BA43" s="78"/>
    </row>
    <row r="44" spans="1:53">
      <c r="A44" s="82"/>
      <c r="B44" s="9" t="s">
        <v>174</v>
      </c>
      <c r="C44" s="43"/>
      <c r="D44" s="13"/>
      <c r="E44" s="13"/>
      <c r="F44" s="13"/>
      <c r="G44" s="13"/>
      <c r="H44" s="13"/>
      <c r="I44" s="13"/>
      <c r="J44" s="78"/>
      <c r="K44" s="43"/>
      <c r="L44" s="13"/>
      <c r="M44" s="13"/>
      <c r="N44" s="13"/>
      <c r="O44" s="13"/>
      <c r="P44" s="13"/>
      <c r="Q44" s="13"/>
      <c r="R44" s="78"/>
      <c r="S44" s="43"/>
      <c r="T44" s="13"/>
      <c r="U44" s="13"/>
      <c r="V44" s="13"/>
      <c r="W44" s="13"/>
      <c r="X44" s="13"/>
      <c r="Y44" s="13"/>
      <c r="Z44" s="78"/>
      <c r="AB44" s="82"/>
      <c r="AC44" s="9" t="s">
        <v>174</v>
      </c>
      <c r="AD44" s="43"/>
      <c r="AE44" s="13"/>
      <c r="AF44" s="13"/>
      <c r="AG44" s="13"/>
      <c r="AH44" s="13"/>
      <c r="AI44" s="13"/>
      <c r="AJ44" s="13"/>
      <c r="AK44" s="78"/>
      <c r="AL44" s="43"/>
      <c r="AM44" s="13"/>
      <c r="AN44" s="13"/>
      <c r="AO44" s="13"/>
      <c r="AP44" s="13"/>
      <c r="AQ44" s="13"/>
      <c r="AR44" s="13"/>
      <c r="AS44" s="78"/>
      <c r="AT44" s="43"/>
      <c r="AU44" s="13"/>
      <c r="AV44" s="13"/>
      <c r="AW44" s="13"/>
      <c r="AX44" s="13"/>
      <c r="AY44" s="13"/>
      <c r="AZ44" s="13"/>
      <c r="BA44" s="78"/>
    </row>
    <row r="45" spans="1:53">
      <c r="A45" s="82" t="s">
        <v>179</v>
      </c>
      <c r="B45" s="9" t="s">
        <v>172</v>
      </c>
      <c r="C45" s="43"/>
      <c r="D45" s="13"/>
      <c r="E45" s="13"/>
      <c r="F45" s="13"/>
      <c r="G45" s="13"/>
      <c r="H45" s="13"/>
      <c r="I45" s="13"/>
      <c r="J45" s="78"/>
      <c r="K45" s="43"/>
      <c r="L45" s="13"/>
      <c r="M45" s="13"/>
      <c r="N45" s="13"/>
      <c r="O45" s="13"/>
      <c r="P45" s="13"/>
      <c r="Q45" s="13"/>
      <c r="R45" s="78"/>
      <c r="S45" s="43"/>
      <c r="T45" s="13"/>
      <c r="U45" s="13"/>
      <c r="V45" s="13"/>
      <c r="W45" s="13"/>
      <c r="X45" s="13"/>
      <c r="Y45" s="13"/>
      <c r="Z45" s="78"/>
      <c r="AB45" s="82" t="s">
        <v>179</v>
      </c>
      <c r="AC45" s="9" t="s">
        <v>172</v>
      </c>
      <c r="AD45" s="43"/>
      <c r="AE45" s="13"/>
      <c r="AF45" s="13"/>
      <c r="AG45" s="13"/>
      <c r="AH45" s="13"/>
      <c r="AI45" s="13"/>
      <c r="AJ45" s="13"/>
      <c r="AK45" s="78"/>
      <c r="AL45" s="43"/>
      <c r="AM45" s="13"/>
      <c r="AN45" s="13"/>
      <c r="AO45" s="13"/>
      <c r="AP45" s="13"/>
      <c r="AQ45" s="13"/>
      <c r="AR45" s="13"/>
      <c r="AS45" s="78"/>
      <c r="AT45" s="43"/>
      <c r="AU45" s="13"/>
      <c r="AV45" s="13"/>
      <c r="AW45" s="13"/>
      <c r="AX45" s="13"/>
      <c r="AY45" s="13"/>
      <c r="AZ45" s="13"/>
      <c r="BA45" s="78"/>
    </row>
    <row r="46" spans="1:53">
      <c r="A46" s="82"/>
      <c r="B46" s="9" t="s">
        <v>173</v>
      </c>
      <c r="C46" s="43"/>
      <c r="D46" s="13"/>
      <c r="E46" s="13"/>
      <c r="F46" s="13"/>
      <c r="G46" s="13"/>
      <c r="H46" s="13"/>
      <c r="I46" s="13"/>
      <c r="J46" s="78"/>
      <c r="K46" s="43"/>
      <c r="L46" s="13"/>
      <c r="M46" s="13"/>
      <c r="N46" s="13"/>
      <c r="O46" s="13"/>
      <c r="P46" s="13"/>
      <c r="Q46" s="13"/>
      <c r="R46" s="78"/>
      <c r="S46" s="43"/>
      <c r="T46" s="13"/>
      <c r="U46" s="13"/>
      <c r="V46" s="13"/>
      <c r="W46" s="13"/>
      <c r="X46" s="13"/>
      <c r="Y46" s="13"/>
      <c r="Z46" s="78"/>
      <c r="AB46" s="82"/>
      <c r="AC46" s="9" t="s">
        <v>173</v>
      </c>
      <c r="AD46" s="43"/>
      <c r="AE46" s="13"/>
      <c r="AF46" s="13"/>
      <c r="AG46" s="13"/>
      <c r="AH46" s="13"/>
      <c r="AI46" s="13"/>
      <c r="AJ46" s="13"/>
      <c r="AK46" s="78"/>
      <c r="AL46" s="43"/>
      <c r="AM46" s="13"/>
      <c r="AN46" s="13"/>
      <c r="AO46" s="13"/>
      <c r="AP46" s="13"/>
      <c r="AQ46" s="13"/>
      <c r="AR46" s="13"/>
      <c r="AS46" s="78"/>
      <c r="AT46" s="43"/>
      <c r="AU46" s="13"/>
      <c r="AV46" s="13"/>
      <c r="AW46" s="13"/>
      <c r="AX46" s="13"/>
      <c r="AY46" s="13"/>
      <c r="AZ46" s="13"/>
      <c r="BA46" s="78"/>
    </row>
    <row r="47" spans="1:53">
      <c r="A47" s="82"/>
      <c r="B47" s="9" t="s">
        <v>174</v>
      </c>
      <c r="C47" s="43"/>
      <c r="D47" s="13"/>
      <c r="E47" s="13"/>
      <c r="F47" s="13"/>
      <c r="G47" s="13"/>
      <c r="H47" s="13"/>
      <c r="I47" s="13"/>
      <c r="J47" s="78"/>
      <c r="K47" s="43"/>
      <c r="L47" s="13"/>
      <c r="M47" s="13"/>
      <c r="N47" s="13"/>
      <c r="O47" s="13"/>
      <c r="P47" s="13"/>
      <c r="Q47" s="13"/>
      <c r="R47" s="78"/>
      <c r="S47" s="43"/>
      <c r="T47" s="13"/>
      <c r="U47" s="13"/>
      <c r="V47" s="13"/>
      <c r="W47" s="13"/>
      <c r="X47" s="13"/>
      <c r="Y47" s="13"/>
      <c r="Z47" s="78"/>
      <c r="AB47" s="82"/>
      <c r="AC47" s="9" t="s">
        <v>174</v>
      </c>
      <c r="AD47" s="43"/>
      <c r="AE47" s="13"/>
      <c r="AF47" s="13"/>
      <c r="AG47" s="13"/>
      <c r="AH47" s="13"/>
      <c r="AI47" s="13"/>
      <c r="AJ47" s="13"/>
      <c r="AK47" s="78"/>
      <c r="AL47" s="43"/>
      <c r="AM47" s="13"/>
      <c r="AN47" s="13"/>
      <c r="AO47" s="13"/>
      <c r="AP47" s="13"/>
      <c r="AQ47" s="13"/>
      <c r="AR47" s="13"/>
      <c r="AS47" s="78"/>
      <c r="AT47" s="43"/>
      <c r="AU47" s="13"/>
      <c r="AV47" s="13"/>
      <c r="AW47" s="13"/>
      <c r="AX47" s="13"/>
      <c r="AY47" s="13"/>
      <c r="AZ47" s="13"/>
      <c r="BA47" s="78"/>
    </row>
    <row r="48" spans="1:53">
      <c r="A48" s="82" t="s">
        <v>180</v>
      </c>
      <c r="B48" s="9" t="s">
        <v>172</v>
      </c>
      <c r="C48" s="43"/>
      <c r="D48" s="13"/>
      <c r="E48" s="13"/>
      <c r="F48" s="13"/>
      <c r="G48" s="13"/>
      <c r="H48" s="13"/>
      <c r="I48" s="13"/>
      <c r="J48" s="78"/>
      <c r="K48" s="43"/>
      <c r="L48" s="13"/>
      <c r="M48" s="13"/>
      <c r="N48" s="13"/>
      <c r="O48" s="13"/>
      <c r="P48" s="13"/>
      <c r="Q48" s="13"/>
      <c r="R48" s="78"/>
      <c r="S48" s="43"/>
      <c r="T48" s="13"/>
      <c r="U48" s="13"/>
      <c r="V48" s="13"/>
      <c r="W48" s="13"/>
      <c r="X48" s="13"/>
      <c r="Y48" s="13"/>
      <c r="Z48" s="78"/>
      <c r="AB48" s="82" t="s">
        <v>180</v>
      </c>
      <c r="AC48" s="9" t="s">
        <v>172</v>
      </c>
      <c r="AD48" s="43"/>
      <c r="AE48" s="13"/>
      <c r="AF48" s="13"/>
      <c r="AG48" s="13"/>
      <c r="AH48" s="13"/>
      <c r="AI48" s="13"/>
      <c r="AJ48" s="13"/>
      <c r="AK48" s="78"/>
      <c r="AL48" s="43"/>
      <c r="AM48" s="13"/>
      <c r="AN48" s="13"/>
      <c r="AO48" s="13"/>
      <c r="AP48" s="13"/>
      <c r="AQ48" s="13"/>
      <c r="AR48" s="13"/>
      <c r="AS48" s="78"/>
      <c r="AT48" s="43"/>
      <c r="AU48" s="13"/>
      <c r="AV48" s="13"/>
      <c r="AW48" s="13"/>
      <c r="AX48" s="13"/>
      <c r="AY48" s="13"/>
      <c r="AZ48" s="13"/>
      <c r="BA48" s="78"/>
    </row>
    <row r="49" spans="1:53">
      <c r="A49" s="82"/>
      <c r="B49" s="9" t="s">
        <v>173</v>
      </c>
      <c r="C49" s="43"/>
      <c r="D49" s="13"/>
      <c r="E49" s="13"/>
      <c r="F49" s="13"/>
      <c r="G49" s="13"/>
      <c r="H49" s="13"/>
      <c r="I49" s="13"/>
      <c r="J49" s="78"/>
      <c r="K49" s="43"/>
      <c r="L49" s="13"/>
      <c r="M49" s="13"/>
      <c r="N49" s="13"/>
      <c r="O49" s="13"/>
      <c r="P49" s="13"/>
      <c r="Q49" s="13"/>
      <c r="R49" s="78"/>
      <c r="S49" s="43"/>
      <c r="T49" s="13"/>
      <c r="U49" s="13"/>
      <c r="V49" s="13"/>
      <c r="W49" s="13"/>
      <c r="X49" s="13"/>
      <c r="Y49" s="13"/>
      <c r="Z49" s="78"/>
      <c r="AB49" s="82"/>
      <c r="AC49" s="9" t="s">
        <v>173</v>
      </c>
      <c r="AD49" s="43"/>
      <c r="AE49" s="13"/>
      <c r="AF49" s="13"/>
      <c r="AG49" s="13"/>
      <c r="AH49" s="13"/>
      <c r="AI49" s="13"/>
      <c r="AJ49" s="13"/>
      <c r="AK49" s="78"/>
      <c r="AL49" s="43"/>
      <c r="AM49" s="13"/>
      <c r="AN49" s="13"/>
      <c r="AO49" s="13"/>
      <c r="AP49" s="13"/>
      <c r="AQ49" s="13"/>
      <c r="AR49" s="13"/>
      <c r="AS49" s="78"/>
      <c r="AT49" s="43"/>
      <c r="AU49" s="13"/>
      <c r="AV49" s="13"/>
      <c r="AW49" s="13"/>
      <c r="AX49" s="13"/>
      <c r="AY49" s="13"/>
      <c r="AZ49" s="13"/>
      <c r="BA49" s="78"/>
    </row>
    <row r="50" spans="1:53" customHeight="1" ht="15">
      <c r="A50" s="81"/>
      <c r="B50" s="55" t="s">
        <v>174</v>
      </c>
      <c r="C50" s="44"/>
      <c r="D50" s="56"/>
      <c r="E50" s="56"/>
      <c r="F50" s="56"/>
      <c r="G50" s="56"/>
      <c r="H50" s="56"/>
      <c r="I50" s="56"/>
      <c r="J50" s="22"/>
      <c r="K50" s="44"/>
      <c r="L50" s="56"/>
      <c r="M50" s="56"/>
      <c r="N50" s="56"/>
      <c r="O50" s="56"/>
      <c r="P50" s="56"/>
      <c r="Q50" s="56"/>
      <c r="R50" s="22"/>
      <c r="S50" s="44"/>
      <c r="T50" s="56"/>
      <c r="U50" s="56"/>
      <c r="V50" s="56"/>
      <c r="W50" s="56"/>
      <c r="X50" s="56"/>
      <c r="Y50" s="56"/>
      <c r="Z50" s="22"/>
      <c r="AB50" s="81"/>
      <c r="AC50" s="55" t="s">
        <v>174</v>
      </c>
      <c r="AD50" s="44"/>
      <c r="AE50" s="56"/>
      <c r="AF50" s="56"/>
      <c r="AG50" s="56"/>
      <c r="AH50" s="56"/>
      <c r="AI50" s="56"/>
      <c r="AJ50" s="56"/>
      <c r="AK50" s="22"/>
      <c r="AL50" s="44"/>
      <c r="AM50" s="56"/>
      <c r="AN50" s="56"/>
      <c r="AO50" s="56"/>
      <c r="AP50" s="56"/>
      <c r="AQ50" s="56"/>
      <c r="AR50" s="56"/>
      <c r="AS50" s="22"/>
      <c r="AT50" s="44"/>
      <c r="AU50" s="56"/>
      <c r="AV50" s="56"/>
      <c r="AW50" s="56"/>
      <c r="AX50" s="56"/>
      <c r="AY50" s="56"/>
      <c r="AZ50" s="56"/>
      <c r="BA50" s="22"/>
    </row>
    <row r="51" spans="1:53" customHeight="1" ht="15.5">
      <c r="A51" s="79" t="s">
        <v>102</v>
      </c>
      <c r="B51" s="80"/>
      <c r="C51" s="84">
        <f>SUM(C30:C50)</f>
        <v>0</v>
      </c>
      <c r="D51" s="83">
        <f>SUM(D30:D50)</f>
        <v>0</v>
      </c>
      <c r="E51" s="83">
        <f>SUM(E30:E50)</f>
        <v>0</v>
      </c>
      <c r="F51" s="83">
        <f>SUM(F30:F50)</f>
        <v>0</v>
      </c>
      <c r="G51" s="83">
        <f>SUM(G30:G50)</f>
        <v>0</v>
      </c>
      <c r="H51" s="83">
        <v>0</v>
      </c>
      <c r="I51" s="83">
        <v>0</v>
      </c>
      <c r="J51" s="83">
        <f>SUM(J30:J50)</f>
        <v>0</v>
      </c>
      <c r="K51" s="84">
        <f>SUM(K30:K50)</f>
        <v>0</v>
      </c>
      <c r="L51" s="83">
        <f>SUM(L30:L50)</f>
        <v>0</v>
      </c>
      <c r="M51" s="83">
        <f>SUM(M30:M50)</f>
        <v>0</v>
      </c>
      <c r="N51" s="83">
        <f>SUM(N30:N50)</f>
        <v>0</v>
      </c>
      <c r="O51" s="83">
        <f>SUM(O30:O50)</f>
        <v>0</v>
      </c>
      <c r="P51" s="83">
        <v>0</v>
      </c>
      <c r="Q51" s="83">
        <v>0</v>
      </c>
      <c r="R51" s="83">
        <f>SUM(R30:R50)</f>
        <v>0</v>
      </c>
      <c r="S51" s="84">
        <f>SUM(S30:S50)</f>
        <v>0</v>
      </c>
      <c r="T51" s="83">
        <f>SUM(T30:T50)</f>
        <v>0</v>
      </c>
      <c r="U51" s="83">
        <f>SUM(U30:U50)</f>
        <v>0</v>
      </c>
      <c r="V51" s="83">
        <f>SUM(V30:V50)</f>
        <v>0</v>
      </c>
      <c r="W51" s="83">
        <f>SUM(W30:W50)</f>
        <v>0</v>
      </c>
      <c r="X51" s="83">
        <v>0</v>
      </c>
      <c r="Y51" s="83">
        <v>0</v>
      </c>
      <c r="Z51" s="86">
        <f>SUM(Z30:Z50)</f>
        <v>0</v>
      </c>
      <c r="AB51" s="545" t="s">
        <v>102</v>
      </c>
      <c r="AC51" s="546"/>
      <c r="AD51" s="84">
        <f>SUM(AD30:AD50)</f>
        <v>0</v>
      </c>
      <c r="AE51" s="83">
        <f>SUM(AE30:AE50)</f>
        <v>0</v>
      </c>
      <c r="AF51" s="83">
        <f>SUM(AF30:AF50)</f>
        <v>0</v>
      </c>
      <c r="AG51" s="83">
        <f>SUM(AG30:AG50)</f>
        <v>0</v>
      </c>
      <c r="AH51" s="83">
        <f>SUM(AH30:AH50)</f>
        <v>0</v>
      </c>
      <c r="AI51" s="83">
        <v>0</v>
      </c>
      <c r="AJ51" s="83">
        <v>0</v>
      </c>
      <c r="AK51" s="83">
        <f>SUM(AK30:AK50)</f>
        <v>0</v>
      </c>
      <c r="AL51" s="84">
        <f>SUM(AL30:AL50)</f>
        <v>0</v>
      </c>
      <c r="AM51" s="83">
        <f>SUM(AM30:AM50)</f>
        <v>0</v>
      </c>
      <c r="AN51" s="83">
        <f>SUM(AN30:AN50)</f>
        <v>0</v>
      </c>
      <c r="AO51" s="83">
        <f>SUM(AO30:AO50)</f>
        <v>0</v>
      </c>
      <c r="AP51" s="83">
        <f>SUM(AP30:AP50)</f>
        <v>0</v>
      </c>
      <c r="AQ51" s="83">
        <v>0</v>
      </c>
      <c r="AR51" s="83">
        <v>0</v>
      </c>
      <c r="AS51" s="83">
        <f>SUM(AS30:AS50)</f>
        <v>0</v>
      </c>
      <c r="AT51" s="84">
        <f>SUM(AT30:AT50)</f>
        <v>0</v>
      </c>
      <c r="AU51" s="83">
        <f>SUM(AU30:AU50)</f>
        <v>0</v>
      </c>
      <c r="AV51" s="83">
        <f>SUM(AV30:AV50)</f>
        <v>0</v>
      </c>
      <c r="AW51" s="83">
        <f>SUM(AW30:AW50)</f>
        <v>0</v>
      </c>
      <c r="AX51" s="83">
        <f>SUM(AX30:AX50)</f>
        <v>0</v>
      </c>
      <c r="AY51" s="83">
        <v>0</v>
      </c>
      <c r="AZ51" s="83">
        <v>0</v>
      </c>
      <c r="BA51" s="86">
        <f>SUM(BA30:BA50)</f>
        <v>0</v>
      </c>
    </row>
    <row r="52" spans="1:53" customHeight="1" ht="15.5">
      <c r="AB52" s="543" t="s">
        <v>187</v>
      </c>
      <c r="AC52" s="544"/>
      <c r="AD52" s="189">
        <f>SUM(AD51,AL51,AT51,S51,K51,C51,C25,K25,S25,AD25,AL25,AT25)</f>
        <v>0</v>
      </c>
      <c r="AE52" s="189">
        <f>SUM(AE51,AM51,AU51,T51,L51,D51,D25,L25,T25,AE25,AM25,AU25)</f>
        <v>0</v>
      </c>
      <c r="AF52" s="189">
        <f>SUM(AF51,AN51,AV51,U51,M51,E51,E25,M25,U25,AF25,AN25,AV25)</f>
        <v>0</v>
      </c>
      <c r="AG52" s="189">
        <f>SUM(AG51,AO51,AW51,V51,N51,F51,F25,N25,V25,AG25,AO25,AW25)</f>
        <v>0</v>
      </c>
      <c r="AH52" s="189">
        <f>SUM(AH51,AP51,AX51,W51,O51,G51,G25,O25,W25,AH25,AP25,AX25)</f>
        <v>0</v>
      </c>
      <c r="AI52" s="189">
        <f>SUM(AI51+AQ51+AY51+AY25+AQ25+AI25+X25+P25+H25+H51+P51+X51)</f>
        <v>3</v>
      </c>
      <c r="AJ52" s="189">
        <f>SUM(AJ51+AR51+AZ51+AZ25+AR25+AJ25+Y51+Q51+I51+I25+Q25+Y25)</f>
        <v>3</v>
      </c>
      <c r="AK52" s="195">
        <f>SUM(BA51,AS51,AK51,Z51,R51,J51,J25,R25,Z25,AK25,AS25,BA25)</f>
        <v>0</v>
      </c>
      <c r="AL52" s="190"/>
    </row>
    <row r="56" spans="1:53" customHeight="1" ht="15"/>
    <row r="57" spans="1:53">
      <c r="C57" s="537" t="s">
        <v>188</v>
      </c>
      <c r="D57" s="538"/>
      <c r="E57" s="538"/>
      <c r="F57" s="538"/>
      <c r="G57" s="538"/>
      <c r="H57" s="538"/>
      <c r="I57" s="538"/>
      <c r="J57" s="538"/>
      <c r="K57" s="538"/>
      <c r="L57" s="538"/>
      <c r="M57" s="538"/>
      <c r="N57" s="538"/>
      <c r="O57" s="538"/>
      <c r="P57" s="539"/>
    </row>
    <row r="58" spans="1:53">
      <c r="C58" s="540"/>
      <c r="D58" s="541"/>
      <c r="E58" s="541"/>
      <c r="F58" s="541"/>
      <c r="G58" s="541"/>
      <c r="H58" s="541"/>
      <c r="I58" s="541"/>
      <c r="J58" s="541"/>
      <c r="K58" s="541"/>
      <c r="L58" s="541"/>
      <c r="M58" s="541"/>
      <c r="N58" s="541"/>
      <c r="O58" s="541"/>
      <c r="P58" s="542"/>
    </row>
    <row r="59" spans="1:53">
      <c r="C59" s="529" t="s">
        <v>189</v>
      </c>
      <c r="D59" s="530"/>
      <c r="E59" s="530"/>
      <c r="F59" s="530"/>
      <c r="G59" s="530"/>
      <c r="H59" s="530"/>
      <c r="I59" s="530"/>
      <c r="J59" s="533" t="s">
        <v>190</v>
      </c>
      <c r="K59" s="533"/>
      <c r="L59" s="533"/>
      <c r="M59" s="533"/>
      <c r="N59" s="533"/>
      <c r="O59" s="533"/>
      <c r="P59" s="534"/>
    </row>
    <row r="60" spans="1:53">
      <c r="C60" s="529"/>
      <c r="D60" s="530"/>
      <c r="E60" s="530"/>
      <c r="F60" s="530"/>
      <c r="G60" s="530"/>
      <c r="H60" s="530"/>
      <c r="I60" s="530"/>
      <c r="J60" s="533"/>
      <c r="K60" s="533"/>
      <c r="L60" s="533"/>
      <c r="M60" s="533"/>
      <c r="N60" s="533"/>
      <c r="O60" s="533"/>
      <c r="P60" s="534"/>
    </row>
    <row r="61" spans="1:53">
      <c r="C61" s="529" t="s">
        <v>191</v>
      </c>
      <c r="D61" s="530"/>
      <c r="E61" s="530"/>
      <c r="F61" s="530"/>
      <c r="G61" s="530"/>
      <c r="H61" s="530"/>
      <c r="I61" s="530"/>
      <c r="J61" s="533" t="s">
        <v>190</v>
      </c>
      <c r="K61" s="533"/>
      <c r="L61" s="533"/>
      <c r="M61" s="533"/>
      <c r="N61" s="533"/>
      <c r="O61" s="533"/>
      <c r="P61" s="534"/>
    </row>
    <row r="62" spans="1:53">
      <c r="C62" s="529"/>
      <c r="D62" s="530"/>
      <c r="E62" s="530"/>
      <c r="F62" s="530"/>
      <c r="G62" s="530"/>
      <c r="H62" s="530"/>
      <c r="I62" s="530"/>
      <c r="J62" s="533"/>
      <c r="K62" s="533"/>
      <c r="L62" s="533"/>
      <c r="M62" s="533"/>
      <c r="N62" s="533"/>
      <c r="O62" s="533"/>
      <c r="P62" s="534"/>
    </row>
    <row r="63" spans="1:53">
      <c r="C63" s="529" t="s">
        <v>192</v>
      </c>
      <c r="D63" s="530"/>
      <c r="E63" s="530"/>
      <c r="F63" s="530"/>
      <c r="G63" s="530"/>
      <c r="H63" s="530"/>
      <c r="I63" s="530"/>
      <c r="J63" s="533" t="s">
        <v>190</v>
      </c>
      <c r="K63" s="533"/>
      <c r="L63" s="533"/>
      <c r="M63" s="533"/>
      <c r="N63" s="533"/>
      <c r="O63" s="533"/>
      <c r="P63" s="534"/>
    </row>
    <row r="64" spans="1:53">
      <c r="C64" s="529"/>
      <c r="D64" s="530"/>
      <c r="E64" s="530"/>
      <c r="F64" s="530"/>
      <c r="G64" s="530"/>
      <c r="H64" s="530"/>
      <c r="I64" s="530"/>
      <c r="J64" s="533"/>
      <c r="K64" s="533"/>
      <c r="L64" s="533"/>
      <c r="M64" s="533"/>
      <c r="N64" s="533"/>
      <c r="O64" s="533"/>
      <c r="P64" s="534"/>
    </row>
    <row r="65" spans="1:53">
      <c r="C65" s="529" t="s">
        <v>193</v>
      </c>
      <c r="D65" s="530"/>
      <c r="E65" s="530"/>
      <c r="F65" s="530"/>
      <c r="G65" s="530"/>
      <c r="H65" s="530"/>
      <c r="I65" s="530"/>
      <c r="J65" s="533" t="s">
        <v>190</v>
      </c>
      <c r="K65" s="533"/>
      <c r="L65" s="533"/>
      <c r="M65" s="533"/>
      <c r="N65" s="533"/>
      <c r="O65" s="533"/>
      <c r="P65" s="534"/>
    </row>
    <row r="66" spans="1:53">
      <c r="C66" s="529"/>
      <c r="D66" s="530"/>
      <c r="E66" s="530"/>
      <c r="F66" s="530"/>
      <c r="G66" s="530"/>
      <c r="H66" s="530"/>
      <c r="I66" s="530"/>
      <c r="J66" s="533"/>
      <c r="K66" s="533"/>
      <c r="L66" s="533"/>
      <c r="M66" s="533"/>
      <c r="N66" s="533"/>
      <c r="O66" s="533"/>
      <c r="P66" s="534"/>
    </row>
    <row r="67" spans="1:53">
      <c r="C67" s="529" t="s">
        <v>194</v>
      </c>
      <c r="D67" s="530"/>
      <c r="E67" s="530"/>
      <c r="F67" s="530"/>
      <c r="G67" s="530"/>
      <c r="H67" s="530"/>
      <c r="I67" s="530"/>
      <c r="J67" s="533" t="s">
        <v>195</v>
      </c>
      <c r="K67" s="533"/>
      <c r="L67" s="533"/>
      <c r="M67" s="533"/>
      <c r="N67" s="533"/>
      <c r="O67" s="533"/>
      <c r="P67" s="534"/>
    </row>
    <row r="68" spans="1:53">
      <c r="C68" s="529"/>
      <c r="D68" s="530"/>
      <c r="E68" s="530"/>
      <c r="F68" s="530"/>
      <c r="G68" s="530"/>
      <c r="H68" s="530"/>
      <c r="I68" s="530"/>
      <c r="J68" s="533"/>
      <c r="K68" s="533"/>
      <c r="L68" s="533"/>
      <c r="M68" s="533"/>
      <c r="N68" s="533"/>
      <c r="O68" s="533"/>
      <c r="P68" s="534"/>
    </row>
    <row r="69" spans="1:53">
      <c r="C69" s="529" t="s">
        <v>196</v>
      </c>
      <c r="D69" s="530"/>
      <c r="E69" s="530"/>
      <c r="F69" s="530"/>
      <c r="G69" s="530"/>
      <c r="H69" s="530"/>
      <c r="I69" s="530"/>
      <c r="J69" s="533" t="s">
        <v>197</v>
      </c>
      <c r="K69" s="533"/>
      <c r="L69" s="533"/>
      <c r="M69" s="533"/>
      <c r="N69" s="533"/>
      <c r="O69" s="533"/>
      <c r="P69" s="534"/>
    </row>
    <row r="70" spans="1:53">
      <c r="C70" s="529"/>
      <c r="D70" s="530"/>
      <c r="E70" s="530"/>
      <c r="F70" s="530"/>
      <c r="G70" s="530"/>
      <c r="H70" s="530"/>
      <c r="I70" s="530"/>
      <c r="J70" s="533"/>
      <c r="K70" s="533"/>
      <c r="L70" s="533"/>
      <c r="M70" s="533"/>
      <c r="N70" s="533"/>
      <c r="O70" s="533"/>
      <c r="P70" s="534"/>
    </row>
    <row r="71" spans="1:53">
      <c r="C71" s="529" t="s">
        <v>198</v>
      </c>
      <c r="D71" s="530"/>
      <c r="E71" s="530"/>
      <c r="F71" s="530"/>
      <c r="G71" s="530"/>
      <c r="H71" s="530"/>
      <c r="I71" s="530"/>
      <c r="J71" s="533" t="s">
        <v>197</v>
      </c>
      <c r="K71" s="533"/>
      <c r="L71" s="533"/>
      <c r="M71" s="533"/>
      <c r="N71" s="533"/>
      <c r="O71" s="533"/>
      <c r="P71" s="534"/>
    </row>
    <row r="72" spans="1:53">
      <c r="C72" s="529"/>
      <c r="D72" s="530"/>
      <c r="E72" s="530"/>
      <c r="F72" s="530"/>
      <c r="G72" s="530"/>
      <c r="H72" s="530"/>
      <c r="I72" s="530"/>
      <c r="J72" s="533"/>
      <c r="K72" s="533"/>
      <c r="L72" s="533"/>
      <c r="M72" s="533"/>
      <c r="N72" s="533"/>
      <c r="O72" s="533"/>
      <c r="P72" s="534"/>
    </row>
    <row r="73" spans="1:53">
      <c r="C73" s="529" t="s">
        <v>199</v>
      </c>
      <c r="D73" s="530"/>
      <c r="E73" s="530"/>
      <c r="F73" s="530"/>
      <c r="G73" s="530"/>
      <c r="H73" s="530"/>
      <c r="I73" s="530"/>
      <c r="J73" s="533" t="s">
        <v>190</v>
      </c>
      <c r="K73" s="533"/>
      <c r="L73" s="533"/>
      <c r="M73" s="533"/>
      <c r="N73" s="533"/>
      <c r="O73" s="533"/>
      <c r="P73" s="534"/>
    </row>
    <row r="74" spans="1:53" customHeight="1" ht="15">
      <c r="C74" s="531"/>
      <c r="D74" s="532"/>
      <c r="E74" s="532"/>
      <c r="F74" s="532"/>
      <c r="G74" s="532"/>
      <c r="H74" s="532"/>
      <c r="I74" s="532"/>
      <c r="J74" s="535"/>
      <c r="K74" s="535"/>
      <c r="L74" s="535"/>
      <c r="M74" s="535"/>
      <c r="N74" s="535"/>
      <c r="O74" s="535"/>
      <c r="P74" s="536"/>
    </row>
  </sheetData>
  <sheetProtection formatCells="0" formatColumns="0" formatRows="0" insertColumns="0" insertRows="0" insertHyperlinks="0" deleteColumns="0" deleteRows="0" sort="0" autoFilter="0" pivotTables="0"/>
  <mergeCells>
    <mergeCell ref="AT2:BA2"/>
    <mergeCell ref="C28:J28"/>
    <mergeCell ref="K28:R28"/>
    <mergeCell ref="S28:Z28"/>
    <mergeCell ref="AD28:AK28"/>
    <mergeCell ref="AL28:AS28"/>
    <mergeCell ref="AT28:BA28"/>
    <mergeCell ref="C2:J2"/>
    <mergeCell ref="K2:R2"/>
    <mergeCell ref="S2:Z2"/>
    <mergeCell ref="AD2:AK2"/>
    <mergeCell ref="AL2:AS2"/>
    <mergeCell ref="C59:I60"/>
    <mergeCell ref="J59:P60"/>
    <mergeCell ref="C57:P58"/>
    <mergeCell ref="AB52:AC52"/>
    <mergeCell ref="AB51:AC51"/>
    <mergeCell ref="C61:I62"/>
    <mergeCell ref="J61:P62"/>
    <mergeCell ref="C63:I64"/>
    <mergeCell ref="J63:P64"/>
    <mergeCell ref="C65:I66"/>
    <mergeCell ref="J65:P66"/>
    <mergeCell ref="C73:I74"/>
    <mergeCell ref="J73:P74"/>
    <mergeCell ref="C67:I68"/>
    <mergeCell ref="J67:P68"/>
    <mergeCell ref="C69:I70"/>
    <mergeCell ref="J69:P70"/>
    <mergeCell ref="C71:I72"/>
    <mergeCell ref="J71:P72"/>
  </mergeCells>
  <printOptions gridLines="false" gridLinesSet="true"/>
  <pageMargins left="0.7" right="0.7" top="0.75" bottom="0.75" header="0.3" footer="0.3"/>
  <pageSetup paperSize="9" orientation="landscape" scale="97"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X154"/>
  <sheetViews>
    <sheetView tabSelected="0" workbookViewId="0" showGridLines="true" showRowColHeaders="1" topLeftCell="A109">
      <selection activeCell="A117" sqref="A117:X154"/>
    </sheetView>
  </sheetViews>
  <sheetFormatPr defaultRowHeight="14.4" defaultColWidth="9.1796875" outlineLevelRow="0" outlineLevelCol="0"/>
  <cols>
    <col min="1" max="1" width="6" customWidth="true" style="0"/>
    <col min="2" max="2" width="6" customWidth="true" style="0"/>
    <col min="3" max="3" width="6" customWidth="true" style="0"/>
    <col min="4" max="4" width="6" customWidth="true" style="0"/>
    <col min="5" max="5" width="6" customWidth="true" style="0"/>
    <col min="6" max="6" width="6" customWidth="true" style="0"/>
    <col min="7" max="7" width="6" customWidth="true" style="0"/>
    <col min="8" max="8" width="6" customWidth="true" style="0"/>
    <col min="9" max="9" width="6" customWidth="true" style="0"/>
    <col min="10" max="10" width="6" customWidth="true" style="0"/>
    <col min="11" max="11" width="6" customWidth="true" style="0"/>
    <col min="12" max="12" width="6" customWidth="true" style="0"/>
    <col min="13" max="13" width="6" customWidth="true" style="0"/>
    <col min="14" max="14" width="6" customWidth="true" style="0"/>
    <col min="15" max="15" width="6" customWidth="true" style="0"/>
    <col min="16" max="16" width="6" customWidth="true" style="0"/>
    <col min="17" max="17" width="6" customWidth="true" style="0"/>
    <col min="18" max="18" width="6" customWidth="true" style="0"/>
    <col min="19" max="19" width="6" customWidth="true" style="0"/>
    <col min="20" max="20" width="6" customWidth="true" style="0"/>
    <col min="21" max="21" width="6" customWidth="true" style="0"/>
    <col min="22" max="22" width="6" customWidth="true" style="0"/>
    <col min="23" max="23" width="6" customWidth="true" style="0"/>
    <col min="24" max="24" width="6" customWidth="true" style="0"/>
  </cols>
  <sheetData>
    <row r="1" spans="1:24" customHeight="1" ht="15.75">
      <c r="A1" s="591" t="s">
        <v>200</v>
      </c>
      <c r="B1" s="592"/>
      <c r="C1" s="592"/>
      <c r="D1" s="592"/>
      <c r="E1" s="592"/>
      <c r="F1" s="592"/>
      <c r="G1" s="592"/>
      <c r="H1" s="592"/>
      <c r="I1" s="592"/>
      <c r="J1" s="592"/>
      <c r="K1" s="592"/>
      <c r="L1" s="592"/>
      <c r="M1" s="592"/>
      <c r="N1" s="592"/>
      <c r="O1" s="592"/>
      <c r="P1" s="592"/>
      <c r="Q1" s="592"/>
      <c r="R1" s="592"/>
      <c r="S1" s="592"/>
      <c r="T1" s="592"/>
      <c r="U1" s="592"/>
      <c r="V1" s="592"/>
      <c r="W1" s="592"/>
      <c r="X1" s="593"/>
    </row>
    <row r="2" spans="1:24" customHeight="1" ht="15">
      <c r="A2" s="594"/>
      <c r="B2" s="595"/>
      <c r="C2" s="595"/>
      <c r="D2" s="595"/>
      <c r="E2" s="595"/>
      <c r="F2" s="595"/>
      <c r="G2" s="595"/>
      <c r="H2" s="595"/>
      <c r="I2" s="595"/>
      <c r="J2" s="595"/>
      <c r="K2" s="595"/>
      <c r="L2" s="595"/>
      <c r="M2" s="595"/>
      <c r="N2" s="595"/>
      <c r="O2" s="595"/>
      <c r="P2" s="595"/>
      <c r="Q2" s="595"/>
      <c r="R2" s="595"/>
      <c r="S2" s="595"/>
      <c r="T2" s="595"/>
      <c r="U2" s="595"/>
      <c r="V2" s="595"/>
      <c r="W2" s="595"/>
      <c r="X2" s="596"/>
    </row>
    <row r="3" spans="1:24" customHeight="1" ht="23">
      <c r="A3" s="99"/>
      <c r="B3" s="99"/>
      <c r="C3" s="99"/>
      <c r="D3" s="99"/>
      <c r="E3" s="99"/>
      <c r="F3" s="99"/>
      <c r="G3" s="99"/>
      <c r="H3" s="99"/>
      <c r="I3" s="99"/>
      <c r="J3" s="97"/>
      <c r="K3" s="97"/>
      <c r="L3" s="97"/>
      <c r="M3" s="97"/>
      <c r="N3" s="97"/>
      <c r="O3" s="97"/>
      <c r="P3" s="97"/>
      <c r="Q3" s="97"/>
      <c r="R3" s="97"/>
      <c r="S3" s="97"/>
      <c r="T3" s="97"/>
      <c r="U3" s="97"/>
      <c r="V3" s="97"/>
      <c r="W3" s="97"/>
      <c r="X3" s="97"/>
    </row>
    <row r="4" spans="1:24" customHeight="1" ht="15.5">
      <c r="A4" s="100" t="s">
        <v>90</v>
      </c>
      <c r="B4" s="100"/>
      <c r="C4" s="100"/>
      <c r="D4" s="101"/>
      <c r="E4" s="102"/>
      <c r="F4" s="103"/>
      <c r="G4" s="104"/>
      <c r="H4" s="573" t="s">
        <v>201</v>
      </c>
      <c r="I4" s="574"/>
      <c r="J4" s="574"/>
      <c r="K4" s="574"/>
      <c r="L4" s="574"/>
      <c r="M4" s="574"/>
      <c r="N4" s="575"/>
      <c r="O4" s="105"/>
      <c r="P4" s="105"/>
      <c r="Q4" s="105"/>
      <c r="R4" s="105"/>
      <c r="S4" s="105"/>
      <c r="T4" s="105"/>
      <c r="U4" s="105"/>
      <c r="V4" s="105"/>
      <c r="W4" s="105"/>
      <c r="X4" s="105"/>
    </row>
    <row r="5" spans="1:24" customHeight="1" ht="15.5">
      <c r="A5" s="106" t="s">
        <v>92</v>
      </c>
      <c r="B5" s="106"/>
      <c r="C5" s="106"/>
      <c r="D5" s="101"/>
      <c r="E5" s="576" t="s">
        <v>93</v>
      </c>
      <c r="F5" s="577"/>
      <c r="G5" s="577"/>
      <c r="H5" s="577"/>
      <c r="I5" s="577"/>
      <c r="J5" s="577"/>
      <c r="K5" s="578"/>
      <c r="L5" s="105"/>
      <c r="M5" s="105"/>
      <c r="N5" s="105"/>
      <c r="O5" s="105"/>
      <c r="P5" s="105"/>
      <c r="Q5" s="105"/>
      <c r="R5" s="105"/>
      <c r="S5" s="105"/>
      <c r="T5" s="105"/>
      <c r="U5" s="105"/>
      <c r="V5" s="105"/>
      <c r="W5" s="105"/>
      <c r="X5" s="105"/>
    </row>
    <row r="6" spans="1:24" customHeight="1" ht="15.5">
      <c r="A6" s="106" t="s">
        <v>94</v>
      </c>
      <c r="B6" s="106"/>
      <c r="C6" s="106"/>
      <c r="D6" s="101"/>
      <c r="E6" s="576" t="s">
        <v>95</v>
      </c>
      <c r="F6" s="577"/>
      <c r="G6" s="577"/>
      <c r="H6" s="577"/>
      <c r="I6" s="577"/>
      <c r="J6" s="577"/>
      <c r="K6" s="578"/>
      <c r="L6" s="105"/>
      <c r="M6" s="105"/>
      <c r="N6" s="105"/>
      <c r="O6" s="105"/>
      <c r="P6" s="105"/>
      <c r="Q6" s="105"/>
      <c r="R6" s="105"/>
      <c r="S6" s="105"/>
      <c r="T6" s="105"/>
      <c r="U6" s="105"/>
      <c r="V6" s="105"/>
      <c r="W6" s="105"/>
      <c r="X6" s="105"/>
    </row>
    <row r="7" spans="1:24" customHeight="1" ht="15.5">
      <c r="A7" s="100" t="s">
        <v>202</v>
      </c>
      <c r="B7" s="106"/>
      <c r="C7" s="106"/>
      <c r="D7" s="101"/>
      <c r="E7" s="576"/>
      <c r="F7" s="577"/>
      <c r="G7" s="577"/>
      <c r="H7" s="577"/>
      <c r="I7" s="578"/>
      <c r="J7" s="105"/>
      <c r="K7" s="107" t="s">
        <v>203</v>
      </c>
      <c r="L7" s="108"/>
      <c r="M7" s="105"/>
      <c r="N7" s="105"/>
      <c r="O7" s="579" t="s">
        <v>137</v>
      </c>
      <c r="P7" s="580"/>
      <c r="Q7" s="580"/>
      <c r="R7" s="581"/>
      <c r="S7" s="107"/>
      <c r="T7" s="107"/>
      <c r="U7" s="105"/>
      <c r="V7" s="105"/>
      <c r="W7" s="105"/>
      <c r="X7" s="105"/>
    </row>
    <row r="8" spans="1:24" customHeight="1" ht="15.5">
      <c r="A8" s="100" t="s">
        <v>204</v>
      </c>
      <c r="B8" s="105"/>
      <c r="C8" s="105"/>
      <c r="D8" s="582"/>
      <c r="E8" s="583"/>
      <c r="F8" s="583"/>
      <c r="G8" s="583"/>
      <c r="H8" s="583"/>
      <c r="I8" s="584"/>
      <c r="J8" s="105"/>
      <c r="K8" s="105"/>
      <c r="L8" s="105"/>
      <c r="M8" s="105"/>
      <c r="N8" s="105"/>
      <c r="O8" s="105"/>
      <c r="P8" s="105"/>
      <c r="Q8" s="105"/>
      <c r="R8" s="105"/>
      <c r="S8" s="105"/>
      <c r="T8" s="105"/>
      <c r="U8" s="105"/>
      <c r="V8" s="105"/>
      <c r="W8" s="105"/>
      <c r="X8" s="105"/>
    </row>
    <row r="9" spans="1:24" customHeight="1" ht="15.5">
      <c r="A9" s="109"/>
      <c r="B9" s="109"/>
      <c r="C9" s="109"/>
      <c r="D9" s="109"/>
      <c r="E9" s="109"/>
      <c r="F9" s="109"/>
      <c r="G9" s="109"/>
      <c r="H9" s="109"/>
      <c r="I9" s="109"/>
      <c r="J9" s="105"/>
      <c r="K9" s="105"/>
      <c r="L9" s="105"/>
      <c r="M9" s="105"/>
      <c r="N9" s="105"/>
      <c r="O9" s="105"/>
      <c r="P9" s="105"/>
      <c r="Q9" s="105"/>
      <c r="R9" s="105"/>
      <c r="S9" s="105"/>
      <c r="T9" s="105"/>
      <c r="U9" s="105"/>
      <c r="V9" s="105"/>
      <c r="W9" s="105"/>
      <c r="X9" s="105"/>
    </row>
    <row r="10" spans="1:24" customHeight="1" ht="15.5">
      <c r="A10" s="109"/>
      <c r="B10" s="109"/>
      <c r="C10" s="109"/>
      <c r="D10" s="109"/>
      <c r="E10" s="109"/>
      <c r="F10" s="109"/>
      <c r="G10" s="109"/>
      <c r="H10" s="109"/>
      <c r="I10" s="109"/>
      <c r="J10" s="105"/>
      <c r="K10" s="105"/>
      <c r="L10" s="105"/>
      <c r="M10" s="105"/>
      <c r="N10" s="105"/>
      <c r="O10" s="105"/>
      <c r="P10" s="105"/>
      <c r="Q10" s="105"/>
      <c r="R10" s="105"/>
      <c r="S10" s="105"/>
      <c r="T10" s="105"/>
      <c r="U10" s="105"/>
      <c r="V10" s="105"/>
      <c r="W10" s="105"/>
      <c r="X10" s="105"/>
    </row>
    <row r="11" spans="1:24">
      <c r="A11" s="110"/>
      <c r="B11" s="110"/>
      <c r="C11" s="110"/>
      <c r="D11" s="110"/>
      <c r="E11" s="110"/>
      <c r="F11" s="110"/>
      <c r="G11" s="110"/>
      <c r="H11" s="110"/>
      <c r="I11" s="110"/>
      <c r="J11" s="97"/>
      <c r="K11" s="97"/>
      <c r="L11" s="97"/>
      <c r="M11" s="97"/>
      <c r="N11" s="97"/>
      <c r="O11" s="97"/>
      <c r="P11" s="97"/>
      <c r="Q11" s="97"/>
      <c r="R11" s="97"/>
      <c r="S11" s="97"/>
      <c r="T11" s="97"/>
      <c r="U11" s="97"/>
      <c r="V11" s="97"/>
      <c r="W11" s="97"/>
      <c r="X11" s="97"/>
    </row>
    <row r="12" spans="1:24" customHeight="1" ht="18">
      <c r="A12" s="98" t="s">
        <v>205</v>
      </c>
      <c r="B12" s="111"/>
      <c r="C12" s="112"/>
      <c r="D12" s="111"/>
      <c r="E12" s="111"/>
      <c r="F12" s="111"/>
      <c r="G12" s="111"/>
      <c r="H12" s="111"/>
      <c r="I12" s="111"/>
      <c r="J12" s="113"/>
      <c r="K12" s="113"/>
      <c r="L12" s="113"/>
      <c r="M12" s="113"/>
      <c r="N12" s="113"/>
      <c r="O12" s="113"/>
      <c r="P12" s="113"/>
      <c r="Q12" s="113"/>
      <c r="R12" s="113"/>
      <c r="S12" s="113"/>
      <c r="T12" s="113"/>
      <c r="U12" s="113"/>
      <c r="V12" s="113"/>
      <c r="W12" s="113"/>
      <c r="X12" s="114"/>
    </row>
    <row r="13" spans="1:24" customHeight="1" ht="15.5">
      <c r="A13" s="115" t="s">
        <v>206</v>
      </c>
      <c r="B13" s="116"/>
      <c r="C13" s="117"/>
      <c r="D13" s="117"/>
      <c r="E13" s="117"/>
      <c r="F13" s="117"/>
      <c r="G13" s="118"/>
      <c r="H13" s="119" t="s">
        <v>207</v>
      </c>
      <c r="I13" s="120"/>
      <c r="J13" s="116" t="s">
        <v>208</v>
      </c>
      <c r="K13" s="117"/>
      <c r="L13" s="119" t="s">
        <v>209</v>
      </c>
      <c r="M13" s="120"/>
      <c r="N13" s="117" t="s">
        <v>210</v>
      </c>
      <c r="O13" s="121"/>
      <c r="P13" s="122" t="s">
        <v>211</v>
      </c>
      <c r="Q13" s="118"/>
      <c r="R13" s="118"/>
      <c r="S13" s="117"/>
      <c r="T13" s="117"/>
      <c r="U13" s="117"/>
      <c r="V13" s="117"/>
      <c r="W13" s="117"/>
      <c r="X13" s="123"/>
    </row>
    <row r="14" spans="1:24">
      <c r="A14" s="124"/>
      <c r="B14" s="125"/>
      <c r="C14" s="126"/>
      <c r="D14" s="126"/>
      <c r="E14" s="126"/>
      <c r="F14" s="126"/>
      <c r="G14" s="125"/>
      <c r="H14" s="127" t="s">
        <v>212</v>
      </c>
      <c r="I14" s="128"/>
      <c r="J14" s="129" t="s">
        <v>213</v>
      </c>
      <c r="K14" s="130"/>
      <c r="L14" s="127" t="s">
        <v>214</v>
      </c>
      <c r="M14" s="128"/>
      <c r="N14" s="129" t="s">
        <v>215</v>
      </c>
      <c r="O14" s="131"/>
      <c r="P14" s="132"/>
      <c r="Q14" s="133"/>
      <c r="R14" s="133"/>
      <c r="S14" s="133"/>
      <c r="T14" s="133"/>
      <c r="U14" s="133"/>
      <c r="V14" s="133"/>
      <c r="W14" s="133"/>
      <c r="X14" s="134"/>
    </row>
    <row r="15" spans="1:24">
      <c r="A15" s="627" t="s">
        <v>216</v>
      </c>
      <c r="B15" s="628"/>
      <c r="C15" s="628"/>
      <c r="D15" s="628"/>
      <c r="E15" s="628"/>
      <c r="F15" s="628"/>
      <c r="G15" s="629"/>
      <c r="H15" s="585"/>
      <c r="I15" s="586"/>
      <c r="J15" s="597"/>
      <c r="K15" s="598"/>
      <c r="L15" s="597"/>
      <c r="M15" s="598"/>
      <c r="N15" s="597"/>
      <c r="O15" s="598"/>
      <c r="P15" s="603"/>
      <c r="Q15" s="604"/>
      <c r="R15" s="604"/>
      <c r="S15" s="604"/>
      <c r="T15" s="604"/>
      <c r="U15" s="604"/>
      <c r="V15" s="604"/>
      <c r="W15" s="604"/>
      <c r="X15" s="605"/>
    </row>
    <row r="16" spans="1:24">
      <c r="A16" s="630"/>
      <c r="B16" s="631"/>
      <c r="C16" s="631"/>
      <c r="D16" s="631"/>
      <c r="E16" s="631"/>
      <c r="F16" s="631"/>
      <c r="G16" s="632"/>
      <c r="H16" s="587"/>
      <c r="I16" s="588"/>
      <c r="J16" s="599"/>
      <c r="K16" s="600"/>
      <c r="L16" s="599"/>
      <c r="M16" s="600"/>
      <c r="N16" s="599"/>
      <c r="O16" s="600"/>
      <c r="P16" s="606"/>
      <c r="Q16" s="607"/>
      <c r="R16" s="607"/>
      <c r="S16" s="607"/>
      <c r="T16" s="607"/>
      <c r="U16" s="607"/>
      <c r="V16" s="607"/>
      <c r="W16" s="607"/>
      <c r="X16" s="608"/>
    </row>
    <row r="17" spans="1:24">
      <c r="A17" s="633"/>
      <c r="B17" s="634"/>
      <c r="C17" s="634"/>
      <c r="D17" s="634"/>
      <c r="E17" s="634"/>
      <c r="F17" s="634"/>
      <c r="G17" s="635"/>
      <c r="H17" s="589"/>
      <c r="I17" s="590"/>
      <c r="J17" s="601"/>
      <c r="K17" s="602"/>
      <c r="L17" s="601"/>
      <c r="M17" s="602"/>
      <c r="N17" s="601"/>
      <c r="O17" s="602"/>
      <c r="P17" s="609"/>
      <c r="Q17" s="610"/>
      <c r="R17" s="610"/>
      <c r="S17" s="610"/>
      <c r="T17" s="610"/>
      <c r="U17" s="610"/>
      <c r="V17" s="610"/>
      <c r="W17" s="610"/>
      <c r="X17" s="611"/>
    </row>
    <row r="18" spans="1:24">
      <c r="A18" s="627" t="s">
        <v>217</v>
      </c>
      <c r="B18" s="628"/>
      <c r="C18" s="628"/>
      <c r="D18" s="628"/>
      <c r="E18" s="628"/>
      <c r="F18" s="628"/>
      <c r="G18" s="629"/>
      <c r="H18" s="585"/>
      <c r="I18" s="586"/>
      <c r="J18" s="597"/>
      <c r="K18" s="598"/>
      <c r="L18" s="597"/>
      <c r="M18" s="598"/>
      <c r="N18" s="597"/>
      <c r="O18" s="598"/>
      <c r="P18" s="603"/>
      <c r="Q18" s="604"/>
      <c r="R18" s="604"/>
      <c r="S18" s="604"/>
      <c r="T18" s="604"/>
      <c r="U18" s="604"/>
      <c r="V18" s="604"/>
      <c r="W18" s="604"/>
      <c r="X18" s="605"/>
    </row>
    <row r="19" spans="1:24">
      <c r="A19" s="630"/>
      <c r="B19" s="631"/>
      <c r="C19" s="631"/>
      <c r="D19" s="631"/>
      <c r="E19" s="631"/>
      <c r="F19" s="631"/>
      <c r="G19" s="632"/>
      <c r="H19" s="587"/>
      <c r="I19" s="588"/>
      <c r="J19" s="599"/>
      <c r="K19" s="600"/>
      <c r="L19" s="599"/>
      <c r="M19" s="600"/>
      <c r="N19" s="599"/>
      <c r="O19" s="600"/>
      <c r="P19" s="606"/>
      <c r="Q19" s="607"/>
      <c r="R19" s="607"/>
      <c r="S19" s="607"/>
      <c r="T19" s="607"/>
      <c r="U19" s="607"/>
      <c r="V19" s="607"/>
      <c r="W19" s="607"/>
      <c r="X19" s="608"/>
    </row>
    <row r="20" spans="1:24">
      <c r="A20" s="633"/>
      <c r="B20" s="634"/>
      <c r="C20" s="634"/>
      <c r="D20" s="634"/>
      <c r="E20" s="634"/>
      <c r="F20" s="634"/>
      <c r="G20" s="635"/>
      <c r="H20" s="589"/>
      <c r="I20" s="590"/>
      <c r="J20" s="601"/>
      <c r="K20" s="602"/>
      <c r="L20" s="601"/>
      <c r="M20" s="602"/>
      <c r="N20" s="601"/>
      <c r="O20" s="602"/>
      <c r="P20" s="609"/>
      <c r="Q20" s="610"/>
      <c r="R20" s="610"/>
      <c r="S20" s="610"/>
      <c r="T20" s="610"/>
      <c r="U20" s="610"/>
      <c r="V20" s="610"/>
      <c r="W20" s="610"/>
      <c r="X20" s="611"/>
    </row>
    <row r="21" spans="1:24">
      <c r="A21" s="627" t="s">
        <v>218</v>
      </c>
      <c r="B21" s="628"/>
      <c r="C21" s="628"/>
      <c r="D21" s="628"/>
      <c r="E21" s="628"/>
      <c r="F21" s="628"/>
      <c r="G21" s="629"/>
      <c r="H21" s="585"/>
      <c r="I21" s="586"/>
      <c r="J21" s="597"/>
      <c r="K21" s="598"/>
      <c r="L21" s="597"/>
      <c r="M21" s="598"/>
      <c r="N21" s="597"/>
      <c r="O21" s="598"/>
      <c r="P21" s="603"/>
      <c r="Q21" s="604"/>
      <c r="R21" s="604"/>
      <c r="S21" s="604"/>
      <c r="T21" s="604"/>
      <c r="U21" s="604"/>
      <c r="V21" s="604"/>
      <c r="W21" s="604"/>
      <c r="X21" s="605"/>
    </row>
    <row r="22" spans="1:24">
      <c r="A22" s="630"/>
      <c r="B22" s="631"/>
      <c r="C22" s="631"/>
      <c r="D22" s="631"/>
      <c r="E22" s="631"/>
      <c r="F22" s="631"/>
      <c r="G22" s="632"/>
      <c r="H22" s="587"/>
      <c r="I22" s="588"/>
      <c r="J22" s="599"/>
      <c r="K22" s="600"/>
      <c r="L22" s="599"/>
      <c r="M22" s="600"/>
      <c r="N22" s="599"/>
      <c r="O22" s="600"/>
      <c r="P22" s="606"/>
      <c r="Q22" s="607"/>
      <c r="R22" s="607"/>
      <c r="S22" s="607"/>
      <c r="T22" s="607"/>
      <c r="U22" s="607"/>
      <c r="V22" s="607"/>
      <c r="W22" s="607"/>
      <c r="X22" s="608"/>
    </row>
    <row r="23" spans="1:24">
      <c r="A23" s="633"/>
      <c r="B23" s="634"/>
      <c r="C23" s="634"/>
      <c r="D23" s="634"/>
      <c r="E23" s="634"/>
      <c r="F23" s="634"/>
      <c r="G23" s="635"/>
      <c r="H23" s="589"/>
      <c r="I23" s="590"/>
      <c r="J23" s="601"/>
      <c r="K23" s="602"/>
      <c r="L23" s="601"/>
      <c r="M23" s="602"/>
      <c r="N23" s="601"/>
      <c r="O23" s="602"/>
      <c r="P23" s="609"/>
      <c r="Q23" s="610"/>
      <c r="R23" s="610"/>
      <c r="S23" s="610"/>
      <c r="T23" s="610"/>
      <c r="U23" s="610"/>
      <c r="V23" s="610"/>
      <c r="W23" s="610"/>
      <c r="X23" s="611"/>
    </row>
    <row r="24" spans="1:24">
      <c r="A24" s="627" t="s">
        <v>219</v>
      </c>
      <c r="B24" s="628"/>
      <c r="C24" s="628"/>
      <c r="D24" s="628"/>
      <c r="E24" s="628"/>
      <c r="F24" s="628"/>
      <c r="G24" s="629"/>
      <c r="H24" s="585"/>
      <c r="I24" s="586"/>
      <c r="J24" s="597"/>
      <c r="K24" s="598"/>
      <c r="L24" s="597"/>
      <c r="M24" s="598"/>
      <c r="N24" s="597"/>
      <c r="O24" s="598"/>
      <c r="P24" s="612"/>
      <c r="Q24" s="613"/>
      <c r="R24" s="613"/>
      <c r="S24" s="613"/>
      <c r="T24" s="613"/>
      <c r="U24" s="613"/>
      <c r="V24" s="613"/>
      <c r="W24" s="613"/>
      <c r="X24" s="614"/>
    </row>
    <row r="25" spans="1:24">
      <c r="A25" s="630"/>
      <c r="B25" s="631"/>
      <c r="C25" s="631"/>
      <c r="D25" s="631"/>
      <c r="E25" s="631"/>
      <c r="F25" s="631"/>
      <c r="G25" s="632"/>
      <c r="H25" s="587"/>
      <c r="I25" s="588"/>
      <c r="J25" s="599"/>
      <c r="K25" s="600"/>
      <c r="L25" s="599"/>
      <c r="M25" s="600"/>
      <c r="N25" s="599"/>
      <c r="O25" s="600"/>
      <c r="P25" s="615"/>
      <c r="Q25" s="616"/>
      <c r="R25" s="616"/>
      <c r="S25" s="616"/>
      <c r="T25" s="616"/>
      <c r="U25" s="616"/>
      <c r="V25" s="616"/>
      <c r="W25" s="616"/>
      <c r="X25" s="617"/>
    </row>
    <row r="26" spans="1:24">
      <c r="A26" s="633"/>
      <c r="B26" s="634"/>
      <c r="C26" s="634"/>
      <c r="D26" s="634"/>
      <c r="E26" s="634"/>
      <c r="F26" s="634"/>
      <c r="G26" s="635"/>
      <c r="H26" s="589"/>
      <c r="I26" s="590"/>
      <c r="J26" s="601"/>
      <c r="K26" s="602"/>
      <c r="L26" s="601"/>
      <c r="M26" s="602"/>
      <c r="N26" s="601"/>
      <c r="O26" s="602"/>
      <c r="P26" s="618"/>
      <c r="Q26" s="619"/>
      <c r="R26" s="619"/>
      <c r="S26" s="619"/>
      <c r="T26" s="619"/>
      <c r="U26" s="619"/>
      <c r="V26" s="619"/>
      <c r="W26" s="619"/>
      <c r="X26" s="620"/>
    </row>
    <row r="27" spans="1:24">
      <c r="A27" s="627" t="s">
        <v>220</v>
      </c>
      <c r="B27" s="628"/>
      <c r="C27" s="628"/>
      <c r="D27" s="628"/>
      <c r="E27" s="628"/>
      <c r="F27" s="628"/>
      <c r="G27" s="629"/>
      <c r="H27" s="585"/>
      <c r="I27" s="586"/>
      <c r="J27" s="597"/>
      <c r="K27" s="598"/>
      <c r="L27" s="597"/>
      <c r="M27" s="598"/>
      <c r="N27" s="597"/>
      <c r="O27" s="598"/>
      <c r="P27" s="612"/>
      <c r="Q27" s="613"/>
      <c r="R27" s="613"/>
      <c r="S27" s="613"/>
      <c r="T27" s="613"/>
      <c r="U27" s="613"/>
      <c r="V27" s="613"/>
      <c r="W27" s="613"/>
      <c r="X27" s="614"/>
    </row>
    <row r="28" spans="1:24">
      <c r="A28" s="630"/>
      <c r="B28" s="631"/>
      <c r="C28" s="631"/>
      <c r="D28" s="631"/>
      <c r="E28" s="631"/>
      <c r="F28" s="631"/>
      <c r="G28" s="632"/>
      <c r="H28" s="587"/>
      <c r="I28" s="588"/>
      <c r="J28" s="599"/>
      <c r="K28" s="600"/>
      <c r="L28" s="599"/>
      <c r="M28" s="600"/>
      <c r="N28" s="599"/>
      <c r="O28" s="600"/>
      <c r="P28" s="615"/>
      <c r="Q28" s="616"/>
      <c r="R28" s="616"/>
      <c r="S28" s="616"/>
      <c r="T28" s="616"/>
      <c r="U28" s="616"/>
      <c r="V28" s="616"/>
      <c r="W28" s="616"/>
      <c r="X28" s="617"/>
    </row>
    <row r="29" spans="1:24">
      <c r="A29" s="633"/>
      <c r="B29" s="634"/>
      <c r="C29" s="634"/>
      <c r="D29" s="634"/>
      <c r="E29" s="634"/>
      <c r="F29" s="634"/>
      <c r="G29" s="635"/>
      <c r="H29" s="589"/>
      <c r="I29" s="590"/>
      <c r="J29" s="601"/>
      <c r="K29" s="602"/>
      <c r="L29" s="601"/>
      <c r="M29" s="602"/>
      <c r="N29" s="601"/>
      <c r="O29" s="602"/>
      <c r="P29" s="618"/>
      <c r="Q29" s="619"/>
      <c r="R29" s="619"/>
      <c r="S29" s="619"/>
      <c r="T29" s="619"/>
      <c r="U29" s="619"/>
      <c r="V29" s="619"/>
      <c r="W29" s="619"/>
      <c r="X29" s="620"/>
    </row>
    <row r="30" spans="1:24">
      <c r="A30" s="627" t="s">
        <v>221</v>
      </c>
      <c r="B30" s="628"/>
      <c r="C30" s="628"/>
      <c r="D30" s="628"/>
      <c r="E30" s="628"/>
      <c r="F30" s="628"/>
      <c r="G30" s="629"/>
      <c r="H30" s="585"/>
      <c r="I30" s="586"/>
      <c r="J30" s="597"/>
      <c r="K30" s="598"/>
      <c r="L30" s="597"/>
      <c r="M30" s="598"/>
      <c r="N30" s="597"/>
      <c r="O30" s="598"/>
      <c r="P30" s="612"/>
      <c r="Q30" s="613"/>
      <c r="R30" s="613"/>
      <c r="S30" s="613"/>
      <c r="T30" s="613"/>
      <c r="U30" s="613"/>
      <c r="V30" s="613"/>
      <c r="W30" s="613"/>
      <c r="X30" s="614"/>
    </row>
    <row r="31" spans="1:24">
      <c r="A31" s="630"/>
      <c r="B31" s="631"/>
      <c r="C31" s="631"/>
      <c r="D31" s="631"/>
      <c r="E31" s="631"/>
      <c r="F31" s="631"/>
      <c r="G31" s="632"/>
      <c r="H31" s="587"/>
      <c r="I31" s="588"/>
      <c r="J31" s="599"/>
      <c r="K31" s="600"/>
      <c r="L31" s="599"/>
      <c r="M31" s="600"/>
      <c r="N31" s="599"/>
      <c r="O31" s="600"/>
      <c r="P31" s="615"/>
      <c r="Q31" s="616"/>
      <c r="R31" s="616"/>
      <c r="S31" s="616"/>
      <c r="T31" s="616"/>
      <c r="U31" s="616"/>
      <c r="V31" s="616"/>
      <c r="W31" s="616"/>
      <c r="X31" s="617"/>
    </row>
    <row r="32" spans="1:24">
      <c r="A32" s="633"/>
      <c r="B32" s="634"/>
      <c r="C32" s="634"/>
      <c r="D32" s="634"/>
      <c r="E32" s="634"/>
      <c r="F32" s="634"/>
      <c r="G32" s="635"/>
      <c r="H32" s="589"/>
      <c r="I32" s="590"/>
      <c r="J32" s="601"/>
      <c r="K32" s="602"/>
      <c r="L32" s="601"/>
      <c r="M32" s="602"/>
      <c r="N32" s="601"/>
      <c r="O32" s="602"/>
      <c r="P32" s="618"/>
      <c r="Q32" s="619"/>
      <c r="R32" s="619"/>
      <c r="S32" s="619"/>
      <c r="T32" s="619"/>
      <c r="U32" s="619"/>
      <c r="V32" s="619"/>
      <c r="W32" s="619"/>
      <c r="X32" s="620"/>
    </row>
    <row r="33" spans="1:24">
      <c r="A33" s="627" t="s">
        <v>222</v>
      </c>
      <c r="B33" s="628"/>
      <c r="C33" s="628"/>
      <c r="D33" s="628"/>
      <c r="E33" s="628"/>
      <c r="F33" s="628"/>
      <c r="G33" s="629"/>
      <c r="H33" s="585"/>
      <c r="I33" s="586"/>
      <c r="J33" s="597"/>
      <c r="K33" s="598"/>
      <c r="L33" s="597"/>
      <c r="M33" s="598"/>
      <c r="N33" s="597"/>
      <c r="O33" s="598"/>
      <c r="P33" s="612"/>
      <c r="Q33" s="613"/>
      <c r="R33" s="613"/>
      <c r="S33" s="613"/>
      <c r="T33" s="613"/>
      <c r="U33" s="613"/>
      <c r="V33" s="613"/>
      <c r="W33" s="613"/>
      <c r="X33" s="614"/>
    </row>
    <row r="34" spans="1:24">
      <c r="A34" s="630"/>
      <c r="B34" s="631"/>
      <c r="C34" s="631"/>
      <c r="D34" s="631"/>
      <c r="E34" s="631"/>
      <c r="F34" s="631"/>
      <c r="G34" s="632"/>
      <c r="H34" s="587"/>
      <c r="I34" s="588"/>
      <c r="J34" s="599"/>
      <c r="K34" s="600"/>
      <c r="L34" s="599"/>
      <c r="M34" s="600"/>
      <c r="N34" s="599"/>
      <c r="O34" s="600"/>
      <c r="P34" s="615"/>
      <c r="Q34" s="616"/>
      <c r="R34" s="616"/>
      <c r="S34" s="616"/>
      <c r="T34" s="616"/>
      <c r="U34" s="616"/>
      <c r="V34" s="616"/>
      <c r="W34" s="616"/>
      <c r="X34" s="617"/>
    </row>
    <row r="35" spans="1:24">
      <c r="A35" s="633"/>
      <c r="B35" s="634"/>
      <c r="C35" s="634"/>
      <c r="D35" s="634"/>
      <c r="E35" s="634"/>
      <c r="F35" s="634"/>
      <c r="G35" s="635"/>
      <c r="H35" s="589"/>
      <c r="I35" s="590"/>
      <c r="J35" s="601"/>
      <c r="K35" s="602"/>
      <c r="L35" s="601"/>
      <c r="M35" s="602"/>
      <c r="N35" s="601"/>
      <c r="O35" s="602"/>
      <c r="P35" s="618"/>
      <c r="Q35" s="619"/>
      <c r="R35" s="619"/>
      <c r="S35" s="619"/>
      <c r="T35" s="619"/>
      <c r="U35" s="619"/>
      <c r="V35" s="619"/>
      <c r="W35" s="619"/>
      <c r="X35" s="620"/>
    </row>
    <row r="36" spans="1:24">
      <c r="A36" s="627" t="s">
        <v>223</v>
      </c>
      <c r="B36" s="628"/>
      <c r="C36" s="628"/>
      <c r="D36" s="628"/>
      <c r="E36" s="628"/>
      <c r="F36" s="628"/>
      <c r="G36" s="629"/>
      <c r="H36" s="585"/>
      <c r="I36" s="586"/>
      <c r="J36" s="597"/>
      <c r="K36" s="598"/>
      <c r="L36" s="597"/>
      <c r="M36" s="598"/>
      <c r="N36" s="597"/>
      <c r="O36" s="598"/>
      <c r="P36" s="612"/>
      <c r="Q36" s="613"/>
      <c r="R36" s="613"/>
      <c r="S36" s="613"/>
      <c r="T36" s="613"/>
      <c r="U36" s="613"/>
      <c r="V36" s="613"/>
      <c r="W36" s="613"/>
      <c r="X36" s="614"/>
    </row>
    <row r="37" spans="1:24">
      <c r="A37" s="630"/>
      <c r="B37" s="631"/>
      <c r="C37" s="631"/>
      <c r="D37" s="631"/>
      <c r="E37" s="631"/>
      <c r="F37" s="631"/>
      <c r="G37" s="632"/>
      <c r="H37" s="587"/>
      <c r="I37" s="588"/>
      <c r="J37" s="599"/>
      <c r="K37" s="600"/>
      <c r="L37" s="599"/>
      <c r="M37" s="600"/>
      <c r="N37" s="599"/>
      <c r="O37" s="600"/>
      <c r="P37" s="615"/>
      <c r="Q37" s="616"/>
      <c r="R37" s="616"/>
      <c r="S37" s="616"/>
      <c r="T37" s="616"/>
      <c r="U37" s="616"/>
      <c r="V37" s="616"/>
      <c r="W37" s="616"/>
      <c r="X37" s="617"/>
    </row>
    <row r="38" spans="1:24">
      <c r="A38" s="633"/>
      <c r="B38" s="634"/>
      <c r="C38" s="634"/>
      <c r="D38" s="634"/>
      <c r="E38" s="634"/>
      <c r="F38" s="634"/>
      <c r="G38" s="635"/>
      <c r="H38" s="589"/>
      <c r="I38" s="590"/>
      <c r="J38" s="601"/>
      <c r="K38" s="602"/>
      <c r="L38" s="601"/>
      <c r="M38" s="602"/>
      <c r="N38" s="601"/>
      <c r="O38" s="602"/>
      <c r="P38" s="618"/>
      <c r="Q38" s="619"/>
      <c r="R38" s="619"/>
      <c r="S38" s="619"/>
      <c r="T38" s="619"/>
      <c r="U38" s="619"/>
      <c r="V38" s="619"/>
      <c r="W38" s="619"/>
      <c r="X38" s="620"/>
    </row>
    <row r="39" spans="1:24">
      <c r="A39" s="627" t="s">
        <v>224</v>
      </c>
      <c r="B39" s="628"/>
      <c r="C39" s="628"/>
      <c r="D39" s="628"/>
      <c r="E39" s="628"/>
      <c r="F39" s="628"/>
      <c r="G39" s="629"/>
      <c r="H39" s="585"/>
      <c r="I39" s="586"/>
      <c r="J39" s="597"/>
      <c r="K39" s="598"/>
      <c r="L39" s="597"/>
      <c r="M39" s="598"/>
      <c r="N39" s="597"/>
      <c r="O39" s="598"/>
      <c r="P39" s="603"/>
      <c r="Q39" s="604"/>
      <c r="R39" s="604"/>
      <c r="S39" s="604"/>
      <c r="T39" s="604"/>
      <c r="U39" s="604"/>
      <c r="V39" s="604"/>
      <c r="W39" s="604"/>
      <c r="X39" s="605"/>
    </row>
    <row r="40" spans="1:24">
      <c r="A40" s="630"/>
      <c r="B40" s="631"/>
      <c r="C40" s="631"/>
      <c r="D40" s="631"/>
      <c r="E40" s="631"/>
      <c r="F40" s="631"/>
      <c r="G40" s="632"/>
      <c r="H40" s="587"/>
      <c r="I40" s="588"/>
      <c r="J40" s="599"/>
      <c r="K40" s="600"/>
      <c r="L40" s="599"/>
      <c r="M40" s="600"/>
      <c r="N40" s="599"/>
      <c r="O40" s="600"/>
      <c r="P40" s="606"/>
      <c r="Q40" s="607"/>
      <c r="R40" s="607"/>
      <c r="S40" s="607"/>
      <c r="T40" s="607"/>
      <c r="U40" s="607"/>
      <c r="V40" s="607"/>
      <c r="W40" s="607"/>
      <c r="X40" s="608"/>
    </row>
    <row r="41" spans="1:24">
      <c r="A41" s="633"/>
      <c r="B41" s="634"/>
      <c r="C41" s="634"/>
      <c r="D41" s="634"/>
      <c r="E41" s="634"/>
      <c r="F41" s="634"/>
      <c r="G41" s="635"/>
      <c r="H41" s="589"/>
      <c r="I41" s="590"/>
      <c r="J41" s="601"/>
      <c r="K41" s="602"/>
      <c r="L41" s="601"/>
      <c r="M41" s="602"/>
      <c r="N41" s="601"/>
      <c r="O41" s="602"/>
      <c r="P41" s="609"/>
      <c r="Q41" s="610"/>
      <c r="R41" s="610"/>
      <c r="S41" s="610"/>
      <c r="T41" s="610"/>
      <c r="U41" s="610"/>
      <c r="V41" s="610"/>
      <c r="W41" s="610"/>
      <c r="X41" s="611"/>
    </row>
    <row r="42" spans="1:24">
      <c r="A42" s="627" t="s">
        <v>225</v>
      </c>
      <c r="B42" s="628"/>
      <c r="C42" s="628"/>
      <c r="D42" s="628"/>
      <c r="E42" s="628"/>
      <c r="F42" s="628"/>
      <c r="G42" s="629"/>
      <c r="H42" s="585"/>
      <c r="I42" s="586"/>
      <c r="J42" s="597"/>
      <c r="K42" s="598"/>
      <c r="L42" s="597"/>
      <c r="M42" s="598"/>
      <c r="N42" s="597"/>
      <c r="O42" s="598"/>
      <c r="P42" s="603"/>
      <c r="Q42" s="604"/>
      <c r="R42" s="604"/>
      <c r="S42" s="604"/>
      <c r="T42" s="604"/>
      <c r="U42" s="604"/>
      <c r="V42" s="604"/>
      <c r="W42" s="604"/>
      <c r="X42" s="605"/>
    </row>
    <row r="43" spans="1:24">
      <c r="A43" s="630"/>
      <c r="B43" s="631"/>
      <c r="C43" s="631"/>
      <c r="D43" s="631"/>
      <c r="E43" s="631"/>
      <c r="F43" s="631"/>
      <c r="G43" s="632"/>
      <c r="H43" s="587"/>
      <c r="I43" s="588"/>
      <c r="J43" s="599"/>
      <c r="K43" s="600"/>
      <c r="L43" s="599"/>
      <c r="M43" s="600"/>
      <c r="N43" s="599"/>
      <c r="O43" s="600"/>
      <c r="P43" s="606"/>
      <c r="Q43" s="607"/>
      <c r="R43" s="607"/>
      <c r="S43" s="607"/>
      <c r="T43" s="607"/>
      <c r="U43" s="607"/>
      <c r="V43" s="607"/>
      <c r="W43" s="607"/>
      <c r="X43" s="608"/>
    </row>
    <row r="44" spans="1:24">
      <c r="A44" s="633"/>
      <c r="B44" s="634"/>
      <c r="C44" s="634"/>
      <c r="D44" s="634"/>
      <c r="E44" s="634"/>
      <c r="F44" s="634"/>
      <c r="G44" s="635"/>
      <c r="H44" s="589"/>
      <c r="I44" s="590"/>
      <c r="J44" s="601"/>
      <c r="K44" s="602"/>
      <c r="L44" s="601"/>
      <c r="M44" s="602"/>
      <c r="N44" s="601"/>
      <c r="O44" s="602"/>
      <c r="P44" s="609"/>
      <c r="Q44" s="610"/>
      <c r="R44" s="610"/>
      <c r="S44" s="610"/>
      <c r="T44" s="610"/>
      <c r="U44" s="610"/>
      <c r="V44" s="610"/>
      <c r="W44" s="610"/>
      <c r="X44" s="611"/>
    </row>
    <row r="45" spans="1:24">
      <c r="A45" s="627" t="s">
        <v>226</v>
      </c>
      <c r="B45" s="628"/>
      <c r="C45" s="628"/>
      <c r="D45" s="628"/>
      <c r="E45" s="628"/>
      <c r="F45" s="628"/>
      <c r="G45" s="629"/>
      <c r="H45" s="585"/>
      <c r="I45" s="586"/>
      <c r="J45" s="597"/>
      <c r="K45" s="598"/>
      <c r="L45" s="597"/>
      <c r="M45" s="598"/>
      <c r="N45" s="597"/>
      <c r="O45" s="598"/>
      <c r="P45" s="603"/>
      <c r="Q45" s="604"/>
      <c r="R45" s="604"/>
      <c r="S45" s="604"/>
      <c r="T45" s="604"/>
      <c r="U45" s="604"/>
      <c r="V45" s="604"/>
      <c r="W45" s="604"/>
      <c r="X45" s="605"/>
    </row>
    <row r="46" spans="1:24">
      <c r="A46" s="630"/>
      <c r="B46" s="631"/>
      <c r="C46" s="631"/>
      <c r="D46" s="631"/>
      <c r="E46" s="631"/>
      <c r="F46" s="631"/>
      <c r="G46" s="632"/>
      <c r="H46" s="587"/>
      <c r="I46" s="588"/>
      <c r="J46" s="599"/>
      <c r="K46" s="600"/>
      <c r="L46" s="599"/>
      <c r="M46" s="600"/>
      <c r="N46" s="599"/>
      <c r="O46" s="600"/>
      <c r="P46" s="606"/>
      <c r="Q46" s="607"/>
      <c r="R46" s="607"/>
      <c r="S46" s="607"/>
      <c r="T46" s="607"/>
      <c r="U46" s="607"/>
      <c r="V46" s="607"/>
      <c r="W46" s="607"/>
      <c r="X46" s="608"/>
    </row>
    <row r="47" spans="1:24">
      <c r="A47" s="633"/>
      <c r="B47" s="634"/>
      <c r="C47" s="634"/>
      <c r="D47" s="634"/>
      <c r="E47" s="634"/>
      <c r="F47" s="634"/>
      <c r="G47" s="635"/>
      <c r="H47" s="589"/>
      <c r="I47" s="590"/>
      <c r="J47" s="601"/>
      <c r="K47" s="602"/>
      <c r="L47" s="601"/>
      <c r="M47" s="602"/>
      <c r="N47" s="601"/>
      <c r="O47" s="602"/>
      <c r="P47" s="609"/>
      <c r="Q47" s="610"/>
      <c r="R47" s="610"/>
      <c r="S47" s="610"/>
      <c r="T47" s="610"/>
      <c r="U47" s="610"/>
      <c r="V47" s="610"/>
      <c r="W47" s="610"/>
      <c r="X47" s="611"/>
    </row>
    <row r="48" spans="1:24">
      <c r="A48" s="627" t="s">
        <v>227</v>
      </c>
      <c r="B48" s="628"/>
      <c r="C48" s="628"/>
      <c r="D48" s="628"/>
      <c r="E48" s="628"/>
      <c r="F48" s="628"/>
      <c r="G48" s="629"/>
      <c r="H48" s="585"/>
      <c r="I48" s="586"/>
      <c r="J48" s="597"/>
      <c r="K48" s="598"/>
      <c r="L48" s="597"/>
      <c r="M48" s="598"/>
      <c r="N48" s="597"/>
      <c r="O48" s="598"/>
      <c r="P48" s="612"/>
      <c r="Q48" s="613"/>
      <c r="R48" s="613"/>
      <c r="S48" s="613"/>
      <c r="T48" s="613"/>
      <c r="U48" s="613"/>
      <c r="V48" s="613"/>
      <c r="W48" s="613"/>
      <c r="X48" s="614"/>
    </row>
    <row r="49" spans="1:24">
      <c r="A49" s="630"/>
      <c r="B49" s="631"/>
      <c r="C49" s="631"/>
      <c r="D49" s="631"/>
      <c r="E49" s="631"/>
      <c r="F49" s="631"/>
      <c r="G49" s="632"/>
      <c r="H49" s="587"/>
      <c r="I49" s="588"/>
      <c r="J49" s="599"/>
      <c r="K49" s="600"/>
      <c r="L49" s="599"/>
      <c r="M49" s="600"/>
      <c r="N49" s="599"/>
      <c r="O49" s="600"/>
      <c r="P49" s="615"/>
      <c r="Q49" s="616"/>
      <c r="R49" s="616"/>
      <c r="S49" s="616"/>
      <c r="T49" s="616"/>
      <c r="U49" s="616"/>
      <c r="V49" s="616"/>
      <c r="W49" s="616"/>
      <c r="X49" s="617"/>
    </row>
    <row r="50" spans="1:24">
      <c r="A50" s="633"/>
      <c r="B50" s="634"/>
      <c r="C50" s="634"/>
      <c r="D50" s="634"/>
      <c r="E50" s="634"/>
      <c r="F50" s="634"/>
      <c r="G50" s="635"/>
      <c r="H50" s="589"/>
      <c r="I50" s="590"/>
      <c r="J50" s="601"/>
      <c r="K50" s="602"/>
      <c r="L50" s="601"/>
      <c r="M50" s="602"/>
      <c r="N50" s="601"/>
      <c r="O50" s="602"/>
      <c r="P50" s="618"/>
      <c r="Q50" s="619"/>
      <c r="R50" s="619"/>
      <c r="S50" s="619"/>
      <c r="T50" s="619"/>
      <c r="U50" s="619"/>
      <c r="V50" s="619"/>
      <c r="W50" s="619"/>
      <c r="X50" s="620"/>
    </row>
    <row r="51" spans="1:24">
      <c r="A51" s="627" t="s">
        <v>228</v>
      </c>
      <c r="B51" s="628"/>
      <c r="C51" s="628"/>
      <c r="D51" s="628"/>
      <c r="E51" s="628"/>
      <c r="F51" s="628"/>
      <c r="G51" s="629"/>
      <c r="H51" s="585"/>
      <c r="I51" s="586"/>
      <c r="J51" s="597"/>
      <c r="K51" s="598"/>
      <c r="L51" s="597"/>
      <c r="M51" s="598"/>
      <c r="N51" s="597"/>
      <c r="O51" s="598"/>
      <c r="P51" s="612"/>
      <c r="Q51" s="613"/>
      <c r="R51" s="613"/>
      <c r="S51" s="613"/>
      <c r="T51" s="613"/>
      <c r="U51" s="613"/>
      <c r="V51" s="613"/>
      <c r="W51" s="613"/>
      <c r="X51" s="614"/>
    </row>
    <row r="52" spans="1:24">
      <c r="A52" s="630"/>
      <c r="B52" s="631"/>
      <c r="C52" s="631"/>
      <c r="D52" s="631"/>
      <c r="E52" s="631"/>
      <c r="F52" s="631"/>
      <c r="G52" s="632"/>
      <c r="H52" s="587"/>
      <c r="I52" s="588"/>
      <c r="J52" s="599"/>
      <c r="K52" s="600"/>
      <c r="L52" s="599"/>
      <c r="M52" s="600"/>
      <c r="N52" s="599"/>
      <c r="O52" s="600"/>
      <c r="P52" s="615"/>
      <c r="Q52" s="616"/>
      <c r="R52" s="616"/>
      <c r="S52" s="616"/>
      <c r="T52" s="616"/>
      <c r="U52" s="616"/>
      <c r="V52" s="616"/>
      <c r="W52" s="616"/>
      <c r="X52" s="617"/>
    </row>
    <row r="53" spans="1:24">
      <c r="A53" s="633"/>
      <c r="B53" s="634"/>
      <c r="C53" s="634"/>
      <c r="D53" s="634"/>
      <c r="E53" s="634"/>
      <c r="F53" s="634"/>
      <c r="G53" s="635"/>
      <c r="H53" s="589"/>
      <c r="I53" s="590"/>
      <c r="J53" s="601"/>
      <c r="K53" s="602"/>
      <c r="L53" s="601"/>
      <c r="M53" s="602"/>
      <c r="N53" s="601"/>
      <c r="O53" s="602"/>
      <c r="P53" s="618"/>
      <c r="Q53" s="619"/>
      <c r="R53" s="619"/>
      <c r="S53" s="619"/>
      <c r="T53" s="619"/>
      <c r="U53" s="619"/>
      <c r="V53" s="619"/>
      <c r="W53" s="619"/>
      <c r="X53" s="620"/>
    </row>
    <row r="54" spans="1:24">
      <c r="A54" s="627" t="s">
        <v>229</v>
      </c>
      <c r="B54" s="628"/>
      <c r="C54" s="628"/>
      <c r="D54" s="628"/>
      <c r="E54" s="628"/>
      <c r="F54" s="628"/>
      <c r="G54" s="629"/>
      <c r="H54" s="585"/>
      <c r="I54" s="586"/>
      <c r="J54" s="597"/>
      <c r="K54" s="598"/>
      <c r="L54" s="597"/>
      <c r="M54" s="598"/>
      <c r="N54" s="597"/>
      <c r="O54" s="598"/>
      <c r="P54" s="612"/>
      <c r="Q54" s="613"/>
      <c r="R54" s="613"/>
      <c r="S54" s="613"/>
      <c r="T54" s="613"/>
      <c r="U54" s="613"/>
      <c r="V54" s="613"/>
      <c r="W54" s="613"/>
      <c r="X54" s="614"/>
    </row>
    <row r="55" spans="1:24">
      <c r="A55" s="630"/>
      <c r="B55" s="631"/>
      <c r="C55" s="631"/>
      <c r="D55" s="631"/>
      <c r="E55" s="631"/>
      <c r="F55" s="631"/>
      <c r="G55" s="632"/>
      <c r="H55" s="587"/>
      <c r="I55" s="588"/>
      <c r="J55" s="599"/>
      <c r="K55" s="600"/>
      <c r="L55" s="599"/>
      <c r="M55" s="600"/>
      <c r="N55" s="599"/>
      <c r="O55" s="600"/>
      <c r="P55" s="615"/>
      <c r="Q55" s="616"/>
      <c r="R55" s="616"/>
      <c r="S55" s="616"/>
      <c r="T55" s="616"/>
      <c r="U55" s="616"/>
      <c r="V55" s="616"/>
      <c r="W55" s="616"/>
      <c r="X55" s="617"/>
    </row>
    <row r="56" spans="1:24">
      <c r="A56" s="633"/>
      <c r="B56" s="634"/>
      <c r="C56" s="634"/>
      <c r="D56" s="634"/>
      <c r="E56" s="634"/>
      <c r="F56" s="634"/>
      <c r="G56" s="635"/>
      <c r="H56" s="589"/>
      <c r="I56" s="590"/>
      <c r="J56" s="601"/>
      <c r="K56" s="602"/>
      <c r="L56" s="601"/>
      <c r="M56" s="602"/>
      <c r="N56" s="601"/>
      <c r="O56" s="602"/>
      <c r="P56" s="618"/>
      <c r="Q56" s="619"/>
      <c r="R56" s="619"/>
      <c r="S56" s="619"/>
      <c r="T56" s="619"/>
      <c r="U56" s="619"/>
      <c r="V56" s="619"/>
      <c r="W56" s="619"/>
      <c r="X56" s="620"/>
    </row>
    <row r="57" spans="1:24">
      <c r="A57" s="627" t="s">
        <v>230</v>
      </c>
      <c r="B57" s="628"/>
      <c r="C57" s="628"/>
      <c r="D57" s="628"/>
      <c r="E57" s="628"/>
      <c r="F57" s="628"/>
      <c r="G57" s="629"/>
      <c r="H57" s="585"/>
      <c r="I57" s="586"/>
      <c r="J57" s="597"/>
      <c r="K57" s="598"/>
      <c r="L57" s="597"/>
      <c r="M57" s="598"/>
      <c r="N57" s="597"/>
      <c r="O57" s="598"/>
      <c r="P57" s="612"/>
      <c r="Q57" s="613"/>
      <c r="R57" s="613"/>
      <c r="S57" s="613"/>
      <c r="T57" s="613"/>
      <c r="U57" s="613"/>
      <c r="V57" s="613"/>
      <c r="W57" s="613"/>
      <c r="X57" s="614"/>
    </row>
    <row r="58" spans="1:24">
      <c r="A58" s="630"/>
      <c r="B58" s="631"/>
      <c r="C58" s="631"/>
      <c r="D58" s="631"/>
      <c r="E58" s="631"/>
      <c r="F58" s="631"/>
      <c r="G58" s="632"/>
      <c r="H58" s="587"/>
      <c r="I58" s="588"/>
      <c r="J58" s="599"/>
      <c r="K58" s="600"/>
      <c r="L58" s="599"/>
      <c r="M58" s="600"/>
      <c r="N58" s="599"/>
      <c r="O58" s="600"/>
      <c r="P58" s="615"/>
      <c r="Q58" s="616"/>
      <c r="R58" s="616"/>
      <c r="S58" s="616"/>
      <c r="T58" s="616"/>
      <c r="U58" s="616"/>
      <c r="V58" s="616"/>
      <c r="W58" s="616"/>
      <c r="X58" s="617"/>
    </row>
    <row r="59" spans="1:24">
      <c r="A59" s="633"/>
      <c r="B59" s="634"/>
      <c r="C59" s="634"/>
      <c r="D59" s="634"/>
      <c r="E59" s="634"/>
      <c r="F59" s="634"/>
      <c r="G59" s="635"/>
      <c r="H59" s="589"/>
      <c r="I59" s="590"/>
      <c r="J59" s="601"/>
      <c r="K59" s="602"/>
      <c r="L59" s="601"/>
      <c r="M59" s="602"/>
      <c r="N59" s="601"/>
      <c r="O59" s="602"/>
      <c r="P59" s="618"/>
      <c r="Q59" s="619"/>
      <c r="R59" s="619"/>
      <c r="S59" s="619"/>
      <c r="T59" s="619"/>
      <c r="U59" s="619"/>
      <c r="V59" s="619"/>
      <c r="W59" s="619"/>
      <c r="X59" s="620"/>
    </row>
    <row r="60" spans="1:24">
      <c r="A60" s="135"/>
      <c r="B60" s="135"/>
      <c r="C60" s="136"/>
      <c r="D60" s="136"/>
      <c r="E60" s="136"/>
      <c r="F60" s="136"/>
      <c r="G60" s="136"/>
      <c r="H60" s="137"/>
      <c r="I60" s="137"/>
      <c r="J60" s="97"/>
      <c r="K60" s="97"/>
      <c r="L60" s="97"/>
      <c r="M60" s="97"/>
      <c r="N60" s="97"/>
      <c r="O60" s="97"/>
      <c r="P60" s="97"/>
      <c r="Q60" s="97"/>
      <c r="R60" s="97"/>
      <c r="S60" s="97"/>
      <c r="T60" s="97"/>
      <c r="U60" s="97"/>
      <c r="V60" s="97"/>
      <c r="W60" s="97"/>
      <c r="X60" s="97"/>
    </row>
    <row r="61" spans="1:24">
      <c r="A61" s="138"/>
      <c r="B61" s="139"/>
      <c r="C61" s="140"/>
      <c r="D61" s="140"/>
      <c r="E61" s="140"/>
      <c r="F61" s="140"/>
      <c r="G61" s="140"/>
      <c r="H61" s="140"/>
      <c r="I61" s="140"/>
      <c r="J61" s="141"/>
      <c r="K61" s="141"/>
      <c r="L61" s="141"/>
      <c r="M61" s="141"/>
      <c r="N61" s="141"/>
      <c r="O61" s="141"/>
      <c r="P61" s="141"/>
      <c r="Q61" s="141"/>
      <c r="R61" s="141"/>
      <c r="S61" s="141"/>
      <c r="T61" s="141"/>
      <c r="U61" s="141"/>
      <c r="V61" s="141"/>
      <c r="W61" s="141"/>
      <c r="X61" s="142"/>
    </row>
    <row r="62" spans="1:24" customHeight="1" ht="20.15" s="148" customFormat="1">
      <c r="A62" s="645" t="s">
        <v>231</v>
      </c>
      <c r="B62" s="646"/>
      <c r="C62" s="646"/>
      <c r="D62" s="646"/>
      <c r="E62" s="646"/>
      <c r="F62" s="646"/>
      <c r="G62" s="646"/>
      <c r="H62" s="646"/>
      <c r="I62" s="646"/>
      <c r="J62" s="646"/>
      <c r="K62" s="646"/>
      <c r="L62" s="646"/>
      <c r="M62" s="646"/>
      <c r="N62" s="646"/>
      <c r="O62" s="646"/>
      <c r="P62" s="646"/>
      <c r="Q62" s="646"/>
      <c r="R62" s="646"/>
      <c r="S62" s="646"/>
      <c r="T62" s="646"/>
      <c r="U62" s="646"/>
      <c r="V62" s="646"/>
      <c r="W62" s="646"/>
      <c r="X62" s="647"/>
    </row>
    <row r="63" spans="1:24">
      <c r="A63" s="144"/>
      <c r="B63" s="125"/>
      <c r="C63" s="145"/>
      <c r="D63" s="145"/>
      <c r="E63" s="145"/>
      <c r="F63" s="145"/>
      <c r="G63" s="145"/>
      <c r="H63" s="145"/>
      <c r="I63" s="145"/>
      <c r="J63" s="126"/>
      <c r="K63" s="126"/>
      <c r="L63" s="126"/>
      <c r="M63" s="126"/>
      <c r="N63" s="126"/>
      <c r="O63" s="126"/>
      <c r="P63" s="126"/>
      <c r="Q63" s="126"/>
      <c r="R63" s="126"/>
      <c r="S63" s="126"/>
      <c r="T63" s="126"/>
      <c r="U63" s="126"/>
      <c r="V63" s="126"/>
      <c r="W63" s="126"/>
      <c r="X63" s="146"/>
    </row>
    <row r="64" spans="1:24">
      <c r="A64" s="627" t="s">
        <v>232</v>
      </c>
      <c r="B64" s="628"/>
      <c r="C64" s="628"/>
      <c r="D64" s="628"/>
      <c r="E64" s="628"/>
      <c r="F64" s="628"/>
      <c r="G64" s="629"/>
      <c r="H64" s="621"/>
      <c r="I64" s="622"/>
      <c r="J64" s="603"/>
      <c r="K64" s="605"/>
      <c r="L64" s="597"/>
      <c r="M64" s="598"/>
      <c r="N64" s="603"/>
      <c r="O64" s="605"/>
      <c r="P64" s="612"/>
      <c r="Q64" s="613"/>
      <c r="R64" s="613"/>
      <c r="S64" s="613"/>
      <c r="T64" s="613"/>
      <c r="U64" s="613"/>
      <c r="V64" s="613"/>
      <c r="W64" s="613"/>
      <c r="X64" s="614"/>
    </row>
    <row r="65" spans="1:24">
      <c r="A65" s="630"/>
      <c r="B65" s="631"/>
      <c r="C65" s="631"/>
      <c r="D65" s="631"/>
      <c r="E65" s="631"/>
      <c r="F65" s="631"/>
      <c r="G65" s="632"/>
      <c r="H65" s="623"/>
      <c r="I65" s="624"/>
      <c r="J65" s="606"/>
      <c r="K65" s="608"/>
      <c r="L65" s="599"/>
      <c r="M65" s="600"/>
      <c r="N65" s="606"/>
      <c r="O65" s="608"/>
      <c r="P65" s="615"/>
      <c r="Q65" s="616"/>
      <c r="R65" s="616"/>
      <c r="S65" s="616"/>
      <c r="T65" s="616"/>
      <c r="U65" s="616"/>
      <c r="V65" s="616"/>
      <c r="W65" s="616"/>
      <c r="X65" s="617"/>
    </row>
    <row r="66" spans="1:24">
      <c r="A66" s="633"/>
      <c r="B66" s="634"/>
      <c r="C66" s="634"/>
      <c r="D66" s="634"/>
      <c r="E66" s="634"/>
      <c r="F66" s="634"/>
      <c r="G66" s="635"/>
      <c r="H66" s="625"/>
      <c r="I66" s="626"/>
      <c r="J66" s="609"/>
      <c r="K66" s="611"/>
      <c r="L66" s="601"/>
      <c r="M66" s="602"/>
      <c r="N66" s="609"/>
      <c r="O66" s="611"/>
      <c r="P66" s="618"/>
      <c r="Q66" s="619"/>
      <c r="R66" s="619"/>
      <c r="S66" s="619"/>
      <c r="T66" s="619"/>
      <c r="U66" s="619"/>
      <c r="V66" s="619"/>
      <c r="W66" s="619"/>
      <c r="X66" s="620"/>
    </row>
    <row r="67" spans="1:24">
      <c r="A67" s="627" t="s">
        <v>233</v>
      </c>
      <c r="B67" s="628"/>
      <c r="C67" s="628"/>
      <c r="D67" s="628"/>
      <c r="E67" s="628"/>
      <c r="F67" s="628"/>
      <c r="G67" s="629"/>
      <c r="H67" s="621"/>
      <c r="I67" s="622"/>
      <c r="J67" s="597"/>
      <c r="K67" s="598"/>
      <c r="L67" s="603"/>
      <c r="M67" s="605"/>
      <c r="N67" s="603"/>
      <c r="O67" s="605"/>
      <c r="P67" s="612"/>
      <c r="Q67" s="613"/>
      <c r="R67" s="613"/>
      <c r="S67" s="613"/>
      <c r="T67" s="613"/>
      <c r="U67" s="613"/>
      <c r="V67" s="613"/>
      <c r="W67" s="613"/>
      <c r="X67" s="614"/>
    </row>
    <row r="68" spans="1:24">
      <c r="A68" s="630"/>
      <c r="B68" s="631"/>
      <c r="C68" s="631"/>
      <c r="D68" s="631"/>
      <c r="E68" s="631"/>
      <c r="F68" s="631"/>
      <c r="G68" s="632"/>
      <c r="H68" s="623"/>
      <c r="I68" s="624"/>
      <c r="J68" s="599"/>
      <c r="K68" s="600"/>
      <c r="L68" s="606"/>
      <c r="M68" s="608"/>
      <c r="N68" s="606"/>
      <c r="O68" s="608"/>
      <c r="P68" s="615"/>
      <c r="Q68" s="616"/>
      <c r="R68" s="616"/>
      <c r="S68" s="616"/>
      <c r="T68" s="616"/>
      <c r="U68" s="616"/>
      <c r="V68" s="616"/>
      <c r="W68" s="616"/>
      <c r="X68" s="617"/>
    </row>
    <row r="69" spans="1:24">
      <c r="A69" s="633"/>
      <c r="B69" s="634"/>
      <c r="C69" s="634"/>
      <c r="D69" s="634"/>
      <c r="E69" s="634"/>
      <c r="F69" s="634"/>
      <c r="G69" s="635"/>
      <c r="H69" s="625"/>
      <c r="I69" s="626"/>
      <c r="J69" s="601"/>
      <c r="K69" s="602"/>
      <c r="L69" s="609"/>
      <c r="M69" s="611"/>
      <c r="N69" s="609"/>
      <c r="O69" s="611"/>
      <c r="P69" s="618"/>
      <c r="Q69" s="619"/>
      <c r="R69" s="619"/>
      <c r="S69" s="619"/>
      <c r="T69" s="619"/>
      <c r="U69" s="619"/>
      <c r="V69" s="619"/>
      <c r="W69" s="619"/>
      <c r="X69" s="620"/>
    </row>
    <row r="70" spans="1:24">
      <c r="A70" s="627" t="s">
        <v>234</v>
      </c>
      <c r="B70" s="628"/>
      <c r="C70" s="628"/>
      <c r="D70" s="628"/>
      <c r="E70" s="628"/>
      <c r="F70" s="628"/>
      <c r="G70" s="629"/>
      <c r="H70" s="585"/>
      <c r="I70" s="586"/>
      <c r="J70" s="603"/>
      <c r="K70" s="605"/>
      <c r="L70" s="603"/>
      <c r="M70" s="605"/>
      <c r="N70" s="603"/>
      <c r="O70" s="605"/>
      <c r="P70" s="612"/>
      <c r="Q70" s="613"/>
      <c r="R70" s="613"/>
      <c r="S70" s="613"/>
      <c r="T70" s="613"/>
      <c r="U70" s="613"/>
      <c r="V70" s="613"/>
      <c r="W70" s="613"/>
      <c r="X70" s="614"/>
    </row>
    <row r="71" spans="1:24">
      <c r="A71" s="630"/>
      <c r="B71" s="631"/>
      <c r="C71" s="631"/>
      <c r="D71" s="631"/>
      <c r="E71" s="631"/>
      <c r="F71" s="631"/>
      <c r="G71" s="632"/>
      <c r="H71" s="587"/>
      <c r="I71" s="588"/>
      <c r="J71" s="606"/>
      <c r="K71" s="608"/>
      <c r="L71" s="606"/>
      <c r="M71" s="608"/>
      <c r="N71" s="606"/>
      <c r="O71" s="608"/>
      <c r="P71" s="615"/>
      <c r="Q71" s="616"/>
      <c r="R71" s="616"/>
      <c r="S71" s="616"/>
      <c r="T71" s="616"/>
      <c r="U71" s="616"/>
      <c r="V71" s="616"/>
      <c r="W71" s="616"/>
      <c r="X71" s="617"/>
    </row>
    <row r="72" spans="1:24">
      <c r="A72" s="633"/>
      <c r="B72" s="634"/>
      <c r="C72" s="634"/>
      <c r="D72" s="634"/>
      <c r="E72" s="634"/>
      <c r="F72" s="634"/>
      <c r="G72" s="635"/>
      <c r="H72" s="589"/>
      <c r="I72" s="590"/>
      <c r="J72" s="609"/>
      <c r="K72" s="611"/>
      <c r="L72" s="609"/>
      <c r="M72" s="611"/>
      <c r="N72" s="609"/>
      <c r="O72" s="611"/>
      <c r="P72" s="618"/>
      <c r="Q72" s="619"/>
      <c r="R72" s="619"/>
      <c r="S72" s="619"/>
      <c r="T72" s="619"/>
      <c r="U72" s="619"/>
      <c r="V72" s="619"/>
      <c r="W72" s="619"/>
      <c r="X72" s="620"/>
    </row>
    <row r="73" spans="1:24">
      <c r="A73" s="627" t="s">
        <v>235</v>
      </c>
      <c r="B73" s="628"/>
      <c r="C73" s="628"/>
      <c r="D73" s="628"/>
      <c r="E73" s="628"/>
      <c r="F73" s="628"/>
      <c r="G73" s="629"/>
      <c r="H73" s="585"/>
      <c r="I73" s="586"/>
      <c r="J73" s="603"/>
      <c r="K73" s="605"/>
      <c r="L73" s="603"/>
      <c r="M73" s="605"/>
      <c r="N73" s="603"/>
      <c r="O73" s="605"/>
      <c r="P73" s="603"/>
      <c r="Q73" s="604"/>
      <c r="R73" s="604"/>
      <c r="S73" s="604"/>
      <c r="T73" s="604"/>
      <c r="U73" s="604"/>
      <c r="V73" s="604"/>
      <c r="W73" s="604"/>
      <c r="X73" s="605"/>
    </row>
    <row r="74" spans="1:24">
      <c r="A74" s="630"/>
      <c r="B74" s="631"/>
      <c r="C74" s="631"/>
      <c r="D74" s="631"/>
      <c r="E74" s="631"/>
      <c r="F74" s="631"/>
      <c r="G74" s="632"/>
      <c r="H74" s="587"/>
      <c r="I74" s="588"/>
      <c r="J74" s="606"/>
      <c r="K74" s="608"/>
      <c r="L74" s="606"/>
      <c r="M74" s="608"/>
      <c r="N74" s="606"/>
      <c r="O74" s="608"/>
      <c r="P74" s="606"/>
      <c r="Q74" s="607"/>
      <c r="R74" s="607"/>
      <c r="S74" s="607"/>
      <c r="T74" s="607"/>
      <c r="U74" s="607"/>
      <c r="V74" s="607"/>
      <c r="W74" s="607"/>
      <c r="X74" s="608"/>
    </row>
    <row r="75" spans="1:24">
      <c r="A75" s="633"/>
      <c r="B75" s="634"/>
      <c r="C75" s="634"/>
      <c r="D75" s="634"/>
      <c r="E75" s="634"/>
      <c r="F75" s="634"/>
      <c r="G75" s="635"/>
      <c r="H75" s="589"/>
      <c r="I75" s="590"/>
      <c r="J75" s="609"/>
      <c r="K75" s="611"/>
      <c r="L75" s="609"/>
      <c r="M75" s="611"/>
      <c r="N75" s="609"/>
      <c r="O75" s="611"/>
      <c r="P75" s="609"/>
      <c r="Q75" s="610"/>
      <c r="R75" s="610"/>
      <c r="S75" s="610"/>
      <c r="T75" s="610"/>
      <c r="U75" s="610"/>
      <c r="V75" s="610"/>
      <c r="W75" s="610"/>
      <c r="X75" s="611"/>
    </row>
    <row r="76" spans="1:24">
      <c r="A76" s="137"/>
      <c r="B76" s="137"/>
      <c r="C76" s="137"/>
      <c r="D76" s="137"/>
      <c r="E76" s="137"/>
      <c r="F76" s="137"/>
      <c r="G76" s="137"/>
      <c r="H76" s="137"/>
      <c r="I76" s="137"/>
      <c r="J76" s="97"/>
      <c r="K76" s="97"/>
      <c r="L76" s="97"/>
      <c r="M76" s="97"/>
      <c r="N76" s="97"/>
      <c r="O76" s="97"/>
      <c r="P76" s="97"/>
      <c r="Q76" s="97"/>
      <c r="R76" s="97"/>
      <c r="S76" s="97"/>
      <c r="T76" s="97"/>
      <c r="U76" s="97"/>
      <c r="V76" s="97"/>
      <c r="W76" s="97"/>
      <c r="X76" s="97"/>
    </row>
    <row r="77" spans="1:24">
      <c r="A77" s="137"/>
      <c r="B77" s="137"/>
      <c r="C77" s="137"/>
      <c r="D77" s="137"/>
      <c r="E77" s="137"/>
      <c r="F77" s="137"/>
      <c r="G77" s="137"/>
      <c r="H77" s="137"/>
      <c r="I77" s="137"/>
      <c r="J77" s="97"/>
      <c r="K77" s="97"/>
      <c r="L77" s="97"/>
      <c r="M77" s="97"/>
      <c r="N77" s="97"/>
      <c r="O77" s="97"/>
      <c r="P77" s="97"/>
      <c r="Q77" s="97"/>
      <c r="R77" s="97"/>
      <c r="S77" s="97"/>
      <c r="T77" s="97"/>
      <c r="U77" s="97"/>
      <c r="V77" s="97"/>
      <c r="W77" s="97"/>
      <c r="X77" s="97"/>
    </row>
    <row r="78" spans="1:24">
      <c r="A78" s="137"/>
      <c r="B78" s="137"/>
      <c r="C78" s="137"/>
      <c r="D78" s="137"/>
      <c r="E78" s="137"/>
      <c r="F78" s="137"/>
      <c r="G78" s="137"/>
      <c r="H78" s="137"/>
      <c r="I78" s="137"/>
      <c r="J78" s="97"/>
      <c r="K78" s="97"/>
      <c r="L78" s="97"/>
      <c r="M78" s="97"/>
      <c r="N78" s="97"/>
      <c r="O78" s="97"/>
      <c r="P78" s="97"/>
      <c r="Q78" s="97"/>
      <c r="R78" s="97"/>
      <c r="S78" s="97"/>
      <c r="T78" s="97"/>
      <c r="U78" s="97"/>
      <c r="V78" s="97"/>
      <c r="W78" s="97"/>
      <c r="X78" s="97"/>
    </row>
    <row r="79" spans="1:24" customHeight="1" ht="15">
      <c r="A79" s="137"/>
      <c r="B79" s="137"/>
      <c r="C79" s="137"/>
      <c r="D79" s="137"/>
      <c r="E79" s="137"/>
      <c r="F79" s="137"/>
      <c r="G79" s="137"/>
      <c r="H79" s="137"/>
      <c r="I79" s="137"/>
      <c r="J79" s="97"/>
      <c r="K79" s="97"/>
      <c r="L79" s="97"/>
      <c r="M79" s="97"/>
      <c r="N79" s="97"/>
      <c r="O79" s="97"/>
      <c r="P79" s="97"/>
      <c r="Q79" s="97"/>
      <c r="R79" s="97"/>
      <c r="S79" s="97"/>
      <c r="T79" s="97"/>
      <c r="U79" s="97"/>
      <c r="V79" s="97"/>
      <c r="W79" s="97"/>
      <c r="X79" s="97"/>
    </row>
    <row r="80" spans="1:24">
      <c r="A80" s="137"/>
      <c r="B80" s="137"/>
      <c r="C80" s="137"/>
      <c r="D80" s="137"/>
      <c r="E80" s="137"/>
      <c r="F80" s="137"/>
      <c r="G80" s="137"/>
      <c r="H80" s="137"/>
      <c r="I80" s="137"/>
      <c r="J80" s="636" t="s">
        <v>236</v>
      </c>
      <c r="K80" s="637"/>
      <c r="L80" s="637"/>
      <c r="M80" s="637"/>
      <c r="N80" s="637"/>
      <c r="O80" s="638"/>
      <c r="P80" s="97"/>
      <c r="Q80" s="97"/>
      <c r="R80" s="97"/>
      <c r="S80" s="97"/>
      <c r="T80" s="97"/>
      <c r="U80" s="97"/>
      <c r="V80" s="97"/>
      <c r="W80" s="97"/>
      <c r="X80" s="97"/>
    </row>
    <row r="81" spans="1:24">
      <c r="A81" s="147"/>
      <c r="B81" s="136"/>
      <c r="C81" s="136"/>
      <c r="D81" s="136"/>
      <c r="E81" s="136"/>
      <c r="F81" s="136"/>
      <c r="G81" s="136"/>
      <c r="H81" s="136"/>
      <c r="I81" s="136"/>
      <c r="J81" s="639"/>
      <c r="K81" s="640"/>
      <c r="L81" s="640"/>
      <c r="M81" s="640"/>
      <c r="N81" s="640"/>
      <c r="O81" s="641"/>
      <c r="P81" s="143"/>
      <c r="Q81" s="143"/>
      <c r="R81" s="143"/>
      <c r="S81" s="143"/>
      <c r="T81" s="143"/>
      <c r="U81" s="143"/>
      <c r="V81" s="143"/>
      <c r="W81" s="143"/>
      <c r="X81" s="143"/>
    </row>
    <row r="82" spans="1:24" customHeight="1" ht="15">
      <c r="A82" s="147"/>
      <c r="B82" s="136"/>
      <c r="C82" s="136"/>
      <c r="D82" s="136"/>
      <c r="E82" s="136"/>
      <c r="F82" s="136"/>
      <c r="G82" s="136"/>
      <c r="H82" s="136"/>
      <c r="I82" s="136"/>
      <c r="J82" s="642"/>
      <c r="K82" s="643"/>
      <c r="L82" s="643"/>
      <c r="M82" s="643"/>
      <c r="N82" s="643"/>
      <c r="O82" s="644"/>
      <c r="P82" s="143"/>
      <c r="Q82" s="143"/>
      <c r="R82" s="143"/>
      <c r="S82" s="143"/>
      <c r="T82" s="143"/>
      <c r="U82" s="143"/>
      <c r="V82" s="143"/>
      <c r="W82" s="143"/>
      <c r="X82" s="143"/>
    </row>
    <row r="83" spans="1:24" customHeight="1" ht="15">
      <c r="A83" s="147"/>
      <c r="B83" s="136"/>
      <c r="C83" s="136"/>
      <c r="D83" s="136"/>
      <c r="E83" s="136"/>
      <c r="F83" s="136"/>
      <c r="G83" s="136"/>
      <c r="H83" s="136"/>
      <c r="I83" s="136"/>
      <c r="J83" s="157"/>
      <c r="K83" s="157"/>
      <c r="L83" s="157"/>
      <c r="M83" s="157"/>
      <c r="N83" s="157"/>
      <c r="O83" s="157"/>
      <c r="P83" s="143"/>
      <c r="Q83" s="143"/>
      <c r="R83" s="143"/>
      <c r="S83" s="143"/>
      <c r="T83" s="143"/>
      <c r="U83" s="143"/>
      <c r="V83" s="143"/>
      <c r="W83" s="143"/>
      <c r="X83" s="143"/>
    </row>
    <row r="84" spans="1:24">
      <c r="A84" s="147"/>
      <c r="B84" s="136"/>
      <c r="C84" s="136"/>
      <c r="D84" s="136"/>
      <c r="E84" s="136"/>
      <c r="F84" s="136"/>
      <c r="G84" s="136"/>
      <c r="H84" s="136"/>
      <c r="I84" s="136"/>
      <c r="J84" s="156"/>
      <c r="K84" s="156"/>
      <c r="L84" s="156"/>
      <c r="M84" s="156"/>
      <c r="N84" s="156"/>
      <c r="O84" s="156"/>
      <c r="P84" s="143"/>
      <c r="Q84" s="143"/>
      <c r="R84" s="143"/>
      <c r="S84" s="143"/>
      <c r="T84" s="143"/>
      <c r="U84" s="143"/>
      <c r="V84" s="143"/>
      <c r="W84" s="143"/>
      <c r="X84" s="143"/>
    </row>
    <row r="85" spans="1:24" customHeight="1" ht="15">
      <c r="A85" s="137"/>
      <c r="B85" s="137"/>
      <c r="C85" s="137"/>
      <c r="D85" s="137"/>
      <c r="E85" s="137"/>
      <c r="F85" s="137"/>
      <c r="G85" s="137"/>
      <c r="H85" s="137"/>
      <c r="I85" s="137"/>
      <c r="J85" s="155"/>
      <c r="K85" s="155"/>
      <c r="L85" s="155"/>
      <c r="M85" s="155"/>
      <c r="N85" s="155"/>
      <c r="O85" s="155"/>
      <c r="P85" s="97"/>
      <c r="Q85" s="97"/>
      <c r="R85" s="97"/>
      <c r="S85" s="97"/>
      <c r="T85" s="97"/>
      <c r="U85" s="97"/>
      <c r="V85" s="97"/>
      <c r="W85" s="97"/>
      <c r="X85" s="97"/>
    </row>
    <row r="86" spans="1:24" customHeight="1" ht="16">
      <c r="A86" s="562" t="s">
        <v>237</v>
      </c>
      <c r="B86" s="563"/>
      <c r="C86" s="563"/>
      <c r="D86" s="563"/>
      <c r="E86" s="563"/>
      <c r="F86" s="563"/>
      <c r="G86" s="563"/>
      <c r="H86" s="563"/>
      <c r="I86" s="563"/>
      <c r="J86" s="563"/>
      <c r="K86" s="563"/>
      <c r="L86" s="563"/>
      <c r="M86" s="563"/>
      <c r="N86" s="563"/>
      <c r="O86" s="563"/>
      <c r="P86" s="563"/>
      <c r="Q86" s="563"/>
      <c r="R86" s="563"/>
      <c r="S86" s="563"/>
      <c r="T86" s="563"/>
      <c r="U86" s="563"/>
      <c r="V86" s="563"/>
      <c r="W86" s="563"/>
      <c r="X86" s="564"/>
    </row>
    <row r="87" spans="1:24">
      <c r="A87" s="565" t="s">
        <v>44</v>
      </c>
      <c r="B87" s="566"/>
      <c r="C87" s="567" t="s">
        <v>238</v>
      </c>
      <c r="D87" s="568"/>
      <c r="E87" s="568"/>
      <c r="F87" s="568"/>
      <c r="G87" s="568"/>
      <c r="H87" s="566"/>
      <c r="I87" s="567" t="s">
        <v>239</v>
      </c>
      <c r="J87" s="568"/>
      <c r="K87" s="568"/>
      <c r="L87" s="568"/>
      <c r="M87" s="568"/>
      <c r="N87" s="568"/>
      <c r="O87" s="568"/>
      <c r="P87" s="568"/>
      <c r="Q87" s="566"/>
      <c r="R87" s="567" t="s">
        <v>240</v>
      </c>
      <c r="S87" s="568"/>
      <c r="T87" s="568"/>
      <c r="U87" s="568"/>
      <c r="V87" s="568"/>
      <c r="W87" s="568"/>
      <c r="X87" s="569"/>
    </row>
    <row r="88" spans="1:24" customHeight="1" ht="30" s="153" customFormat="1">
      <c r="A88" s="555"/>
      <c r="B88" s="570"/>
      <c r="C88" s="557"/>
      <c r="D88" s="571"/>
      <c r="E88" s="571"/>
      <c r="F88" s="571"/>
      <c r="G88" s="571"/>
      <c r="H88" s="572"/>
      <c r="I88" s="560"/>
      <c r="J88" s="558"/>
      <c r="K88" s="558"/>
      <c r="L88" s="558"/>
      <c r="M88" s="558"/>
      <c r="N88" s="558"/>
      <c r="O88" s="558"/>
      <c r="P88" s="558"/>
      <c r="Q88" s="559"/>
      <c r="R88" s="560"/>
      <c r="S88" s="558"/>
      <c r="T88" s="558"/>
      <c r="U88" s="558"/>
      <c r="V88" s="558"/>
      <c r="W88" s="558"/>
      <c r="X88" s="561"/>
    </row>
    <row r="89" spans="1:24" customHeight="1" ht="30" s="97" customFormat="1">
      <c r="A89" s="554"/>
      <c r="B89" s="552"/>
      <c r="C89" s="550"/>
      <c r="D89" s="551"/>
      <c r="E89" s="551"/>
      <c r="F89" s="551"/>
      <c r="G89" s="551"/>
      <c r="H89" s="552"/>
      <c r="I89" s="550"/>
      <c r="J89" s="551"/>
      <c r="K89" s="551"/>
      <c r="L89" s="551"/>
      <c r="M89" s="551"/>
      <c r="N89" s="551"/>
      <c r="O89" s="551"/>
      <c r="P89" s="551"/>
      <c r="Q89" s="552"/>
      <c r="R89" s="550"/>
      <c r="S89" s="551"/>
      <c r="T89" s="551"/>
      <c r="U89" s="551"/>
      <c r="V89" s="551"/>
      <c r="W89" s="551"/>
      <c r="X89" s="553"/>
    </row>
    <row r="90" spans="1:24" customHeight="1" ht="13.5" s="97" customFormat="1">
      <c r="A90" s="333"/>
      <c r="B90" s="333"/>
      <c r="C90" s="333"/>
      <c r="D90" s="333"/>
      <c r="E90" s="333"/>
      <c r="F90" s="333"/>
      <c r="G90" s="333"/>
      <c r="H90" s="333"/>
      <c r="I90" s="333"/>
      <c r="J90" s="333"/>
      <c r="K90" s="333"/>
      <c r="L90" s="333"/>
      <c r="M90" s="333"/>
      <c r="N90" s="333"/>
      <c r="O90" s="333"/>
      <c r="P90" s="333"/>
      <c r="Q90" s="333"/>
      <c r="R90" s="333"/>
      <c r="S90" s="333"/>
      <c r="T90" s="333"/>
      <c r="U90" s="333"/>
      <c r="V90" s="333"/>
      <c r="W90" s="333"/>
      <c r="X90" s="333"/>
    </row>
    <row r="91" spans="1:24" customHeight="1" ht="13.5" s="97" customFormat="1">
      <c r="A91" s="341"/>
      <c r="B91" s="341"/>
      <c r="C91" s="341"/>
      <c r="D91" s="341"/>
      <c r="E91" s="341"/>
      <c r="F91" s="341"/>
      <c r="G91" s="341"/>
      <c r="H91" s="341"/>
      <c r="I91" s="341"/>
      <c r="J91" s="341"/>
      <c r="K91" s="341"/>
      <c r="L91" s="341"/>
      <c r="M91" s="341"/>
      <c r="N91" s="341"/>
      <c r="O91" s="341"/>
      <c r="P91" s="341"/>
      <c r="Q91" s="341"/>
      <c r="R91" s="341"/>
      <c r="S91" s="341"/>
      <c r="T91" s="341"/>
      <c r="U91" s="341"/>
      <c r="V91" s="341"/>
      <c r="W91" s="341"/>
      <c r="X91" s="341"/>
    </row>
    <row r="92" spans="1:24" customHeight="1" ht="16" s="97" customFormat="1">
      <c r="A92" s="562" t="s">
        <v>241</v>
      </c>
      <c r="B92" s="563"/>
      <c r="C92" s="563"/>
      <c r="D92" s="563"/>
      <c r="E92" s="563"/>
      <c r="F92" s="563"/>
      <c r="G92" s="563"/>
      <c r="H92" s="563"/>
      <c r="I92" s="563"/>
      <c r="J92" s="563"/>
      <c r="K92" s="563"/>
      <c r="L92" s="563"/>
      <c r="M92" s="563"/>
      <c r="N92" s="563"/>
      <c r="O92" s="563"/>
      <c r="P92" s="563"/>
      <c r="Q92" s="563"/>
      <c r="R92" s="563"/>
      <c r="S92" s="563"/>
      <c r="T92" s="563"/>
      <c r="U92" s="563"/>
      <c r="V92" s="563"/>
      <c r="W92" s="563"/>
      <c r="X92" s="564"/>
    </row>
    <row r="93" spans="1:24" s="97" customFormat="1">
      <c r="A93" s="565" t="s">
        <v>44</v>
      </c>
      <c r="B93" s="566"/>
      <c r="C93" s="567" t="s">
        <v>238</v>
      </c>
      <c r="D93" s="568"/>
      <c r="E93" s="568"/>
      <c r="F93" s="568"/>
      <c r="G93" s="568"/>
      <c r="H93" s="566"/>
      <c r="I93" s="567" t="s">
        <v>239</v>
      </c>
      <c r="J93" s="568"/>
      <c r="K93" s="568"/>
      <c r="L93" s="568"/>
      <c r="M93" s="568"/>
      <c r="N93" s="568"/>
      <c r="O93" s="568"/>
      <c r="P93" s="568"/>
      <c r="Q93" s="566"/>
      <c r="R93" s="567" t="s">
        <v>240</v>
      </c>
      <c r="S93" s="568"/>
      <c r="T93" s="568"/>
      <c r="U93" s="568"/>
      <c r="V93" s="568"/>
      <c r="W93" s="568"/>
      <c r="X93" s="569"/>
    </row>
    <row r="94" spans="1:24" customHeight="1" ht="30" s="153" customFormat="1">
      <c r="A94" s="555"/>
      <c r="B94" s="556"/>
      <c r="C94" s="557"/>
      <c r="D94" s="558"/>
      <c r="E94" s="558"/>
      <c r="F94" s="558"/>
      <c r="G94" s="558"/>
      <c r="H94" s="559"/>
      <c r="I94" s="560"/>
      <c r="J94" s="558"/>
      <c r="K94" s="558"/>
      <c r="L94" s="558"/>
      <c r="M94" s="558"/>
      <c r="N94" s="558"/>
      <c r="O94" s="558"/>
      <c r="P94" s="558"/>
      <c r="Q94" s="559"/>
      <c r="R94" s="560"/>
      <c r="S94" s="558"/>
      <c r="T94" s="558"/>
      <c r="U94" s="558"/>
      <c r="V94" s="558"/>
      <c r="W94" s="558"/>
      <c r="X94" s="561"/>
    </row>
    <row r="95" spans="1:24" customHeight="1" ht="30" s="97" customFormat="1">
      <c r="A95" s="554"/>
      <c r="B95" s="552"/>
      <c r="C95" s="550"/>
      <c r="D95" s="551"/>
      <c r="E95" s="551"/>
      <c r="F95" s="551"/>
      <c r="G95" s="551"/>
      <c r="H95" s="552"/>
      <c r="I95" s="550"/>
      <c r="J95" s="551"/>
      <c r="K95" s="551"/>
      <c r="L95" s="551"/>
      <c r="M95" s="551"/>
      <c r="N95" s="551"/>
      <c r="O95" s="551"/>
      <c r="P95" s="551"/>
      <c r="Q95" s="552"/>
      <c r="R95" s="550"/>
      <c r="S95" s="551"/>
      <c r="T95" s="551"/>
      <c r="U95" s="551"/>
      <c r="V95" s="551"/>
      <c r="W95" s="551"/>
      <c r="X95" s="553"/>
    </row>
    <row r="96" spans="1:24" customHeight="1" ht="18.75" s="97" customFormat="1">
      <c r="A96" s="333"/>
      <c r="B96" s="333"/>
      <c r="C96" s="333"/>
      <c r="D96" s="333"/>
      <c r="E96" s="333"/>
      <c r="F96" s="333"/>
      <c r="G96" s="333"/>
      <c r="H96" s="333"/>
      <c r="I96" s="333"/>
      <c r="J96" s="333"/>
      <c r="K96" s="333"/>
      <c r="L96" s="333"/>
      <c r="M96" s="333"/>
      <c r="N96" s="333"/>
      <c r="O96" s="333"/>
      <c r="P96" s="333"/>
      <c r="Q96" s="333"/>
      <c r="R96" s="333"/>
      <c r="S96" s="333"/>
      <c r="T96" s="333"/>
      <c r="U96" s="333"/>
      <c r="V96" s="333"/>
      <c r="W96" s="333"/>
      <c r="X96" s="333"/>
    </row>
    <row r="97" spans="1:24" customHeight="1" ht="12.75" s="97" customFormat="1">
      <c r="A97" s="341"/>
      <c r="B97" s="341"/>
      <c r="C97" s="341"/>
      <c r="D97" s="341"/>
      <c r="E97" s="341"/>
      <c r="F97" s="341"/>
      <c r="G97" s="341"/>
      <c r="H97" s="341"/>
      <c r="I97" s="341"/>
      <c r="J97" s="341"/>
      <c r="K97" s="341"/>
      <c r="L97" s="341"/>
      <c r="M97" s="341"/>
      <c r="N97" s="341"/>
      <c r="O97" s="341"/>
      <c r="P97" s="341"/>
      <c r="Q97" s="341"/>
      <c r="R97" s="341"/>
      <c r="S97" s="341"/>
      <c r="T97" s="341"/>
      <c r="U97" s="341"/>
      <c r="V97" s="341"/>
      <c r="W97" s="341"/>
      <c r="X97" s="341"/>
    </row>
    <row r="98" spans="1:24" customHeight="1" ht="16" s="97" customFormat="1">
      <c r="A98" s="562" t="s">
        <v>242</v>
      </c>
      <c r="B98" s="563"/>
      <c r="C98" s="563"/>
      <c r="D98" s="563"/>
      <c r="E98" s="563"/>
      <c r="F98" s="563"/>
      <c r="G98" s="563"/>
      <c r="H98" s="563"/>
      <c r="I98" s="563"/>
      <c r="J98" s="563"/>
      <c r="K98" s="563"/>
      <c r="L98" s="563"/>
      <c r="M98" s="563"/>
      <c r="N98" s="563"/>
      <c r="O98" s="563"/>
      <c r="P98" s="563"/>
      <c r="Q98" s="563"/>
      <c r="R98" s="563"/>
      <c r="S98" s="563"/>
      <c r="T98" s="563"/>
      <c r="U98" s="563"/>
      <c r="V98" s="563"/>
      <c r="W98" s="563"/>
      <c r="X98" s="564"/>
    </row>
    <row r="99" spans="1:24" s="97" customFormat="1">
      <c r="A99" s="565" t="s">
        <v>44</v>
      </c>
      <c r="B99" s="566"/>
      <c r="C99" s="567" t="s">
        <v>238</v>
      </c>
      <c r="D99" s="568"/>
      <c r="E99" s="568"/>
      <c r="F99" s="568"/>
      <c r="G99" s="568"/>
      <c r="H99" s="566"/>
      <c r="I99" s="567" t="s">
        <v>239</v>
      </c>
      <c r="J99" s="568"/>
      <c r="K99" s="568"/>
      <c r="L99" s="568"/>
      <c r="M99" s="568"/>
      <c r="N99" s="568"/>
      <c r="O99" s="568"/>
      <c r="P99" s="568"/>
      <c r="Q99" s="566"/>
      <c r="R99" s="567" t="s">
        <v>240</v>
      </c>
      <c r="S99" s="568"/>
      <c r="T99" s="568"/>
      <c r="U99" s="568"/>
      <c r="V99" s="568"/>
      <c r="W99" s="568"/>
      <c r="X99" s="569"/>
    </row>
    <row r="100" spans="1:24" customHeight="1" ht="30" s="153" customFormat="1">
      <c r="A100" s="555"/>
      <c r="B100" s="556"/>
      <c r="C100" s="557"/>
      <c r="D100" s="558"/>
      <c r="E100" s="558"/>
      <c r="F100" s="558"/>
      <c r="G100" s="558"/>
      <c r="H100" s="559"/>
      <c r="I100" s="560"/>
      <c r="J100" s="558"/>
      <c r="K100" s="558"/>
      <c r="L100" s="558"/>
      <c r="M100" s="558"/>
      <c r="N100" s="558"/>
      <c r="O100" s="558"/>
      <c r="P100" s="558"/>
      <c r="Q100" s="559"/>
      <c r="R100" s="560"/>
      <c r="S100" s="558"/>
      <c r="T100" s="558"/>
      <c r="U100" s="558"/>
      <c r="V100" s="558"/>
      <c r="W100" s="558"/>
      <c r="X100" s="561"/>
    </row>
    <row r="101" spans="1:24" customHeight="1" ht="30" s="97" customFormat="1">
      <c r="A101" s="554"/>
      <c r="B101" s="552"/>
      <c r="C101" s="550"/>
      <c r="D101" s="551"/>
      <c r="E101" s="551"/>
      <c r="F101" s="551"/>
      <c r="G101" s="551"/>
      <c r="H101" s="552"/>
      <c r="I101" s="550"/>
      <c r="J101" s="551"/>
      <c r="K101" s="551"/>
      <c r="L101" s="551"/>
      <c r="M101" s="551"/>
      <c r="N101" s="551"/>
      <c r="O101" s="551"/>
      <c r="P101" s="551"/>
      <c r="Q101" s="552"/>
      <c r="R101" s="550"/>
      <c r="S101" s="551"/>
      <c r="T101" s="551"/>
      <c r="U101" s="551"/>
      <c r="V101" s="551"/>
      <c r="W101" s="551"/>
      <c r="X101" s="553"/>
    </row>
    <row r="102" spans="1:24" customHeight="1" ht="13.5" s="97" customFormat="1">
      <c r="A102" s="333"/>
      <c r="B102" s="333"/>
      <c r="C102" s="333"/>
      <c r="D102" s="333"/>
      <c r="E102" s="333"/>
      <c r="F102" s="333"/>
      <c r="G102" s="333"/>
      <c r="H102" s="333"/>
      <c r="I102" s="333"/>
      <c r="J102" s="333"/>
      <c r="K102" s="333"/>
      <c r="L102" s="333"/>
      <c r="M102" s="333"/>
      <c r="N102" s="333"/>
      <c r="O102" s="333"/>
      <c r="P102" s="333"/>
      <c r="Q102" s="333"/>
      <c r="R102" s="333"/>
      <c r="S102" s="333"/>
      <c r="T102" s="333"/>
      <c r="U102" s="333"/>
      <c r="V102" s="333"/>
      <c r="W102" s="333"/>
      <c r="X102" s="333"/>
    </row>
    <row r="103" spans="1:24" customHeight="1" ht="13.5" s="97" customFormat="1">
      <c r="A103" s="337"/>
      <c r="B103" s="337"/>
      <c r="C103" s="337"/>
      <c r="D103" s="337"/>
      <c r="E103" s="337"/>
      <c r="F103" s="337"/>
      <c r="G103" s="337"/>
      <c r="H103" s="337"/>
      <c r="I103" s="337"/>
      <c r="J103" s="337"/>
      <c r="K103" s="337"/>
      <c r="L103" s="337"/>
      <c r="M103" s="337"/>
      <c r="N103" s="337"/>
      <c r="O103" s="337"/>
      <c r="P103" s="337"/>
      <c r="Q103" s="337"/>
      <c r="R103" s="337"/>
      <c r="S103" s="337"/>
      <c r="T103" s="337"/>
      <c r="U103" s="337"/>
      <c r="V103" s="337"/>
      <c r="W103" s="337"/>
      <c r="X103" s="337"/>
    </row>
    <row r="104" spans="1:24" customHeight="1" ht="16" s="97" customFormat="1">
      <c r="A104" s="562" t="s">
        <v>243</v>
      </c>
      <c r="B104" s="563"/>
      <c r="C104" s="563"/>
      <c r="D104" s="563"/>
      <c r="E104" s="563"/>
      <c r="F104" s="563"/>
      <c r="G104" s="563"/>
      <c r="H104" s="563"/>
      <c r="I104" s="563"/>
      <c r="J104" s="563"/>
      <c r="K104" s="563"/>
      <c r="L104" s="563"/>
      <c r="M104" s="563"/>
      <c r="N104" s="563"/>
      <c r="O104" s="563"/>
      <c r="P104" s="563"/>
      <c r="Q104" s="563"/>
      <c r="R104" s="563"/>
      <c r="S104" s="563"/>
      <c r="T104" s="563"/>
      <c r="U104" s="563"/>
      <c r="V104" s="563"/>
      <c r="W104" s="563"/>
      <c r="X104" s="564"/>
    </row>
    <row r="105" spans="1:24" s="97" customFormat="1">
      <c r="A105" s="565" t="s">
        <v>44</v>
      </c>
      <c r="B105" s="566"/>
      <c r="C105" s="567" t="s">
        <v>238</v>
      </c>
      <c r="D105" s="568"/>
      <c r="E105" s="568"/>
      <c r="F105" s="568"/>
      <c r="G105" s="568"/>
      <c r="H105" s="566"/>
      <c r="I105" s="567" t="s">
        <v>239</v>
      </c>
      <c r="J105" s="568"/>
      <c r="K105" s="568"/>
      <c r="L105" s="568"/>
      <c r="M105" s="568"/>
      <c r="N105" s="568"/>
      <c r="O105" s="568"/>
      <c r="P105" s="568"/>
      <c r="Q105" s="566"/>
      <c r="R105" s="567" t="s">
        <v>240</v>
      </c>
      <c r="S105" s="568"/>
      <c r="T105" s="568"/>
      <c r="U105" s="568"/>
      <c r="V105" s="568"/>
      <c r="W105" s="568"/>
      <c r="X105" s="569"/>
    </row>
    <row r="106" spans="1:24" customHeight="1" ht="30" s="153" customFormat="1">
      <c r="A106" s="555"/>
      <c r="B106" s="556"/>
      <c r="C106" s="557"/>
      <c r="D106" s="558"/>
      <c r="E106" s="558"/>
      <c r="F106" s="558"/>
      <c r="G106" s="558"/>
      <c r="H106" s="559"/>
      <c r="I106" s="560"/>
      <c r="J106" s="558"/>
      <c r="K106" s="558"/>
      <c r="L106" s="558"/>
      <c r="M106" s="558"/>
      <c r="N106" s="558"/>
      <c r="O106" s="558"/>
      <c r="P106" s="558"/>
      <c r="Q106" s="559"/>
      <c r="R106" s="560"/>
      <c r="S106" s="558"/>
      <c r="T106" s="558"/>
      <c r="U106" s="558"/>
      <c r="V106" s="558"/>
      <c r="W106" s="558"/>
      <c r="X106" s="561"/>
    </row>
    <row r="107" spans="1:24" customHeight="1" ht="30" s="97" customFormat="1">
      <c r="A107" s="554"/>
      <c r="B107" s="552"/>
      <c r="C107" s="550"/>
      <c r="D107" s="551"/>
      <c r="E107" s="551"/>
      <c r="F107" s="551"/>
      <c r="G107" s="551"/>
      <c r="H107" s="552"/>
      <c r="I107" s="550"/>
      <c r="J107" s="551"/>
      <c r="K107" s="551"/>
      <c r="L107" s="551"/>
      <c r="M107" s="551"/>
      <c r="N107" s="551"/>
      <c r="O107" s="551"/>
      <c r="P107" s="551"/>
      <c r="Q107" s="552"/>
      <c r="R107" s="550"/>
      <c r="S107" s="551"/>
      <c r="T107" s="551"/>
      <c r="U107" s="551"/>
      <c r="V107" s="551"/>
      <c r="W107" s="551"/>
      <c r="X107" s="553"/>
    </row>
    <row r="108" spans="1:24" customHeight="1" ht="15" s="87" customFormat="1">
      <c r="A108" s="333"/>
      <c r="B108" s="333"/>
      <c r="C108" s="333"/>
      <c r="D108" s="333"/>
      <c r="E108" s="333"/>
      <c r="F108" s="333"/>
      <c r="G108" s="333"/>
      <c r="H108" s="333"/>
      <c r="I108" s="333"/>
      <c r="J108" s="333"/>
      <c r="K108" s="333"/>
      <c r="L108" s="333"/>
      <c r="M108" s="333"/>
      <c r="N108" s="333"/>
      <c r="O108" s="333"/>
      <c r="P108" s="333"/>
      <c r="Q108" s="333"/>
      <c r="R108" s="333"/>
      <c r="S108" s="333"/>
      <c r="T108" s="333"/>
      <c r="U108" s="333"/>
      <c r="V108" s="333"/>
      <c r="W108" s="333"/>
      <c r="X108" s="333"/>
    </row>
    <row r="109" spans="1:24" customHeight="1" ht="15" s="87" customFormat="1">
      <c r="A109" s="337"/>
      <c r="B109" s="337"/>
      <c r="C109" s="337"/>
      <c r="D109" s="337"/>
      <c r="E109" s="337"/>
      <c r="F109" s="337"/>
      <c r="G109" s="337"/>
      <c r="H109" s="337"/>
      <c r="I109" s="337"/>
      <c r="J109" s="337"/>
      <c r="K109" s="337"/>
      <c r="L109" s="337"/>
      <c r="M109" s="337"/>
      <c r="N109" s="337"/>
      <c r="O109" s="337"/>
      <c r="P109" s="337"/>
      <c r="Q109" s="337"/>
      <c r="R109" s="337"/>
      <c r="S109" s="337"/>
      <c r="T109" s="337"/>
      <c r="U109" s="337"/>
      <c r="V109" s="337"/>
      <c r="W109" s="337"/>
      <c r="X109" s="337"/>
    </row>
    <row r="110" spans="1:24" customHeight="1" ht="16" s="87" customFormat="1">
      <c r="A110" s="562" t="s">
        <v>244</v>
      </c>
      <c r="B110" s="563"/>
      <c r="C110" s="563"/>
      <c r="D110" s="563"/>
      <c r="E110" s="563"/>
      <c r="F110" s="563"/>
      <c r="G110" s="563"/>
      <c r="H110" s="563"/>
      <c r="I110" s="563"/>
      <c r="J110" s="563"/>
      <c r="K110" s="563"/>
      <c r="L110" s="563"/>
      <c r="M110" s="563"/>
      <c r="N110" s="563"/>
      <c r="O110" s="563"/>
      <c r="P110" s="563"/>
      <c r="Q110" s="563"/>
      <c r="R110" s="563"/>
      <c r="S110" s="563"/>
      <c r="T110" s="563"/>
      <c r="U110" s="563"/>
      <c r="V110" s="563"/>
      <c r="W110" s="563"/>
      <c r="X110" s="564"/>
    </row>
    <row r="111" spans="1:24" s="97" customFormat="1">
      <c r="A111" s="565" t="s">
        <v>44</v>
      </c>
      <c r="B111" s="566"/>
      <c r="C111" s="567" t="s">
        <v>238</v>
      </c>
      <c r="D111" s="568"/>
      <c r="E111" s="568"/>
      <c r="F111" s="568"/>
      <c r="G111" s="568"/>
      <c r="H111" s="566"/>
      <c r="I111" s="567" t="s">
        <v>239</v>
      </c>
      <c r="J111" s="568"/>
      <c r="K111" s="568"/>
      <c r="L111" s="568"/>
      <c r="M111" s="568"/>
      <c r="N111" s="568"/>
      <c r="O111" s="568"/>
      <c r="P111" s="568"/>
      <c r="Q111" s="566"/>
      <c r="R111" s="567" t="s">
        <v>240</v>
      </c>
      <c r="S111" s="568"/>
      <c r="T111" s="568"/>
      <c r="U111" s="568"/>
      <c r="V111" s="568"/>
      <c r="W111" s="568"/>
      <c r="X111" s="569"/>
    </row>
    <row r="112" spans="1:24" customHeight="1" ht="30" s="153" customFormat="1">
      <c r="A112" s="555"/>
      <c r="B112" s="556"/>
      <c r="C112" s="557"/>
      <c r="D112" s="558"/>
      <c r="E112" s="558"/>
      <c r="F112" s="558"/>
      <c r="G112" s="558"/>
      <c r="H112" s="559"/>
      <c r="I112" s="560"/>
      <c r="J112" s="558"/>
      <c r="K112" s="558"/>
      <c r="L112" s="558"/>
      <c r="M112" s="558"/>
      <c r="N112" s="558"/>
      <c r="O112" s="558"/>
      <c r="P112" s="558"/>
      <c r="Q112" s="559"/>
      <c r="R112" s="560"/>
      <c r="S112" s="558"/>
      <c r="T112" s="558"/>
      <c r="U112" s="558"/>
      <c r="V112" s="558"/>
      <c r="W112" s="558"/>
      <c r="X112" s="561"/>
    </row>
    <row r="113" spans="1:24" customHeight="1" ht="30" s="153" customFormat="1">
      <c r="A113" s="555"/>
      <c r="B113" s="556"/>
      <c r="C113" s="557"/>
      <c r="D113" s="558"/>
      <c r="E113" s="558"/>
      <c r="F113" s="558"/>
      <c r="G113" s="558"/>
      <c r="H113" s="559"/>
      <c r="I113" s="560"/>
      <c r="J113" s="558"/>
      <c r="K113" s="558"/>
      <c r="L113" s="558"/>
      <c r="M113" s="558"/>
      <c r="N113" s="558"/>
      <c r="O113" s="558"/>
      <c r="P113" s="558"/>
      <c r="Q113" s="559"/>
      <c r="R113" s="560"/>
      <c r="S113" s="558"/>
      <c r="T113" s="558"/>
      <c r="U113" s="558"/>
      <c r="V113" s="558"/>
      <c r="W113" s="558"/>
      <c r="X113" s="561"/>
    </row>
    <row r="114" spans="1:24" customHeight="1" ht="30" s="97" customFormat="1">
      <c r="A114" s="554"/>
      <c r="B114" s="552"/>
      <c r="C114" s="550"/>
      <c r="D114" s="551"/>
      <c r="E114" s="551"/>
      <c r="F114" s="551"/>
      <c r="G114" s="551"/>
      <c r="H114" s="552"/>
      <c r="I114" s="550"/>
      <c r="J114" s="551"/>
      <c r="K114" s="551"/>
      <c r="L114" s="551"/>
      <c r="M114" s="551"/>
      <c r="N114" s="551"/>
      <c r="O114" s="551"/>
      <c r="P114" s="551"/>
      <c r="Q114" s="552"/>
      <c r="R114" s="550"/>
      <c r="S114" s="551"/>
      <c r="T114" s="551"/>
      <c r="U114" s="551"/>
      <c r="V114" s="551"/>
      <c r="W114" s="551"/>
      <c r="X114" s="553"/>
    </row>
    <row r="115" spans="1:24" customHeight="1" ht="13.5" s="97" customFormat="1">
      <c r="A115" s="137"/>
      <c r="B115" s="137"/>
      <c r="C115" s="137"/>
      <c r="D115" s="137"/>
      <c r="E115" s="137"/>
      <c r="F115" s="137"/>
      <c r="G115" s="137"/>
      <c r="H115" s="137"/>
      <c r="I115" s="137"/>
    </row>
    <row r="116" spans="1:24" customHeight="1" ht="13.5" s="97" customFormat="1">
      <c r="A116" s="137"/>
      <c r="B116" s="137"/>
      <c r="C116" s="137"/>
      <c r="D116" s="137"/>
      <c r="E116" s="137"/>
      <c r="F116" s="137"/>
      <c r="G116" s="137"/>
      <c r="H116" s="137"/>
      <c r="I116" s="137"/>
    </row>
    <row r="117" spans="1:24" customHeight="1" ht="18.5" s="97" customFormat="1">
      <c r="A117" s="149" t="s">
        <v>245</v>
      </c>
      <c r="B117" s="150"/>
      <c r="C117" s="150"/>
      <c r="D117" s="150"/>
      <c r="E117" s="150"/>
      <c r="F117" s="150"/>
      <c r="G117" s="150"/>
      <c r="H117" s="150"/>
      <c r="I117" s="150"/>
      <c r="J117" s="151"/>
      <c r="K117" s="151"/>
      <c r="L117" s="151"/>
      <c r="M117" s="151"/>
      <c r="N117" s="151"/>
      <c r="O117" s="151"/>
      <c r="P117" s="151"/>
      <c r="Q117" s="151"/>
      <c r="R117" s="151"/>
      <c r="S117" s="151"/>
      <c r="T117" s="151"/>
      <c r="U117" s="151"/>
      <c r="V117" s="151"/>
      <c r="W117" s="151"/>
      <c r="X117" s="152"/>
    </row>
    <row r="118" spans="1:24" customHeight="1" ht="13" s="97" customFormat="1">
      <c r="A118" s="137"/>
      <c r="B118" s="137"/>
      <c r="C118" s="137"/>
      <c r="D118" s="137"/>
      <c r="E118" s="137"/>
      <c r="F118" s="137"/>
      <c r="G118" s="137"/>
      <c r="H118" s="137"/>
      <c r="I118" s="137"/>
    </row>
    <row r="119" spans="1:24" customHeight="1" ht="13" s="97" customFormat="1">
      <c r="A119" s="137"/>
      <c r="B119" s="137"/>
      <c r="C119" s="137"/>
      <c r="D119" s="137"/>
      <c r="E119" s="137"/>
      <c r="F119" s="137"/>
      <c r="G119" s="137"/>
      <c r="H119" s="137"/>
      <c r="I119" s="137"/>
    </row>
    <row r="120" spans="1:24" customHeight="1" ht="13" s="97" customFormat="1">
      <c r="A120" s="657"/>
      <c r="B120" s="658"/>
      <c r="C120" s="659"/>
      <c r="D120" s="657" t="s">
        <v>246</v>
      </c>
      <c r="E120" s="658"/>
      <c r="F120" s="659"/>
      <c r="G120" s="657" t="s">
        <v>247</v>
      </c>
      <c r="H120" s="658"/>
      <c r="I120" s="659"/>
      <c r="J120" s="657" t="s">
        <v>248</v>
      </c>
      <c r="K120" s="658"/>
      <c r="L120" s="659"/>
      <c r="M120" s="648" t="s">
        <v>249</v>
      </c>
      <c r="N120" s="649"/>
      <c r="O120" s="650"/>
      <c r="P120" s="648" t="s">
        <v>250</v>
      </c>
      <c r="Q120" s="649"/>
      <c r="R120" s="650"/>
      <c r="S120" s="648" t="s">
        <v>251</v>
      </c>
      <c r="T120" s="649"/>
      <c r="U120" s="650"/>
      <c r="V120" s="648" t="s">
        <v>252</v>
      </c>
      <c r="W120" s="649"/>
      <c r="X120" s="650"/>
    </row>
    <row r="121" spans="1:24" customHeight="1" ht="13" s="97" customFormat="1">
      <c r="A121" s="663"/>
      <c r="B121" s="664"/>
      <c r="C121" s="665"/>
      <c r="D121" s="663"/>
      <c r="E121" s="664"/>
      <c r="F121" s="665"/>
      <c r="G121" s="663"/>
      <c r="H121" s="664"/>
      <c r="I121" s="665"/>
      <c r="J121" s="663"/>
      <c r="K121" s="664"/>
      <c r="L121" s="665"/>
      <c r="M121" s="651"/>
      <c r="N121" s="652"/>
      <c r="O121" s="653"/>
      <c r="P121" s="651"/>
      <c r="Q121" s="652"/>
      <c r="R121" s="653"/>
      <c r="S121" s="651"/>
      <c r="T121" s="652"/>
      <c r="U121" s="653"/>
      <c r="V121" s="651"/>
      <c r="W121" s="652"/>
      <c r="X121" s="653"/>
    </row>
    <row r="122" spans="1:24" customHeight="1" ht="13" s="97" customFormat="1">
      <c r="A122" s="660"/>
      <c r="B122" s="661"/>
      <c r="C122" s="662"/>
      <c r="D122" s="660"/>
      <c r="E122" s="661"/>
      <c r="F122" s="662"/>
      <c r="G122" s="660"/>
      <c r="H122" s="661"/>
      <c r="I122" s="662"/>
      <c r="J122" s="660"/>
      <c r="K122" s="661"/>
      <c r="L122" s="662"/>
      <c r="M122" s="654"/>
      <c r="N122" s="655"/>
      <c r="O122" s="656"/>
      <c r="P122" s="654"/>
      <c r="Q122" s="655"/>
      <c r="R122" s="656"/>
      <c r="S122" s="654"/>
      <c r="T122" s="655"/>
      <c r="U122" s="656"/>
      <c r="V122" s="654"/>
      <c r="W122" s="655"/>
      <c r="X122" s="656"/>
    </row>
    <row r="123" spans="1:24" customHeight="1" ht="13" s="97" customFormat="1">
      <c r="A123" s="657" t="s">
        <v>58</v>
      </c>
      <c r="B123" s="658"/>
      <c r="C123" s="659"/>
      <c r="D123" s="657"/>
      <c r="E123" s="658"/>
      <c r="F123" s="659"/>
      <c r="G123" s="657"/>
      <c r="H123" s="658"/>
      <c r="I123" s="659"/>
      <c r="J123" s="657"/>
      <c r="K123" s="658"/>
      <c r="L123" s="659"/>
      <c r="M123" s="657"/>
      <c r="N123" s="658"/>
      <c r="O123" s="659"/>
      <c r="P123" s="648"/>
      <c r="Q123" s="649"/>
      <c r="R123" s="650"/>
      <c r="S123" s="648"/>
      <c r="T123" s="649"/>
      <c r="U123" s="650"/>
      <c r="V123" s="648"/>
      <c r="W123" s="649"/>
      <c r="X123" s="650"/>
    </row>
    <row r="124" spans="1:24" customHeight="1" ht="13" s="97" customFormat="1">
      <c r="A124" s="660"/>
      <c r="B124" s="661"/>
      <c r="C124" s="662"/>
      <c r="D124" s="660"/>
      <c r="E124" s="661"/>
      <c r="F124" s="662"/>
      <c r="G124" s="660"/>
      <c r="H124" s="661"/>
      <c r="I124" s="662"/>
      <c r="J124" s="660"/>
      <c r="K124" s="661"/>
      <c r="L124" s="662"/>
      <c r="M124" s="660"/>
      <c r="N124" s="661"/>
      <c r="O124" s="662"/>
      <c r="P124" s="654"/>
      <c r="Q124" s="655"/>
      <c r="R124" s="656"/>
      <c r="S124" s="654"/>
      <c r="T124" s="655"/>
      <c r="U124" s="656"/>
      <c r="V124" s="654"/>
      <c r="W124" s="655"/>
      <c r="X124" s="656"/>
    </row>
    <row r="125" spans="1:24" customHeight="1" ht="12.75" s="97" customFormat="1">
      <c r="A125" s="657" t="s">
        <v>60</v>
      </c>
      <c r="B125" s="658"/>
      <c r="C125" s="659"/>
      <c r="D125" s="657"/>
      <c r="E125" s="658"/>
      <c r="F125" s="659"/>
      <c r="G125" s="657"/>
      <c r="H125" s="658"/>
      <c r="I125" s="659"/>
      <c r="J125" s="657"/>
      <c r="K125" s="658"/>
      <c r="L125" s="659"/>
      <c r="M125" s="657"/>
      <c r="N125" s="658"/>
      <c r="O125" s="659"/>
      <c r="P125" s="648"/>
      <c r="Q125" s="649"/>
      <c r="R125" s="650"/>
      <c r="S125" s="648"/>
      <c r="T125" s="649"/>
      <c r="U125" s="650"/>
      <c r="V125" s="648"/>
      <c r="W125" s="649"/>
      <c r="X125" s="650"/>
    </row>
    <row r="126" spans="1:24" customHeight="1" ht="13" s="97" customFormat="1">
      <c r="A126" s="660"/>
      <c r="B126" s="661"/>
      <c r="C126" s="662"/>
      <c r="D126" s="660"/>
      <c r="E126" s="661"/>
      <c r="F126" s="662"/>
      <c r="G126" s="660"/>
      <c r="H126" s="661"/>
      <c r="I126" s="662"/>
      <c r="J126" s="660"/>
      <c r="K126" s="661"/>
      <c r="L126" s="662"/>
      <c r="M126" s="660"/>
      <c r="N126" s="661"/>
      <c r="O126" s="662"/>
      <c r="P126" s="654"/>
      <c r="Q126" s="655"/>
      <c r="R126" s="656"/>
      <c r="S126" s="654"/>
      <c r="T126" s="655"/>
      <c r="U126" s="656"/>
      <c r="V126" s="654"/>
      <c r="W126" s="655"/>
      <c r="X126" s="656"/>
    </row>
    <row r="127" spans="1:24" customHeight="1" ht="13" s="97" customFormat="1">
      <c r="A127" s="657" t="s">
        <v>62</v>
      </c>
      <c r="B127" s="658"/>
      <c r="C127" s="659"/>
      <c r="D127" s="675"/>
      <c r="E127" s="676"/>
      <c r="F127" s="677"/>
      <c r="G127" s="675"/>
      <c r="H127" s="676"/>
      <c r="I127" s="677"/>
      <c r="J127" s="657"/>
      <c r="K127" s="658"/>
      <c r="L127" s="659"/>
      <c r="M127" s="657"/>
      <c r="N127" s="658"/>
      <c r="O127" s="659"/>
      <c r="P127" s="648"/>
      <c r="Q127" s="649"/>
      <c r="R127" s="650"/>
      <c r="S127" s="648"/>
      <c r="T127" s="649"/>
      <c r="U127" s="650"/>
      <c r="V127" s="648"/>
      <c r="W127" s="649"/>
      <c r="X127" s="650"/>
    </row>
    <row r="128" spans="1:24" customHeight="1" ht="13" s="97" customFormat="1">
      <c r="A128" s="660"/>
      <c r="B128" s="661"/>
      <c r="C128" s="662"/>
      <c r="D128" s="678"/>
      <c r="E128" s="679"/>
      <c r="F128" s="680"/>
      <c r="G128" s="678"/>
      <c r="H128" s="679"/>
      <c r="I128" s="680"/>
      <c r="J128" s="660"/>
      <c r="K128" s="661"/>
      <c r="L128" s="662"/>
      <c r="M128" s="660"/>
      <c r="N128" s="661"/>
      <c r="O128" s="662"/>
      <c r="P128" s="654"/>
      <c r="Q128" s="655"/>
      <c r="R128" s="656"/>
      <c r="S128" s="654"/>
      <c r="T128" s="655"/>
      <c r="U128" s="656"/>
      <c r="V128" s="654"/>
      <c r="W128" s="655"/>
      <c r="X128" s="656"/>
    </row>
    <row r="129" spans="1:24" customHeight="1" ht="13" s="97" customFormat="1">
      <c r="A129" s="657" t="s">
        <v>253</v>
      </c>
      <c r="B129" s="658"/>
      <c r="C129" s="659"/>
      <c r="D129" s="657"/>
      <c r="E129" s="658"/>
      <c r="F129" s="659"/>
      <c r="G129" s="675"/>
      <c r="H129" s="676"/>
      <c r="I129" s="677"/>
      <c r="J129" s="657"/>
      <c r="K129" s="658"/>
      <c r="L129" s="659"/>
      <c r="M129" s="657"/>
      <c r="N129" s="658"/>
      <c r="O129" s="659"/>
      <c r="P129" s="648"/>
      <c r="Q129" s="649"/>
      <c r="R129" s="650"/>
      <c r="S129" s="648"/>
      <c r="T129" s="649"/>
      <c r="U129" s="650"/>
      <c r="V129" s="648"/>
      <c r="W129" s="649"/>
      <c r="X129" s="650"/>
    </row>
    <row r="130" spans="1:24" customHeight="1" ht="13" s="97" customFormat="1">
      <c r="A130" s="660"/>
      <c r="B130" s="661"/>
      <c r="C130" s="662"/>
      <c r="D130" s="660"/>
      <c r="E130" s="661"/>
      <c r="F130" s="662"/>
      <c r="G130" s="678"/>
      <c r="H130" s="679"/>
      <c r="I130" s="680"/>
      <c r="J130" s="660"/>
      <c r="K130" s="661"/>
      <c r="L130" s="662"/>
      <c r="M130" s="660"/>
      <c r="N130" s="661"/>
      <c r="O130" s="662"/>
      <c r="P130" s="654"/>
      <c r="Q130" s="655"/>
      <c r="R130" s="656"/>
      <c r="S130" s="654"/>
      <c r="T130" s="655"/>
      <c r="U130" s="656"/>
      <c r="V130" s="654"/>
      <c r="W130" s="655"/>
      <c r="X130" s="656"/>
    </row>
    <row r="131" spans="1:24" customHeight="1" ht="13" s="97" customFormat="1">
      <c r="A131" s="657" t="s">
        <v>254</v>
      </c>
      <c r="B131" s="658"/>
      <c r="C131" s="659"/>
      <c r="D131" s="657"/>
      <c r="E131" s="658"/>
      <c r="F131" s="659"/>
      <c r="G131" s="675"/>
      <c r="H131" s="676"/>
      <c r="I131" s="677"/>
      <c r="J131" s="657"/>
      <c r="K131" s="658"/>
      <c r="L131" s="659"/>
      <c r="M131" s="657"/>
      <c r="N131" s="658"/>
      <c r="O131" s="659"/>
      <c r="P131" s="648"/>
      <c r="Q131" s="649"/>
      <c r="R131" s="650"/>
      <c r="S131" s="648"/>
      <c r="T131" s="649"/>
      <c r="U131" s="650"/>
      <c r="V131" s="648"/>
      <c r="W131" s="649"/>
      <c r="X131" s="650"/>
    </row>
    <row r="132" spans="1:24" customHeight="1" ht="13" s="97" customFormat="1">
      <c r="A132" s="660"/>
      <c r="B132" s="661"/>
      <c r="C132" s="662"/>
      <c r="D132" s="660"/>
      <c r="E132" s="661"/>
      <c r="F132" s="662"/>
      <c r="G132" s="678"/>
      <c r="H132" s="679"/>
      <c r="I132" s="680"/>
      <c r="J132" s="660"/>
      <c r="K132" s="661"/>
      <c r="L132" s="662"/>
      <c r="M132" s="660"/>
      <c r="N132" s="661"/>
      <c r="O132" s="662"/>
      <c r="P132" s="654"/>
      <c r="Q132" s="655"/>
      <c r="R132" s="656"/>
      <c r="S132" s="654"/>
      <c r="T132" s="655"/>
      <c r="U132" s="656"/>
      <c r="V132" s="654"/>
      <c r="W132" s="655"/>
      <c r="X132" s="656"/>
    </row>
    <row r="133" spans="1:24" customHeight="1" ht="13" s="97" customFormat="1">
      <c r="A133" s="657" t="s">
        <v>255</v>
      </c>
      <c r="B133" s="658"/>
      <c r="C133" s="659"/>
      <c r="D133" s="675"/>
      <c r="E133" s="676"/>
      <c r="F133" s="677"/>
      <c r="G133" s="675"/>
      <c r="H133" s="676"/>
      <c r="I133" s="677"/>
      <c r="J133" s="657"/>
      <c r="K133" s="658"/>
      <c r="L133" s="659"/>
      <c r="M133" s="657"/>
      <c r="N133" s="658"/>
      <c r="O133" s="659"/>
      <c r="P133" s="648"/>
      <c r="Q133" s="649"/>
      <c r="R133" s="650"/>
      <c r="S133" s="648"/>
      <c r="T133" s="649"/>
      <c r="U133" s="650"/>
      <c r="V133" s="648"/>
      <c r="W133" s="649"/>
      <c r="X133" s="650"/>
    </row>
    <row r="134" spans="1:24" customHeight="1" ht="13" s="97" customFormat="1">
      <c r="A134" s="660"/>
      <c r="B134" s="661"/>
      <c r="C134" s="662"/>
      <c r="D134" s="678"/>
      <c r="E134" s="679"/>
      <c r="F134" s="680"/>
      <c r="G134" s="678"/>
      <c r="H134" s="679"/>
      <c r="I134" s="680"/>
      <c r="J134" s="660"/>
      <c r="K134" s="661"/>
      <c r="L134" s="662"/>
      <c r="M134" s="660"/>
      <c r="N134" s="661"/>
      <c r="O134" s="662"/>
      <c r="P134" s="654"/>
      <c r="Q134" s="655"/>
      <c r="R134" s="656"/>
      <c r="S134" s="654"/>
      <c r="T134" s="655"/>
      <c r="U134" s="656"/>
      <c r="V134" s="654"/>
      <c r="W134" s="655"/>
      <c r="X134" s="656"/>
    </row>
    <row r="135" spans="1:24" customHeight="1" ht="13" s="97" customFormat="1"/>
    <row r="136" spans="1:24" customHeight="1" ht="13" s="97" customFormat="1"/>
    <row r="137" spans="1:24">
      <c r="A137" s="154"/>
      <c r="B137" s="154"/>
      <c r="C137" s="154"/>
      <c r="D137" s="154"/>
      <c r="E137" s="154"/>
      <c r="F137" s="154"/>
      <c r="G137" s="154"/>
      <c r="H137" s="154"/>
      <c r="I137" s="154"/>
      <c r="J137" s="154"/>
      <c r="K137" s="154"/>
      <c r="L137" s="154"/>
      <c r="M137" s="154"/>
      <c r="N137" s="154"/>
      <c r="O137" s="154"/>
      <c r="P137" s="154"/>
      <c r="Q137" s="154"/>
      <c r="R137" s="154"/>
      <c r="S137" s="154"/>
      <c r="T137" s="154"/>
      <c r="U137" s="154"/>
      <c r="V137" s="154"/>
      <c r="W137" s="154"/>
      <c r="X137" s="154"/>
    </row>
    <row r="138" spans="1:24">
      <c r="A138" s="97"/>
      <c r="B138" s="97"/>
      <c r="C138" s="97"/>
      <c r="D138" s="97"/>
      <c r="E138" s="97"/>
      <c r="F138" s="97"/>
      <c r="G138" s="97"/>
      <c r="H138" s="97"/>
      <c r="I138" s="97"/>
      <c r="J138" s="97"/>
      <c r="K138" s="97"/>
      <c r="L138" s="97"/>
      <c r="M138" s="97"/>
      <c r="N138" s="97"/>
      <c r="O138" s="97"/>
      <c r="P138" s="97"/>
      <c r="Q138" s="97"/>
      <c r="R138" s="97"/>
      <c r="S138" s="97"/>
      <c r="T138" s="97"/>
      <c r="U138" s="97"/>
      <c r="V138" s="97"/>
      <c r="W138" s="97"/>
      <c r="X138" s="97"/>
    </row>
    <row r="139" spans="1:24">
      <c r="A139" s="97"/>
      <c r="B139" s="97"/>
      <c r="C139" s="97"/>
      <c r="D139" s="97"/>
      <c r="E139" s="97"/>
      <c r="F139" s="97"/>
      <c r="G139" s="97"/>
      <c r="H139" s="97"/>
      <c r="I139" s="97"/>
      <c r="J139" s="97"/>
      <c r="K139" s="97"/>
      <c r="L139" s="97"/>
      <c r="M139" s="97"/>
      <c r="N139" s="97"/>
      <c r="O139" s="97"/>
      <c r="P139" s="97"/>
      <c r="Q139" s="97"/>
      <c r="R139" s="97"/>
      <c r="S139" s="97"/>
      <c r="T139" s="97"/>
      <c r="U139" s="97"/>
      <c r="V139" s="97"/>
      <c r="W139" s="97"/>
      <c r="X139" s="97"/>
    </row>
    <row r="140" spans="1:24">
      <c r="A140" s="97"/>
      <c r="B140" s="97"/>
      <c r="C140" s="97"/>
      <c r="D140" s="97"/>
      <c r="E140" s="97"/>
      <c r="F140" s="97"/>
      <c r="G140" s="97"/>
      <c r="H140" s="97"/>
      <c r="I140" s="97"/>
      <c r="J140" s="97"/>
      <c r="K140" s="97"/>
      <c r="L140" s="97"/>
      <c r="M140" s="97"/>
      <c r="N140" s="97"/>
      <c r="O140" s="97"/>
      <c r="P140" s="97"/>
      <c r="Q140" s="97"/>
      <c r="R140" s="97"/>
      <c r="S140" s="97"/>
      <c r="T140" s="97"/>
      <c r="U140" s="97"/>
      <c r="V140" s="97"/>
      <c r="W140" s="97"/>
      <c r="X140" s="97"/>
    </row>
    <row r="141" spans="1:24">
      <c r="A141" s="97"/>
      <c r="B141" s="97"/>
      <c r="C141" s="97"/>
      <c r="D141" s="97"/>
      <c r="E141" s="97"/>
      <c r="F141" s="97"/>
      <c r="G141" s="97"/>
      <c r="H141" s="97"/>
      <c r="I141" s="97"/>
      <c r="J141" s="97"/>
      <c r="K141" s="97"/>
      <c r="L141" s="97"/>
      <c r="M141" s="97"/>
      <c r="N141" s="97"/>
      <c r="O141" s="97"/>
      <c r="P141" s="97"/>
      <c r="Q141" s="97"/>
      <c r="R141" s="97"/>
      <c r="S141" s="97"/>
      <c r="T141" s="97"/>
      <c r="U141" s="97"/>
      <c r="V141" s="97"/>
      <c r="W141" s="97"/>
      <c r="X141" s="97"/>
    </row>
    <row r="142" spans="1:24">
      <c r="A142" s="97"/>
      <c r="B142" s="97"/>
      <c r="C142" s="97"/>
      <c r="D142" s="97"/>
      <c r="E142" s="97"/>
      <c r="F142" s="97"/>
      <c r="G142" s="97"/>
      <c r="H142" s="97"/>
      <c r="I142" s="97"/>
      <c r="J142" s="97"/>
      <c r="K142" s="97"/>
      <c r="L142" s="97"/>
      <c r="M142" s="97"/>
      <c r="N142" s="97"/>
      <c r="O142" s="97"/>
      <c r="P142" s="97"/>
      <c r="Q142" s="97"/>
      <c r="R142" s="97"/>
      <c r="S142" s="97"/>
      <c r="T142" s="97"/>
      <c r="U142" s="97"/>
      <c r="V142" s="97"/>
      <c r="W142" s="97"/>
      <c r="X142" s="97"/>
    </row>
    <row r="143" spans="1:24">
      <c r="A143" s="666" t="s">
        <v>256</v>
      </c>
      <c r="B143" s="667"/>
      <c r="C143" s="667"/>
      <c r="D143" s="667"/>
      <c r="E143" s="667"/>
      <c r="F143" s="667"/>
      <c r="G143" s="667"/>
      <c r="H143" s="667"/>
      <c r="I143" s="667"/>
      <c r="J143" s="667"/>
      <c r="K143" s="667"/>
      <c r="L143" s="667"/>
      <c r="M143" s="667"/>
      <c r="N143" s="667"/>
      <c r="O143" s="667"/>
      <c r="P143" s="667"/>
      <c r="Q143" s="667"/>
      <c r="R143" s="667"/>
      <c r="S143" s="667"/>
      <c r="T143" s="667"/>
      <c r="U143" s="667"/>
      <c r="V143" s="667"/>
      <c r="W143" s="668"/>
      <c r="X143" s="97"/>
    </row>
    <row r="144" spans="1:24">
      <c r="A144" s="669"/>
      <c r="B144" s="670"/>
      <c r="C144" s="670"/>
      <c r="D144" s="670"/>
      <c r="E144" s="670"/>
      <c r="F144" s="670"/>
      <c r="G144" s="670"/>
      <c r="H144" s="670"/>
      <c r="I144" s="670"/>
      <c r="J144" s="670"/>
      <c r="K144" s="670"/>
      <c r="L144" s="670"/>
      <c r="M144" s="670"/>
      <c r="N144" s="670"/>
      <c r="O144" s="670"/>
      <c r="P144" s="670"/>
      <c r="Q144" s="670"/>
      <c r="R144" s="670"/>
      <c r="S144" s="670"/>
      <c r="T144" s="670"/>
      <c r="U144" s="670"/>
      <c r="V144" s="670"/>
      <c r="W144" s="671"/>
      <c r="X144" s="97"/>
    </row>
    <row r="145" spans="1:24">
      <c r="A145" s="669"/>
      <c r="B145" s="670"/>
      <c r="C145" s="670"/>
      <c r="D145" s="670"/>
      <c r="E145" s="670"/>
      <c r="F145" s="670"/>
      <c r="G145" s="670"/>
      <c r="H145" s="670"/>
      <c r="I145" s="670"/>
      <c r="J145" s="670"/>
      <c r="K145" s="670"/>
      <c r="L145" s="670"/>
      <c r="M145" s="670"/>
      <c r="N145" s="670"/>
      <c r="O145" s="670"/>
      <c r="P145" s="670"/>
      <c r="Q145" s="670"/>
      <c r="R145" s="670"/>
      <c r="S145" s="670"/>
      <c r="T145" s="670"/>
      <c r="U145" s="670"/>
      <c r="V145" s="670"/>
      <c r="W145" s="671"/>
      <c r="X145" s="97"/>
    </row>
    <row r="146" spans="1:24">
      <c r="A146" s="669"/>
      <c r="B146" s="670"/>
      <c r="C146" s="670"/>
      <c r="D146" s="670"/>
      <c r="E146" s="670"/>
      <c r="F146" s="670"/>
      <c r="G146" s="670"/>
      <c r="H146" s="670"/>
      <c r="I146" s="670"/>
      <c r="J146" s="670"/>
      <c r="K146" s="670"/>
      <c r="L146" s="670"/>
      <c r="M146" s="670"/>
      <c r="N146" s="670"/>
      <c r="O146" s="670"/>
      <c r="P146" s="670"/>
      <c r="Q146" s="670"/>
      <c r="R146" s="670"/>
      <c r="S146" s="670"/>
      <c r="T146" s="670"/>
      <c r="U146" s="670"/>
      <c r="V146" s="670"/>
      <c r="W146" s="671"/>
      <c r="X146" s="97"/>
    </row>
    <row r="147" spans="1:24">
      <c r="A147" s="669"/>
      <c r="B147" s="670"/>
      <c r="C147" s="670"/>
      <c r="D147" s="670"/>
      <c r="E147" s="670"/>
      <c r="F147" s="670"/>
      <c r="G147" s="670"/>
      <c r="H147" s="670"/>
      <c r="I147" s="670"/>
      <c r="J147" s="670"/>
      <c r="K147" s="670"/>
      <c r="L147" s="670"/>
      <c r="M147" s="670"/>
      <c r="N147" s="670"/>
      <c r="O147" s="670"/>
      <c r="P147" s="670"/>
      <c r="Q147" s="670"/>
      <c r="R147" s="670"/>
      <c r="S147" s="670"/>
      <c r="T147" s="670"/>
      <c r="U147" s="670"/>
      <c r="V147" s="670"/>
      <c r="W147" s="671"/>
      <c r="X147" s="97"/>
    </row>
    <row r="148" spans="1:24">
      <c r="A148" s="669"/>
      <c r="B148" s="670"/>
      <c r="C148" s="670"/>
      <c r="D148" s="670"/>
      <c r="E148" s="670"/>
      <c r="F148" s="670"/>
      <c r="G148" s="670"/>
      <c r="H148" s="670"/>
      <c r="I148" s="670"/>
      <c r="J148" s="670"/>
      <c r="K148" s="670"/>
      <c r="L148" s="670"/>
      <c r="M148" s="670"/>
      <c r="N148" s="670"/>
      <c r="O148" s="670"/>
      <c r="P148" s="670"/>
      <c r="Q148" s="670"/>
      <c r="R148" s="670"/>
      <c r="S148" s="670"/>
      <c r="T148" s="670"/>
      <c r="U148" s="670"/>
      <c r="V148" s="670"/>
      <c r="W148" s="671"/>
      <c r="X148" s="97"/>
    </row>
    <row r="149" spans="1:24">
      <c r="A149" s="669"/>
      <c r="B149" s="670"/>
      <c r="C149" s="670"/>
      <c r="D149" s="670"/>
      <c r="E149" s="670"/>
      <c r="F149" s="670"/>
      <c r="G149" s="670"/>
      <c r="H149" s="670"/>
      <c r="I149" s="670"/>
      <c r="J149" s="670"/>
      <c r="K149" s="670"/>
      <c r="L149" s="670"/>
      <c r="M149" s="670"/>
      <c r="N149" s="670"/>
      <c r="O149" s="670"/>
      <c r="P149" s="670"/>
      <c r="Q149" s="670"/>
      <c r="R149" s="670"/>
      <c r="S149" s="670"/>
      <c r="T149" s="670"/>
      <c r="U149" s="670"/>
      <c r="V149" s="670"/>
      <c r="W149" s="671"/>
      <c r="X149" s="97"/>
    </row>
    <row r="150" spans="1:24">
      <c r="A150" s="669"/>
      <c r="B150" s="670"/>
      <c r="C150" s="670"/>
      <c r="D150" s="670"/>
      <c r="E150" s="670"/>
      <c r="F150" s="670"/>
      <c r="G150" s="670"/>
      <c r="H150" s="670"/>
      <c r="I150" s="670"/>
      <c r="J150" s="670"/>
      <c r="K150" s="670"/>
      <c r="L150" s="670"/>
      <c r="M150" s="670"/>
      <c r="N150" s="670"/>
      <c r="O150" s="670"/>
      <c r="P150" s="670"/>
      <c r="Q150" s="670"/>
      <c r="R150" s="670"/>
      <c r="S150" s="670"/>
      <c r="T150" s="670"/>
      <c r="U150" s="670"/>
      <c r="V150" s="670"/>
      <c r="W150" s="671"/>
      <c r="X150" s="97"/>
    </row>
    <row r="151" spans="1:24">
      <c r="A151" s="669"/>
      <c r="B151" s="670"/>
      <c r="C151" s="670"/>
      <c r="D151" s="670"/>
      <c r="E151" s="670"/>
      <c r="F151" s="670"/>
      <c r="G151" s="670"/>
      <c r="H151" s="670"/>
      <c r="I151" s="670"/>
      <c r="J151" s="670"/>
      <c r="K151" s="670"/>
      <c r="L151" s="670"/>
      <c r="M151" s="670"/>
      <c r="N151" s="670"/>
      <c r="O151" s="670"/>
      <c r="P151" s="670"/>
      <c r="Q151" s="670"/>
      <c r="R151" s="670"/>
      <c r="S151" s="670"/>
      <c r="T151" s="670"/>
      <c r="U151" s="670"/>
      <c r="V151" s="670"/>
      <c r="W151" s="671"/>
      <c r="X151" s="97"/>
    </row>
    <row r="152" spans="1:24">
      <c r="A152" s="669"/>
      <c r="B152" s="670"/>
      <c r="C152" s="670"/>
      <c r="D152" s="670"/>
      <c r="E152" s="670"/>
      <c r="F152" s="670"/>
      <c r="G152" s="670"/>
      <c r="H152" s="670"/>
      <c r="I152" s="670"/>
      <c r="J152" s="670"/>
      <c r="K152" s="670"/>
      <c r="L152" s="670"/>
      <c r="M152" s="670"/>
      <c r="N152" s="670"/>
      <c r="O152" s="670"/>
      <c r="P152" s="670"/>
      <c r="Q152" s="670"/>
      <c r="R152" s="670"/>
      <c r="S152" s="670"/>
      <c r="T152" s="670"/>
      <c r="U152" s="670"/>
      <c r="V152" s="670"/>
      <c r="W152" s="671"/>
      <c r="X152" s="97"/>
    </row>
    <row r="153" spans="1:24">
      <c r="A153" s="669"/>
      <c r="B153" s="670"/>
      <c r="C153" s="670"/>
      <c r="D153" s="670"/>
      <c r="E153" s="670"/>
      <c r="F153" s="670"/>
      <c r="G153" s="670"/>
      <c r="H153" s="670"/>
      <c r="I153" s="670"/>
      <c r="J153" s="670"/>
      <c r="K153" s="670"/>
      <c r="L153" s="670"/>
      <c r="M153" s="670"/>
      <c r="N153" s="670"/>
      <c r="O153" s="670"/>
      <c r="P153" s="670"/>
      <c r="Q153" s="670"/>
      <c r="R153" s="670"/>
      <c r="S153" s="670"/>
      <c r="T153" s="670"/>
      <c r="U153" s="670"/>
      <c r="V153" s="670"/>
      <c r="W153" s="671"/>
      <c r="X153" s="97"/>
    </row>
    <row r="154" spans="1:24">
      <c r="A154" s="672"/>
      <c r="B154" s="673"/>
      <c r="C154" s="673"/>
      <c r="D154" s="673"/>
      <c r="E154" s="673"/>
      <c r="F154" s="673"/>
      <c r="G154" s="673"/>
      <c r="H154" s="673"/>
      <c r="I154" s="673"/>
      <c r="J154" s="673"/>
      <c r="K154" s="673"/>
      <c r="L154" s="673"/>
      <c r="M154" s="673"/>
      <c r="N154" s="673"/>
      <c r="O154" s="673"/>
      <c r="P154" s="673"/>
      <c r="Q154" s="673"/>
      <c r="R154" s="673"/>
      <c r="S154" s="673"/>
      <c r="T154" s="673"/>
      <c r="U154" s="673"/>
      <c r="V154" s="673"/>
      <c r="W154" s="674"/>
      <c r="X154" s="97"/>
    </row>
  </sheetData>
  <sheetProtection formatCells="0" formatColumns="0" formatRows="0" insertColumns="0" insertRows="0" insertHyperlinks="0" deleteColumns="0" deleteRows="0" sort="0" autoFilter="0" pivotTables="0"/>
  <mergeCells>
    <mergeCell ref="V133:X134"/>
    <mergeCell ref="S125:U126"/>
    <mergeCell ref="V125:X126"/>
    <mergeCell ref="A127:C128"/>
    <mergeCell ref="D127:F128"/>
    <mergeCell ref="G127:I128"/>
    <mergeCell ref="J127:L128"/>
    <mergeCell ref="M127:O128"/>
    <mergeCell ref="S127:U128"/>
    <mergeCell ref="V127:X128"/>
    <mergeCell ref="P125:R126"/>
    <mergeCell ref="P127:R128"/>
    <mergeCell ref="A125:C126"/>
    <mergeCell ref="D125:F126"/>
    <mergeCell ref="G125:I126"/>
    <mergeCell ref="J125:L126"/>
    <mergeCell ref="M125:O126"/>
    <mergeCell ref="A143:W154"/>
    <mergeCell ref="P133:R134"/>
    <mergeCell ref="A133:C134"/>
    <mergeCell ref="D133:F134"/>
    <mergeCell ref="G133:I134"/>
    <mergeCell ref="J133:L134"/>
    <mergeCell ref="M133:O134"/>
    <mergeCell ref="S129:U130"/>
    <mergeCell ref="V129:X130"/>
    <mergeCell ref="A131:C132"/>
    <mergeCell ref="D131:F132"/>
    <mergeCell ref="G131:I132"/>
    <mergeCell ref="J131:L132"/>
    <mergeCell ref="M131:O132"/>
    <mergeCell ref="S131:U132"/>
    <mergeCell ref="V131:X132"/>
    <mergeCell ref="P129:R130"/>
    <mergeCell ref="P131:R132"/>
    <mergeCell ref="A129:C130"/>
    <mergeCell ref="D129:F130"/>
    <mergeCell ref="G129:I130"/>
    <mergeCell ref="J129:L130"/>
    <mergeCell ref="M129:O130"/>
    <mergeCell ref="S133:U134"/>
    <mergeCell ref="P120:R122"/>
    <mergeCell ref="S120:U122"/>
    <mergeCell ref="V120:X122"/>
    <mergeCell ref="A123:C124"/>
    <mergeCell ref="D123:F124"/>
    <mergeCell ref="G123:I124"/>
    <mergeCell ref="J123:L124"/>
    <mergeCell ref="M123:O124"/>
    <mergeCell ref="S123:U124"/>
    <mergeCell ref="V123:X124"/>
    <mergeCell ref="P123:R124"/>
    <mergeCell ref="A120:C122"/>
    <mergeCell ref="D120:F122"/>
    <mergeCell ref="G120:I122"/>
    <mergeCell ref="J120:L122"/>
    <mergeCell ref="M120:O122"/>
    <mergeCell ref="A21:G23"/>
    <mergeCell ref="A18:G20"/>
    <mergeCell ref="A15:G17"/>
    <mergeCell ref="A86:X86"/>
    <mergeCell ref="A87:B87"/>
    <mergeCell ref="C87:H87"/>
    <mergeCell ref="I87:Q87"/>
    <mergeCell ref="R87:X87"/>
    <mergeCell ref="L73:M75"/>
    <mergeCell ref="N73:O75"/>
    <mergeCell ref="P73:X75"/>
    <mergeCell ref="P70:X72"/>
    <mergeCell ref="J54:K56"/>
    <mergeCell ref="L54:M56"/>
    <mergeCell ref="N54:O56"/>
    <mergeCell ref="P54:X56"/>
    <mergeCell ref="J51:K53"/>
    <mergeCell ref="L51:M53"/>
    <mergeCell ref="N51:O53"/>
    <mergeCell ref="P51:X53"/>
    <mergeCell ref="J80:O82"/>
    <mergeCell ref="A62:X62"/>
    <mergeCell ref="J64:K66"/>
    <mergeCell ref="N64:O66"/>
    <mergeCell ref="A30:G32"/>
    <mergeCell ref="A27:G29"/>
    <mergeCell ref="A24:G26"/>
    <mergeCell ref="A51:G53"/>
    <mergeCell ref="A48:G50"/>
    <mergeCell ref="A45:G47"/>
    <mergeCell ref="A42:G44"/>
    <mergeCell ref="A39:G41"/>
    <mergeCell ref="A57:G59"/>
    <mergeCell ref="A54:G56"/>
    <mergeCell ref="A36:G38"/>
    <mergeCell ref="A33:G35"/>
    <mergeCell ref="A70:G72"/>
    <mergeCell ref="H70:I72"/>
    <mergeCell ref="H73:I75"/>
    <mergeCell ref="H54:I56"/>
    <mergeCell ref="A73:G75"/>
    <mergeCell ref="J73:K75"/>
    <mergeCell ref="L70:M72"/>
    <mergeCell ref="J70:K72"/>
    <mergeCell ref="N70:O72"/>
    <mergeCell ref="A64:G66"/>
    <mergeCell ref="H64:I66"/>
    <mergeCell ref="L64:M66"/>
    <mergeCell ref="H57:I59"/>
    <mergeCell ref="J57:K59"/>
    <mergeCell ref="L57:M59"/>
    <mergeCell ref="N57:O59"/>
    <mergeCell ref="A67:G69"/>
    <mergeCell ref="J67:K69"/>
    <mergeCell ref="N67:O69"/>
    <mergeCell ref="P48:X50"/>
    <mergeCell ref="H45:I47"/>
    <mergeCell ref="J45:K47"/>
    <mergeCell ref="L45:M47"/>
    <mergeCell ref="N45:O47"/>
    <mergeCell ref="P45:X47"/>
    <mergeCell ref="L67:M69"/>
    <mergeCell ref="H67:I69"/>
    <mergeCell ref="P57:X59"/>
    <mergeCell ref="H51:I53"/>
    <mergeCell ref="H48:I50"/>
    <mergeCell ref="P64:X66"/>
    <mergeCell ref="P67:X69"/>
    <mergeCell ref="J48:K50"/>
    <mergeCell ref="L48:M50"/>
    <mergeCell ref="N48:O50"/>
    <mergeCell ref="P42:X44"/>
    <mergeCell ref="H39:I41"/>
    <mergeCell ref="J39:K41"/>
    <mergeCell ref="L39:M41"/>
    <mergeCell ref="N39:O41"/>
    <mergeCell ref="P39:X41"/>
    <mergeCell ref="H42:I44"/>
    <mergeCell ref="J36:K38"/>
    <mergeCell ref="L36:M38"/>
    <mergeCell ref="N36:O38"/>
    <mergeCell ref="P36:X38"/>
    <mergeCell ref="J42:K44"/>
    <mergeCell ref="L42:M44"/>
    <mergeCell ref="N42:O44"/>
    <mergeCell ref="P33:X35"/>
    <mergeCell ref="H36:I38"/>
    <mergeCell ref="J30:K32"/>
    <mergeCell ref="L30:M32"/>
    <mergeCell ref="N30:O32"/>
    <mergeCell ref="P30:X32"/>
    <mergeCell ref="H27:I29"/>
    <mergeCell ref="J27:K29"/>
    <mergeCell ref="L27:M29"/>
    <mergeCell ref="N27:O29"/>
    <mergeCell ref="P27:X29"/>
    <mergeCell ref="H30:I32"/>
    <mergeCell ref="H33:I35"/>
    <mergeCell ref="J33:K35"/>
    <mergeCell ref="L33:M35"/>
    <mergeCell ref="N33:O35"/>
    <mergeCell ref="H18:I20"/>
    <mergeCell ref="J18:K20"/>
    <mergeCell ref="L18:M20"/>
    <mergeCell ref="N18:O20"/>
    <mergeCell ref="P18:X20"/>
    <mergeCell ref="J24:K26"/>
    <mergeCell ref="L24:M26"/>
    <mergeCell ref="N24:O26"/>
    <mergeCell ref="P24:X26"/>
    <mergeCell ref="H21:I23"/>
    <mergeCell ref="J21:K23"/>
    <mergeCell ref="L21:M23"/>
    <mergeCell ref="N21:O23"/>
    <mergeCell ref="P21:X23"/>
    <mergeCell ref="H24:I26"/>
    <mergeCell ref="H4:N4"/>
    <mergeCell ref="E5:K5"/>
    <mergeCell ref="E6:K6"/>
    <mergeCell ref="E7:I7"/>
    <mergeCell ref="O7:R7"/>
    <mergeCell ref="D8:I8"/>
    <mergeCell ref="H15:I17"/>
    <mergeCell ref="A1:X2"/>
    <mergeCell ref="J15:K17"/>
    <mergeCell ref="L15:M17"/>
    <mergeCell ref="N15:O17"/>
    <mergeCell ref="P15:X17"/>
    <mergeCell ref="A88:B88"/>
    <mergeCell ref="C88:H88"/>
    <mergeCell ref="I88:Q88"/>
    <mergeCell ref="R88:X88"/>
    <mergeCell ref="A94:B94"/>
    <mergeCell ref="C94:H94"/>
    <mergeCell ref="I94:Q94"/>
    <mergeCell ref="R94:X94"/>
    <mergeCell ref="I89:Q89"/>
    <mergeCell ref="R89:X89"/>
    <mergeCell ref="A89:B89"/>
    <mergeCell ref="C89:H89"/>
    <mergeCell ref="A90:X91"/>
    <mergeCell ref="A92:X92"/>
    <mergeCell ref="A93:B93"/>
    <mergeCell ref="C93:H93"/>
    <mergeCell ref="I93:Q93"/>
    <mergeCell ref="R93:X93"/>
    <mergeCell ref="A95:B95"/>
    <mergeCell ref="C95:H95"/>
    <mergeCell ref="I95:Q95"/>
    <mergeCell ref="R95:X95"/>
    <mergeCell ref="A100:B100"/>
    <mergeCell ref="C100:H100"/>
    <mergeCell ref="I100:Q100"/>
    <mergeCell ref="R100:X100"/>
    <mergeCell ref="C99:H99"/>
    <mergeCell ref="I99:Q99"/>
    <mergeCell ref="R99:X99"/>
    <mergeCell ref="A96:X97"/>
    <mergeCell ref="A98:X98"/>
    <mergeCell ref="A99:B99"/>
    <mergeCell ref="A101:B101"/>
    <mergeCell ref="C101:H101"/>
    <mergeCell ref="I101:Q101"/>
    <mergeCell ref="R101:X101"/>
    <mergeCell ref="A106:B106"/>
    <mergeCell ref="C106:H106"/>
    <mergeCell ref="I106:Q106"/>
    <mergeCell ref="R106:X106"/>
    <mergeCell ref="A102:X103"/>
    <mergeCell ref="A104:X104"/>
    <mergeCell ref="A105:B105"/>
    <mergeCell ref="C105:H105"/>
    <mergeCell ref="I105:Q105"/>
    <mergeCell ref="R105:X105"/>
    <mergeCell ref="I114:Q114"/>
    <mergeCell ref="R114:X114"/>
    <mergeCell ref="A107:B107"/>
    <mergeCell ref="C107:H107"/>
    <mergeCell ref="I107:Q107"/>
    <mergeCell ref="R107:X107"/>
    <mergeCell ref="A112:B112"/>
    <mergeCell ref="C112:H112"/>
    <mergeCell ref="I112:Q112"/>
    <mergeCell ref="R112:X112"/>
    <mergeCell ref="A113:B113"/>
    <mergeCell ref="C113:H113"/>
    <mergeCell ref="I113:Q113"/>
    <mergeCell ref="R113:X113"/>
    <mergeCell ref="A108:X109"/>
    <mergeCell ref="A110:X110"/>
    <mergeCell ref="A111:B111"/>
    <mergeCell ref="C111:H111"/>
    <mergeCell ref="I111:Q111"/>
    <mergeCell ref="R111:X111"/>
    <mergeCell ref="A114:B114"/>
    <mergeCell ref="C114:H114"/>
  </mergeCells>
  <printOptions gridLines="false" gridLinesSet="true"/>
  <pageMargins left="0.7" right="0.7" top="0.75" bottom="0.75" header="0.3" footer="0.3"/>
  <pageSetup paperSize="9" orientation="landscape" scale="93" fitToHeight="0" fitToWidth="1" pageOrder="downThenOver" r:id="rId1ps"/>
  <headerFooter differentOddEven="false" differentFirst="false" scaleWithDoc="true" alignWithMargins="true">
    <oddHeader/>
    <oddFooter/>
    <evenHeader/>
    <evenFooter/>
    <firstHeader/>
    <firstFooter/>
  </headerFooter>
  <tableParts count="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L128"/>
  <sheetViews>
    <sheetView tabSelected="0" workbookViewId="0" showGridLines="true" showRowColHeaders="1">
      <selection activeCell="N4" sqref="N4"/>
    </sheetView>
  </sheetViews>
  <sheetFormatPr defaultRowHeight="14.4" outlineLevelRow="0" outlineLevelCol="0"/>
  <cols>
    <col min="1" max="1" width="48" customWidth="true" style="0"/>
    <col min="4" max="4" width="10.453125" customWidth="true" style="0"/>
    <col min="5" max="5" width="12.81640625" customWidth="true" style="0"/>
  </cols>
  <sheetData>
    <row r="1" spans="1:12" customHeight="1" ht="39">
      <c r="A1" s="685" t="s">
        <v>257</v>
      </c>
      <c r="B1" s="685"/>
      <c r="C1" s="685"/>
      <c r="E1" s="686" t="s">
        <v>258</v>
      </c>
      <c r="F1" s="688" t="s">
        <v>259</v>
      </c>
      <c r="G1" s="689"/>
      <c r="H1" s="690" t="s">
        <v>260</v>
      </c>
      <c r="I1" s="690"/>
      <c r="J1" s="690"/>
      <c r="K1" s="690"/>
      <c r="L1" s="690"/>
    </row>
    <row r="2" spans="1:12" customHeight="1" ht="15">
      <c r="E2" s="687"/>
      <c r="F2" s="158" t="s">
        <v>261</v>
      </c>
      <c r="G2" s="158" t="s">
        <v>262</v>
      </c>
      <c r="H2" s="158" t="s">
        <v>263</v>
      </c>
      <c r="I2" s="158" t="s">
        <v>264</v>
      </c>
      <c r="J2" s="158" t="s">
        <v>265</v>
      </c>
      <c r="K2" s="159" t="s">
        <v>266</v>
      </c>
      <c r="L2" s="159" t="s">
        <v>267</v>
      </c>
    </row>
    <row r="3" spans="1:12" customHeight="1" ht="36.5">
      <c r="A3" s="160" t="s">
        <v>268</v>
      </c>
      <c r="B3" s="691"/>
      <c r="C3" s="691"/>
      <c r="E3" s="161" t="s">
        <v>269</v>
      </c>
      <c r="F3" s="162"/>
      <c r="G3" s="162"/>
      <c r="H3" s="162"/>
      <c r="I3" s="162"/>
      <c r="J3" s="162"/>
      <c r="K3" s="162"/>
      <c r="L3" s="162"/>
    </row>
    <row r="4" spans="1:12" customHeight="1" ht="36.5">
      <c r="A4" s="163"/>
      <c r="E4" s="164" t="s">
        <v>270</v>
      </c>
      <c r="F4" s="162"/>
      <c r="G4" s="162"/>
      <c r="H4" s="162"/>
      <c r="I4" s="162"/>
      <c r="J4" s="162"/>
      <c r="K4" s="162"/>
      <c r="L4" s="162"/>
    </row>
    <row r="5" spans="1:12" customHeight="1" ht="24.5">
      <c r="A5" s="165" t="s">
        <v>271</v>
      </c>
      <c r="B5" s="166"/>
      <c r="C5" s="166"/>
      <c r="E5" s="164" t="s">
        <v>272</v>
      </c>
      <c r="F5" s="162"/>
      <c r="G5" s="162"/>
      <c r="H5" s="162"/>
      <c r="I5" s="162"/>
      <c r="J5" s="162"/>
      <c r="K5" s="162"/>
      <c r="L5" s="162"/>
    </row>
    <row r="6" spans="1:12" customHeight="1" ht="52.5">
      <c r="A6" s="167" t="s">
        <v>273</v>
      </c>
      <c r="B6" s="168"/>
      <c r="C6" s="168"/>
      <c r="E6" s="164" t="s">
        <v>274</v>
      </c>
      <c r="F6" s="162"/>
      <c r="G6" s="162"/>
      <c r="H6" s="162"/>
      <c r="I6" s="162"/>
      <c r="J6" s="162"/>
      <c r="K6" s="162"/>
      <c r="L6" s="162"/>
    </row>
    <row r="7" spans="1:12" customHeight="1" ht="36.5">
      <c r="A7" s="163"/>
      <c r="E7" s="164" t="s">
        <v>275</v>
      </c>
      <c r="F7" s="162"/>
      <c r="G7" s="162"/>
      <c r="H7" s="162"/>
      <c r="I7" s="162"/>
      <c r="J7" s="162"/>
      <c r="K7" s="162"/>
      <c r="L7" s="162"/>
    </row>
    <row r="8" spans="1:12" customHeight="1" ht="24.5">
      <c r="A8" s="684" t="s">
        <v>276</v>
      </c>
      <c r="B8" s="684"/>
      <c r="C8" s="684"/>
      <c r="E8" s="164" t="s">
        <v>277</v>
      </c>
      <c r="F8" s="162"/>
      <c r="G8" s="162"/>
      <c r="H8" s="162"/>
      <c r="I8" s="162"/>
      <c r="J8" s="162"/>
      <c r="K8" s="162"/>
      <c r="L8" s="162"/>
    </row>
    <row r="9" spans="1:12" customHeight="1" ht="24.5">
      <c r="A9" s="683" t="s">
        <v>278</v>
      </c>
      <c r="B9" s="683"/>
      <c r="C9" s="683"/>
      <c r="E9" s="164" t="s">
        <v>279</v>
      </c>
      <c r="F9" s="162"/>
      <c r="G9" s="162"/>
      <c r="H9" s="162"/>
      <c r="I9" s="162"/>
      <c r="J9" s="162"/>
      <c r="K9" s="162"/>
      <c r="L9" s="162"/>
    </row>
    <row r="10" spans="1:12" customHeight="1" ht="24.5">
      <c r="A10" s="683" t="s">
        <v>280</v>
      </c>
      <c r="B10" s="683"/>
      <c r="C10" s="683"/>
      <c r="E10" s="164" t="s">
        <v>281</v>
      </c>
      <c r="F10" s="162"/>
      <c r="G10" s="162"/>
      <c r="H10" s="162"/>
      <c r="I10" s="162"/>
      <c r="J10" s="162"/>
      <c r="K10" s="162"/>
      <c r="L10" s="162"/>
    </row>
    <row r="11" spans="1:12" customHeight="1" ht="36.75">
      <c r="A11" s="682" t="s">
        <v>282</v>
      </c>
      <c r="B11" s="682"/>
      <c r="C11" s="682"/>
      <c r="E11" s="164" t="s">
        <v>283</v>
      </c>
      <c r="F11" s="162"/>
      <c r="G11" s="162"/>
      <c r="H11" s="162"/>
      <c r="I11" s="162"/>
      <c r="J11" s="162"/>
      <c r="K11" s="162"/>
      <c r="L11" s="162"/>
    </row>
    <row r="12" spans="1:12" customHeight="1" ht="48.5">
      <c r="A12" s="682"/>
      <c r="B12" s="682"/>
      <c r="C12" s="682"/>
      <c r="E12" s="164" t="s">
        <v>284</v>
      </c>
      <c r="F12" s="162"/>
      <c r="G12" s="162"/>
      <c r="H12" s="162"/>
      <c r="I12" s="162"/>
      <c r="J12" s="162"/>
      <c r="K12" s="162"/>
      <c r="L12" s="162"/>
    </row>
    <row r="13" spans="1:12" customHeight="1" ht="24.5">
      <c r="A13" s="683" t="s">
        <v>285</v>
      </c>
      <c r="B13" s="683"/>
      <c r="C13" s="683"/>
      <c r="E13" s="164" t="s">
        <v>286</v>
      </c>
      <c r="F13" s="162"/>
      <c r="G13" s="162"/>
      <c r="H13" s="162"/>
      <c r="I13" s="162"/>
      <c r="J13" s="162"/>
      <c r="K13" s="162"/>
      <c r="L13" s="162"/>
    </row>
    <row r="14" spans="1:12" customHeight="1" ht="24.5">
      <c r="A14" s="682" t="s">
        <v>287</v>
      </c>
      <c r="B14" s="682"/>
      <c r="C14" s="682"/>
      <c r="E14" s="164" t="s">
        <v>288</v>
      </c>
      <c r="F14" s="162"/>
      <c r="G14" s="162"/>
      <c r="H14" s="162"/>
      <c r="I14" s="162"/>
      <c r="J14" s="162"/>
      <c r="K14" s="162"/>
      <c r="L14" s="162"/>
    </row>
    <row r="15" spans="1:12" customHeight="1" ht="24.5">
      <c r="A15" s="169"/>
      <c r="E15" s="164" t="s">
        <v>289</v>
      </c>
      <c r="F15" s="162"/>
      <c r="G15" s="162"/>
      <c r="H15" s="162"/>
      <c r="I15" s="162"/>
      <c r="J15" s="162"/>
      <c r="K15" s="162"/>
      <c r="L15" s="162"/>
    </row>
    <row r="16" spans="1:12" customHeight="1" ht="24.5">
      <c r="A16" s="681" t="s">
        <v>290</v>
      </c>
      <c r="B16" s="681"/>
      <c r="C16" s="681"/>
      <c r="E16" s="164" t="s">
        <v>291</v>
      </c>
      <c r="F16" s="162"/>
      <c r="G16" s="162"/>
      <c r="H16" s="162"/>
      <c r="I16" s="162"/>
      <c r="J16" s="162"/>
      <c r="K16" s="162"/>
      <c r="L16" s="162"/>
    </row>
    <row r="17" spans="1:12" customHeight="1" ht="36.5">
      <c r="A17" s="682" t="s">
        <v>292</v>
      </c>
      <c r="B17" s="682"/>
      <c r="C17" s="682"/>
      <c r="E17" s="164" t="s">
        <v>293</v>
      </c>
      <c r="F17" s="162"/>
      <c r="G17" s="162"/>
      <c r="H17" s="162"/>
      <c r="I17" s="162"/>
      <c r="J17" s="162"/>
      <c r="K17" s="162"/>
      <c r="L17" s="162"/>
    </row>
    <row r="18" spans="1:12" customHeight="1" ht="24.5">
      <c r="A18" s="682" t="s">
        <v>294</v>
      </c>
      <c r="B18" s="682"/>
      <c r="C18" s="682"/>
      <c r="E18" s="164" t="s">
        <v>295</v>
      </c>
      <c r="F18" s="162"/>
      <c r="G18" s="162"/>
      <c r="H18" s="162"/>
      <c r="I18" s="162"/>
      <c r="J18" s="162"/>
      <c r="K18" s="162"/>
      <c r="L18" s="162"/>
    </row>
    <row r="19" spans="1:12" customHeight="1" ht="15">
      <c r="A19" s="169"/>
      <c r="E19" s="164" t="s">
        <v>296</v>
      </c>
      <c r="F19" s="162"/>
      <c r="G19" s="162"/>
      <c r="H19" s="162"/>
      <c r="I19" s="162"/>
      <c r="J19" s="162"/>
      <c r="K19" s="162"/>
      <c r="L19" s="162"/>
    </row>
    <row r="20" spans="1:12" customHeight="1" ht="24.5">
      <c r="A20" s="681" t="s">
        <v>297</v>
      </c>
      <c r="B20" s="681"/>
      <c r="C20" s="681"/>
      <c r="E20" s="170" t="s">
        <v>298</v>
      </c>
      <c r="F20" s="162"/>
      <c r="G20" s="162"/>
      <c r="H20" s="162"/>
      <c r="I20" s="162"/>
      <c r="J20" s="162"/>
      <c r="K20" s="162"/>
      <c r="L20" s="162"/>
    </row>
    <row r="21" spans="1:12" customHeight="1" ht="36.5">
      <c r="A21" s="682" t="s">
        <v>299</v>
      </c>
      <c r="B21" s="682"/>
      <c r="C21" s="682"/>
      <c r="E21" s="171" t="s">
        <v>300</v>
      </c>
      <c r="F21" s="162"/>
      <c r="G21" s="162"/>
      <c r="H21" s="162"/>
      <c r="I21" s="162"/>
      <c r="J21" s="162"/>
      <c r="K21" s="162"/>
      <c r="L21" s="162"/>
    </row>
    <row r="22" spans="1:12">
      <c r="A22" s="169"/>
      <c r="E22" s="172"/>
      <c r="F22" s="172"/>
      <c r="G22" s="172"/>
      <c r="H22" s="172"/>
      <c r="I22" s="172"/>
      <c r="J22" s="172"/>
    </row>
    <row r="23" spans="1:12">
      <c r="A23" s="681" t="s">
        <v>301</v>
      </c>
      <c r="B23" s="681"/>
      <c r="C23" s="681"/>
      <c r="E23" s="172"/>
      <c r="F23" s="172"/>
      <c r="G23" s="172"/>
      <c r="H23" s="172"/>
      <c r="I23" s="172"/>
      <c r="J23" s="172"/>
    </row>
    <row r="24" spans="1:12">
      <c r="A24" s="682" t="s">
        <v>302</v>
      </c>
      <c r="B24" s="682"/>
      <c r="C24" s="682"/>
      <c r="E24" s="692" t="s">
        <v>303</v>
      </c>
      <c r="F24" s="692"/>
      <c r="G24" s="173"/>
      <c r="H24" s="173"/>
      <c r="I24" s="173"/>
      <c r="J24" s="173"/>
    </row>
    <row r="25" spans="1:12">
      <c r="A25" s="682" t="s">
        <v>304</v>
      </c>
      <c r="B25" s="682"/>
      <c r="C25" s="682"/>
      <c r="E25" s="693"/>
      <c r="F25" s="693"/>
      <c r="G25" s="693"/>
      <c r="H25" s="693"/>
      <c r="I25" s="693"/>
      <c r="J25" s="693"/>
    </row>
    <row r="26" spans="1:12">
      <c r="A26" s="682" t="s">
        <v>305</v>
      </c>
      <c r="B26" s="682"/>
      <c r="C26" s="682"/>
      <c r="E26" s="693"/>
      <c r="F26" s="693"/>
      <c r="G26" s="693"/>
      <c r="H26" s="693"/>
      <c r="I26" s="693"/>
      <c r="J26" s="693"/>
    </row>
    <row r="27" spans="1:12" customHeight="1" ht="27">
      <c r="A27" s="682" t="s">
        <v>306</v>
      </c>
      <c r="B27" s="682"/>
      <c r="C27" s="682"/>
      <c r="E27" s="693"/>
      <c r="F27" s="693"/>
      <c r="G27" s="693"/>
      <c r="H27" s="693"/>
      <c r="I27" s="693"/>
      <c r="J27" s="693"/>
    </row>
    <row r="28" spans="1:12">
      <c r="A28" s="682" t="s">
        <v>307</v>
      </c>
      <c r="B28" s="682"/>
      <c r="C28" s="682"/>
      <c r="E28" s="172"/>
      <c r="F28" s="172"/>
      <c r="G28" s="172"/>
      <c r="H28" s="172"/>
      <c r="I28" s="172"/>
      <c r="J28" s="172"/>
    </row>
    <row r="29" spans="1:12">
      <c r="A29" s="682" t="s">
        <v>308</v>
      </c>
      <c r="B29" s="682"/>
      <c r="C29" s="682"/>
      <c r="E29" s="692" t="s">
        <v>309</v>
      </c>
      <c r="F29" s="692"/>
      <c r="G29" s="173"/>
      <c r="H29" s="173"/>
      <c r="I29" s="173"/>
      <c r="J29" s="173"/>
    </row>
    <row r="30" spans="1:12">
      <c r="A30" s="169"/>
      <c r="E30" s="693"/>
      <c r="F30" s="693"/>
      <c r="G30" s="693"/>
      <c r="H30" s="693"/>
      <c r="I30" s="693"/>
      <c r="J30" s="693"/>
    </row>
    <row r="31" spans="1:12">
      <c r="A31" s="681" t="s">
        <v>310</v>
      </c>
      <c r="B31" s="681"/>
      <c r="C31" s="681"/>
      <c r="E31" s="693"/>
      <c r="F31" s="693"/>
      <c r="G31" s="693"/>
      <c r="H31" s="693"/>
      <c r="I31" s="693"/>
      <c r="J31" s="693"/>
    </row>
    <row r="32" spans="1:12">
      <c r="A32" s="682" t="s">
        <v>311</v>
      </c>
      <c r="B32" s="682"/>
      <c r="C32" s="682"/>
      <c r="E32" s="693"/>
      <c r="F32" s="693"/>
      <c r="G32" s="693"/>
      <c r="H32" s="693"/>
      <c r="I32" s="693"/>
      <c r="J32" s="693"/>
    </row>
    <row r="33" spans="1:12">
      <c r="A33" s="682" t="s">
        <v>312</v>
      </c>
      <c r="B33" s="682"/>
      <c r="C33" s="682"/>
      <c r="E33" s="174"/>
      <c r="F33" s="174"/>
      <c r="G33" s="174"/>
      <c r="H33" s="174"/>
      <c r="I33" s="174"/>
      <c r="J33" s="174"/>
    </row>
    <row r="34" spans="1:12">
      <c r="A34" s="682" t="s">
        <v>313</v>
      </c>
      <c r="B34" s="682"/>
      <c r="C34" s="682"/>
      <c r="E34" s="692" t="s">
        <v>314</v>
      </c>
      <c r="F34" s="692"/>
      <c r="G34" s="173"/>
      <c r="H34" s="173"/>
      <c r="I34" s="173"/>
      <c r="J34" s="173"/>
    </row>
    <row r="35" spans="1:12">
      <c r="A35" s="682" t="s">
        <v>315</v>
      </c>
      <c r="B35" s="682"/>
      <c r="C35" s="682"/>
      <c r="E35" s="693"/>
      <c r="F35" s="693"/>
      <c r="G35" s="693"/>
      <c r="H35" s="693"/>
      <c r="I35" s="693"/>
      <c r="J35" s="693"/>
    </row>
    <row r="36" spans="1:12">
      <c r="A36" s="169"/>
      <c r="E36" s="693"/>
      <c r="F36" s="693"/>
      <c r="G36" s="693"/>
      <c r="H36" s="693"/>
      <c r="I36" s="693"/>
      <c r="J36" s="693"/>
    </row>
    <row r="37" spans="1:12">
      <c r="A37" s="681" t="s">
        <v>316</v>
      </c>
      <c r="B37" s="681"/>
      <c r="C37" s="681"/>
      <c r="E37" s="693"/>
      <c r="F37" s="693"/>
      <c r="G37" s="693"/>
      <c r="H37" s="693"/>
      <c r="I37" s="693"/>
      <c r="J37" s="693"/>
    </row>
    <row r="38" spans="1:12" customHeight="1" ht="30.75">
      <c r="A38" s="682" t="s">
        <v>317</v>
      </c>
      <c r="B38" s="682"/>
      <c r="C38" s="682"/>
      <c r="E38" s="173"/>
      <c r="F38" s="173"/>
      <c r="G38" s="173"/>
      <c r="H38" s="173"/>
      <c r="I38" s="173"/>
      <c r="J38" s="173"/>
    </row>
    <row r="39" spans="1:12">
      <c r="A39" s="682" t="s">
        <v>318</v>
      </c>
      <c r="B39" s="682"/>
      <c r="C39" s="682"/>
      <c r="E39" s="692" t="s">
        <v>319</v>
      </c>
      <c r="F39" s="692"/>
      <c r="G39" s="173"/>
      <c r="H39" s="173"/>
      <c r="I39" s="173"/>
      <c r="J39" s="173"/>
    </row>
    <row r="40" spans="1:12">
      <c r="A40" s="682" t="s">
        <v>320</v>
      </c>
      <c r="B40" s="682"/>
      <c r="C40" s="682"/>
      <c r="E40" s="693"/>
      <c r="F40" s="693"/>
      <c r="G40" s="693"/>
      <c r="H40" s="693"/>
      <c r="I40" s="693"/>
      <c r="J40" s="693"/>
    </row>
    <row r="41" spans="1:12">
      <c r="A41" s="682" t="s">
        <v>321</v>
      </c>
      <c r="B41" s="682"/>
      <c r="C41" s="682"/>
      <c r="E41" s="693"/>
      <c r="F41" s="693"/>
      <c r="G41" s="693"/>
      <c r="H41" s="693"/>
      <c r="I41" s="693"/>
      <c r="J41" s="693"/>
    </row>
    <row r="42" spans="1:12">
      <c r="A42" s="682" t="s">
        <v>322</v>
      </c>
      <c r="B42" s="682"/>
      <c r="C42" s="682"/>
      <c r="E42" s="693"/>
      <c r="F42" s="693"/>
      <c r="G42" s="693"/>
      <c r="H42" s="693"/>
      <c r="I42" s="693"/>
      <c r="J42" s="693"/>
    </row>
    <row r="43" spans="1:12" customHeight="1" ht="25.5">
      <c r="A43" s="682" t="s">
        <v>323</v>
      </c>
      <c r="B43" s="682"/>
      <c r="C43" s="682"/>
      <c r="E43" s="173"/>
      <c r="F43" s="173"/>
      <c r="G43" s="173"/>
      <c r="H43" s="173"/>
      <c r="I43" s="173"/>
      <c r="J43" s="173"/>
    </row>
    <row r="44" spans="1:12">
      <c r="A44" s="682" t="s">
        <v>324</v>
      </c>
      <c r="B44" s="682"/>
      <c r="C44" s="682"/>
      <c r="E44" s="692" t="s">
        <v>325</v>
      </c>
      <c r="F44" s="692"/>
      <c r="G44" s="173"/>
      <c r="H44" s="173"/>
      <c r="I44" s="173"/>
      <c r="J44" s="173"/>
    </row>
    <row r="45" spans="1:12">
      <c r="E45" s="693"/>
      <c r="F45" s="693"/>
      <c r="G45" s="693"/>
      <c r="H45" s="693"/>
      <c r="I45" s="693"/>
      <c r="J45" s="693"/>
    </row>
    <row r="46" spans="1:12">
      <c r="A46" s="681" t="s">
        <v>326</v>
      </c>
      <c r="B46" s="681"/>
      <c r="C46" s="681"/>
      <c r="E46" s="693"/>
      <c r="F46" s="693"/>
      <c r="G46" s="693"/>
      <c r="H46" s="693"/>
      <c r="I46" s="693"/>
      <c r="J46" s="693"/>
    </row>
    <row r="47" spans="1:12">
      <c r="A47" s="682" t="s">
        <v>327</v>
      </c>
      <c r="B47" s="682"/>
      <c r="C47" s="682"/>
      <c r="E47" s="693"/>
      <c r="F47" s="693"/>
      <c r="G47" s="693"/>
      <c r="H47" s="693"/>
      <c r="I47" s="693"/>
      <c r="J47" s="693"/>
    </row>
    <row r="48" spans="1:12">
      <c r="A48" s="682" t="s">
        <v>328</v>
      </c>
      <c r="B48" s="682"/>
      <c r="C48" s="682"/>
      <c r="E48" s="173"/>
      <c r="F48" s="173"/>
      <c r="G48" s="173"/>
      <c r="H48" s="173"/>
      <c r="I48" s="173"/>
      <c r="J48" s="173"/>
    </row>
    <row r="49" spans="1:12">
      <c r="A49" s="169"/>
      <c r="E49" s="175"/>
      <c r="F49" s="175"/>
      <c r="G49" s="175"/>
      <c r="H49" s="175"/>
      <c r="I49" s="175"/>
      <c r="J49" s="175"/>
    </row>
    <row r="50" spans="1:12">
      <c r="A50" s="681" t="s">
        <v>329</v>
      </c>
      <c r="B50" s="681"/>
      <c r="C50" s="681"/>
      <c r="E50" s="176"/>
      <c r="F50" s="176"/>
      <c r="G50" s="176"/>
      <c r="H50" s="176"/>
      <c r="I50" s="176"/>
      <c r="J50" s="176"/>
    </row>
    <row r="51" spans="1:12">
      <c r="A51" s="683" t="s">
        <v>330</v>
      </c>
      <c r="B51" s="683"/>
      <c r="C51" s="683"/>
      <c r="E51" s="176"/>
      <c r="F51" s="176"/>
      <c r="G51" s="176"/>
      <c r="H51" s="176"/>
      <c r="I51" s="176"/>
      <c r="J51" s="176"/>
    </row>
    <row r="52" spans="1:12" customHeight="1" ht="25.5">
      <c r="A52" s="683" t="s">
        <v>331</v>
      </c>
      <c r="B52" s="683"/>
      <c r="C52" s="683"/>
      <c r="E52" s="176"/>
      <c r="F52" s="176"/>
      <c r="G52" s="176"/>
      <c r="H52" s="176"/>
      <c r="I52" s="176"/>
      <c r="J52" s="176"/>
    </row>
    <row r="53" spans="1:12">
      <c r="A53" s="683" t="s">
        <v>332</v>
      </c>
      <c r="B53" s="683"/>
      <c r="C53" s="683"/>
      <c r="E53" s="176"/>
      <c r="F53" s="176"/>
      <c r="G53" s="176"/>
      <c r="H53" s="176"/>
      <c r="I53" s="176"/>
      <c r="J53" s="176"/>
    </row>
    <row r="54" spans="1:12">
      <c r="A54" s="683" t="s">
        <v>333</v>
      </c>
      <c r="B54" s="683"/>
      <c r="C54" s="683"/>
      <c r="E54" s="175"/>
      <c r="F54" s="175"/>
      <c r="G54" s="175"/>
      <c r="H54" s="175"/>
      <c r="I54" s="175"/>
      <c r="J54" s="175"/>
    </row>
    <row r="55" spans="1:12">
      <c r="A55" s="683" t="s">
        <v>334</v>
      </c>
      <c r="B55" s="683"/>
      <c r="C55" s="683"/>
      <c r="E55" s="176"/>
      <c r="F55" s="176"/>
      <c r="G55" s="176"/>
      <c r="H55" s="176"/>
      <c r="I55" s="176"/>
      <c r="J55" s="176"/>
    </row>
    <row r="56" spans="1:12">
      <c r="A56" s="683" t="s">
        <v>335</v>
      </c>
      <c r="B56" s="683"/>
      <c r="C56" s="683"/>
      <c r="E56" s="176"/>
      <c r="F56" s="176"/>
      <c r="G56" s="176"/>
      <c r="H56" s="176"/>
      <c r="I56" s="176"/>
      <c r="J56" s="176"/>
    </row>
    <row r="57" spans="1:12">
      <c r="A57" s="683" t="s">
        <v>336</v>
      </c>
      <c r="B57" s="683"/>
      <c r="C57" s="683"/>
      <c r="E57" s="176"/>
      <c r="F57" s="176"/>
      <c r="G57" s="176"/>
      <c r="H57" s="176"/>
      <c r="I57" s="176"/>
      <c r="J57" s="176"/>
    </row>
    <row r="58" spans="1:12">
      <c r="A58" s="683" t="s">
        <v>337</v>
      </c>
      <c r="B58" s="683"/>
      <c r="C58" s="683"/>
      <c r="E58" s="176"/>
      <c r="F58" s="176"/>
      <c r="G58" s="176"/>
      <c r="H58" s="176"/>
      <c r="I58" s="176"/>
      <c r="J58" s="176"/>
    </row>
    <row r="59" spans="1:12">
      <c r="A59" s="169"/>
      <c r="E59" s="175"/>
      <c r="F59" s="175"/>
      <c r="G59" s="175"/>
      <c r="H59" s="175"/>
      <c r="I59" s="175"/>
      <c r="J59" s="175"/>
    </row>
    <row r="60" spans="1:12">
      <c r="A60" s="681" t="s">
        <v>338</v>
      </c>
      <c r="B60" s="681"/>
      <c r="C60" s="681"/>
      <c r="E60" s="176"/>
      <c r="F60" s="176"/>
      <c r="G60" s="176"/>
      <c r="H60" s="176"/>
      <c r="I60" s="176"/>
      <c r="J60" s="176"/>
    </row>
    <row r="61" spans="1:12" customHeight="1" ht="23.25">
      <c r="A61" s="682" t="s">
        <v>339</v>
      </c>
      <c r="B61" s="682"/>
      <c r="C61" s="682"/>
      <c r="E61" s="176"/>
      <c r="F61" s="176"/>
      <c r="G61" s="176"/>
      <c r="H61" s="176"/>
      <c r="I61" s="176"/>
      <c r="J61" s="176"/>
    </row>
    <row r="62" spans="1:12">
      <c r="A62" s="169"/>
      <c r="E62" s="176"/>
      <c r="F62" s="176"/>
      <c r="G62" s="176"/>
      <c r="H62" s="176"/>
      <c r="I62" s="176"/>
      <c r="J62" s="176"/>
    </row>
    <row r="63" spans="1:12">
      <c r="A63" s="681" t="s">
        <v>340</v>
      </c>
      <c r="B63" s="681"/>
      <c r="C63" s="681"/>
      <c r="E63" s="176"/>
      <c r="F63" s="176"/>
      <c r="G63" s="176"/>
      <c r="H63" s="176"/>
      <c r="I63" s="176"/>
      <c r="J63" s="176"/>
    </row>
    <row r="64" spans="1:12">
      <c r="A64" s="682" t="s">
        <v>341</v>
      </c>
      <c r="B64" s="682"/>
      <c r="C64" s="682"/>
      <c r="E64" s="175"/>
      <c r="F64" s="175"/>
      <c r="G64" s="175"/>
      <c r="H64" s="175"/>
      <c r="I64" s="175"/>
      <c r="J64" s="175"/>
    </row>
    <row r="65" spans="1:12">
      <c r="A65" s="683" t="s">
        <v>342</v>
      </c>
      <c r="B65" s="683"/>
      <c r="C65" s="683"/>
      <c r="E65" s="176"/>
      <c r="F65" s="176"/>
      <c r="G65" s="176"/>
      <c r="H65" s="176"/>
      <c r="I65" s="176"/>
      <c r="J65" s="176"/>
    </row>
    <row r="66" spans="1:12">
      <c r="A66" s="169"/>
      <c r="E66" s="176"/>
      <c r="F66" s="176"/>
      <c r="G66" s="176"/>
      <c r="H66" s="176"/>
      <c r="I66" s="176"/>
      <c r="J66" s="176"/>
    </row>
    <row r="67" spans="1:12">
      <c r="A67" s="681" t="s">
        <v>343</v>
      </c>
      <c r="B67" s="681"/>
      <c r="C67" s="681"/>
      <c r="E67" s="176"/>
      <c r="F67" s="176"/>
      <c r="G67" s="176"/>
      <c r="H67" s="176"/>
      <c r="I67" s="176"/>
      <c r="J67" s="176"/>
    </row>
    <row r="68" spans="1:12" customHeight="1" ht="15.75">
      <c r="A68" s="682" t="s">
        <v>344</v>
      </c>
      <c r="B68" s="682"/>
      <c r="C68" s="682"/>
      <c r="E68" s="176"/>
      <c r="F68" s="176"/>
      <c r="G68" s="176"/>
      <c r="H68" s="176"/>
      <c r="I68" s="176"/>
      <c r="J68" s="176"/>
    </row>
    <row r="69" spans="1:12">
      <c r="A69" s="682" t="s">
        <v>345</v>
      </c>
      <c r="B69" s="682"/>
      <c r="C69" s="682"/>
      <c r="E69" s="175"/>
      <c r="F69" s="175"/>
      <c r="G69" s="175"/>
      <c r="H69" s="175"/>
      <c r="I69" s="175"/>
      <c r="J69" s="175"/>
    </row>
    <row r="70" spans="1:12" customHeight="1" ht="26.25">
      <c r="A70" s="682" t="s">
        <v>346</v>
      </c>
      <c r="B70" s="682"/>
      <c r="C70" s="682"/>
      <c r="E70" s="176"/>
      <c r="F70" s="176"/>
      <c r="G70" s="176"/>
      <c r="H70" s="176"/>
      <c r="I70" s="176"/>
      <c r="J70" s="176"/>
    </row>
    <row r="71" spans="1:12">
      <c r="A71" s="682" t="s">
        <v>347</v>
      </c>
      <c r="B71" s="682"/>
      <c r="C71" s="682"/>
      <c r="E71" s="176"/>
      <c r="F71" s="176"/>
      <c r="G71" s="176"/>
      <c r="H71" s="176"/>
      <c r="I71" s="176"/>
      <c r="J71" s="176"/>
    </row>
    <row r="72" spans="1:12">
      <c r="A72" s="682" t="s">
        <v>348</v>
      </c>
      <c r="B72" s="682"/>
      <c r="C72" s="682"/>
      <c r="E72" s="176"/>
      <c r="F72" s="176"/>
      <c r="G72" s="176"/>
      <c r="H72" s="176"/>
      <c r="I72" s="176"/>
      <c r="J72" s="176"/>
    </row>
    <row r="73" spans="1:12">
      <c r="A73" s="169"/>
      <c r="E73" s="176"/>
      <c r="F73" s="176"/>
      <c r="G73" s="176"/>
      <c r="H73" s="176"/>
      <c r="I73" s="176"/>
      <c r="J73" s="176"/>
    </row>
    <row r="74" spans="1:12">
      <c r="A74" s="681" t="s">
        <v>349</v>
      </c>
      <c r="B74" s="681"/>
      <c r="C74" s="681"/>
      <c r="E74" s="175"/>
      <c r="F74" s="175"/>
      <c r="G74" s="175"/>
      <c r="H74" s="175"/>
      <c r="I74" s="175"/>
      <c r="J74" s="175"/>
    </row>
    <row r="75" spans="1:12">
      <c r="A75" s="694" t="s">
        <v>350</v>
      </c>
      <c r="B75" s="694"/>
      <c r="C75" s="694"/>
      <c r="E75" s="176"/>
      <c r="F75" s="176"/>
      <c r="G75" s="176"/>
      <c r="H75" s="176"/>
      <c r="I75" s="176"/>
      <c r="J75" s="176"/>
    </row>
    <row r="76" spans="1:12">
      <c r="A76" s="169"/>
      <c r="E76" s="176"/>
      <c r="F76" s="176"/>
      <c r="G76" s="176"/>
      <c r="H76" s="176"/>
      <c r="I76" s="176"/>
      <c r="J76" s="176"/>
    </row>
    <row r="77" spans="1:12">
      <c r="A77" s="681" t="s">
        <v>351</v>
      </c>
      <c r="B77" s="681"/>
      <c r="C77" s="681"/>
      <c r="E77" s="176"/>
      <c r="F77" s="176"/>
      <c r="G77" s="176"/>
      <c r="H77" s="176"/>
      <c r="I77" s="176"/>
      <c r="J77" s="176"/>
    </row>
    <row r="78" spans="1:12">
      <c r="A78" s="694" t="s">
        <v>352</v>
      </c>
      <c r="B78" s="694"/>
      <c r="C78" s="694"/>
      <c r="E78" s="176"/>
      <c r="F78" s="176"/>
      <c r="G78" s="176"/>
      <c r="H78" s="176"/>
      <c r="I78" s="176"/>
      <c r="J78" s="176"/>
    </row>
    <row r="79" spans="1:12" customHeight="1" ht="29.25">
      <c r="A79" s="682" t="s">
        <v>353</v>
      </c>
      <c r="B79" s="682"/>
      <c r="C79" s="682"/>
      <c r="E79" s="175"/>
      <c r="F79" s="175"/>
      <c r="G79" s="175"/>
      <c r="H79" s="175"/>
      <c r="I79" s="175"/>
      <c r="J79" s="175"/>
    </row>
    <row r="80" spans="1:12">
      <c r="A80" s="683" t="s">
        <v>354</v>
      </c>
      <c r="B80" s="683"/>
      <c r="C80" s="683"/>
      <c r="E80" s="176"/>
      <c r="F80" s="176"/>
      <c r="G80" s="176"/>
      <c r="H80" s="176"/>
      <c r="I80" s="176"/>
      <c r="J80" s="176"/>
    </row>
    <row r="81" spans="1:12">
      <c r="A81" s="169"/>
      <c r="E81" s="176"/>
      <c r="F81" s="176"/>
      <c r="G81" s="176"/>
      <c r="H81" s="176"/>
      <c r="I81" s="176"/>
      <c r="J81" s="176"/>
    </row>
    <row r="82" spans="1:12">
      <c r="A82" s="695" t="s">
        <v>355</v>
      </c>
      <c r="B82" s="695"/>
      <c r="C82" s="695"/>
      <c r="E82" s="176"/>
      <c r="F82" s="176"/>
      <c r="G82" s="176"/>
      <c r="H82" s="176"/>
      <c r="I82" s="176"/>
      <c r="J82" s="176"/>
    </row>
    <row r="83" spans="1:12">
      <c r="A83" s="683" t="s">
        <v>356</v>
      </c>
      <c r="B83" s="683"/>
      <c r="C83" s="683"/>
      <c r="E83" s="176"/>
      <c r="F83" s="176"/>
      <c r="G83" s="176"/>
      <c r="H83" s="176"/>
      <c r="I83" s="176"/>
      <c r="J83" s="176"/>
    </row>
    <row r="84" spans="1:12">
      <c r="A84" s="169"/>
      <c r="E84" s="175"/>
      <c r="F84" s="175"/>
      <c r="G84" s="175"/>
      <c r="H84" s="175"/>
      <c r="I84" s="175"/>
      <c r="J84" s="175"/>
    </row>
    <row r="85" spans="1:12">
      <c r="A85" s="695" t="s">
        <v>357</v>
      </c>
      <c r="B85" s="695"/>
      <c r="C85" s="695"/>
      <c r="E85" s="176"/>
      <c r="F85" s="176"/>
      <c r="G85" s="176"/>
      <c r="H85" s="176"/>
      <c r="I85" s="176"/>
      <c r="J85" s="176"/>
    </row>
    <row r="86" spans="1:12">
      <c r="A86" s="177" t="s">
        <v>358</v>
      </c>
      <c r="E86" s="176"/>
      <c r="F86" s="176"/>
      <c r="G86" s="176"/>
      <c r="H86" s="176"/>
      <c r="I86" s="176"/>
      <c r="J86" s="176"/>
    </row>
    <row r="87" spans="1:12">
      <c r="A87" s="169"/>
      <c r="E87" s="176"/>
      <c r="F87" s="176"/>
      <c r="G87" s="176"/>
      <c r="H87" s="176"/>
      <c r="I87" s="176"/>
      <c r="J87" s="176"/>
    </row>
    <row r="88" spans="1:12">
      <c r="A88" s="681" t="s">
        <v>359</v>
      </c>
      <c r="B88" s="681"/>
      <c r="C88" s="681"/>
      <c r="E88" s="176"/>
      <c r="F88" s="176"/>
      <c r="G88" s="176"/>
      <c r="H88" s="176"/>
      <c r="I88" s="176"/>
      <c r="J88" s="176"/>
    </row>
    <row r="89" spans="1:12">
      <c r="A89" s="169" t="s">
        <v>360</v>
      </c>
      <c r="E89" s="175"/>
      <c r="F89" s="175"/>
      <c r="G89" s="175"/>
      <c r="H89" s="175"/>
      <c r="I89" s="175"/>
      <c r="J89" s="175"/>
    </row>
    <row r="90" spans="1:12">
      <c r="A90" s="169" t="s">
        <v>361</v>
      </c>
      <c r="E90" s="176"/>
      <c r="F90" s="176"/>
      <c r="G90" s="176"/>
      <c r="H90" s="176"/>
      <c r="I90" s="176"/>
      <c r="J90" s="176"/>
    </row>
    <row r="91" spans="1:12">
      <c r="A91" s="169" t="s">
        <v>362</v>
      </c>
      <c r="E91" s="176"/>
      <c r="F91" s="176"/>
      <c r="G91" s="176"/>
      <c r="H91" s="176"/>
      <c r="I91" s="176"/>
      <c r="J91" s="176"/>
    </row>
    <row r="92" spans="1:12">
      <c r="A92" s="169" t="s">
        <v>363</v>
      </c>
      <c r="E92" s="176"/>
      <c r="F92" s="176"/>
      <c r="G92" s="176"/>
      <c r="H92" s="176"/>
      <c r="I92" s="176"/>
      <c r="J92" s="176"/>
    </row>
    <row r="93" spans="1:12">
      <c r="E93" s="176"/>
      <c r="F93" s="176"/>
      <c r="G93" s="176"/>
      <c r="H93" s="176"/>
      <c r="I93" s="176"/>
      <c r="J93" s="176"/>
    </row>
    <row r="94" spans="1:12">
      <c r="E94" s="175"/>
      <c r="F94" s="175"/>
      <c r="G94" s="175"/>
      <c r="H94" s="175"/>
      <c r="I94" s="175"/>
      <c r="J94" s="175"/>
    </row>
    <row r="95" spans="1:12">
      <c r="E95" s="176"/>
      <c r="F95" s="176"/>
      <c r="G95" s="176"/>
      <c r="H95" s="176"/>
      <c r="I95" s="176"/>
      <c r="J95" s="176"/>
    </row>
    <row r="96" spans="1:12">
      <c r="E96" s="176"/>
      <c r="F96" s="176"/>
      <c r="G96" s="176"/>
      <c r="H96" s="176"/>
      <c r="I96" s="176"/>
      <c r="J96" s="176"/>
    </row>
    <row r="97" spans="1:12">
      <c r="E97" s="176"/>
      <c r="F97" s="176"/>
      <c r="G97" s="176"/>
      <c r="H97" s="176"/>
      <c r="I97" s="176"/>
      <c r="J97" s="176"/>
    </row>
    <row r="98" spans="1:12">
      <c r="E98" s="176"/>
      <c r="F98" s="176"/>
      <c r="G98" s="176"/>
      <c r="H98" s="176"/>
      <c r="I98" s="176"/>
      <c r="J98" s="176"/>
    </row>
    <row r="99" spans="1:12">
      <c r="E99" s="176"/>
      <c r="F99" s="176"/>
      <c r="G99" s="176"/>
      <c r="H99" s="176"/>
      <c r="I99" s="176"/>
      <c r="J99" s="176"/>
    </row>
    <row r="100" spans="1:12">
      <c r="E100" s="175"/>
      <c r="F100" s="175"/>
      <c r="G100" s="175"/>
      <c r="H100" s="175"/>
      <c r="I100" s="175"/>
      <c r="J100" s="175"/>
    </row>
    <row r="101" spans="1:12">
      <c r="E101" s="176"/>
      <c r="F101" s="176"/>
      <c r="G101" s="176"/>
      <c r="H101" s="176"/>
      <c r="I101" s="176"/>
      <c r="J101" s="176"/>
    </row>
    <row r="102" spans="1:12">
      <c r="E102" s="176"/>
      <c r="F102" s="176"/>
      <c r="G102" s="176"/>
      <c r="H102" s="176"/>
      <c r="I102" s="176"/>
      <c r="J102" s="176"/>
    </row>
    <row r="103" spans="1:12">
      <c r="E103" s="176"/>
      <c r="F103" s="176"/>
      <c r="G103" s="176"/>
      <c r="H103" s="176"/>
      <c r="I103" s="176"/>
      <c r="J103" s="176"/>
    </row>
    <row r="104" spans="1:12">
      <c r="E104" s="176"/>
      <c r="F104" s="176"/>
      <c r="G104" s="176"/>
      <c r="H104" s="176"/>
      <c r="I104" s="176"/>
      <c r="J104" s="176"/>
    </row>
    <row r="105" spans="1:12">
      <c r="E105" s="176"/>
      <c r="F105" s="176"/>
      <c r="G105" s="176"/>
      <c r="H105" s="176"/>
      <c r="I105" s="176"/>
      <c r="J105" s="176"/>
    </row>
    <row r="106" spans="1:12">
      <c r="E106" s="176"/>
      <c r="F106" s="176"/>
      <c r="G106" s="176"/>
      <c r="H106" s="176"/>
      <c r="I106" s="176"/>
      <c r="J106" s="176"/>
    </row>
    <row r="107" spans="1:12">
      <c r="E107" s="175"/>
      <c r="F107" s="175"/>
      <c r="G107" s="175"/>
      <c r="H107" s="175"/>
      <c r="I107" s="175"/>
      <c r="J107" s="175"/>
    </row>
    <row r="108" spans="1:12">
      <c r="E108" s="176"/>
      <c r="F108" s="176"/>
      <c r="G108" s="176"/>
      <c r="H108" s="176"/>
      <c r="I108" s="176"/>
      <c r="J108" s="176"/>
    </row>
    <row r="109" spans="1:12">
      <c r="E109" s="176"/>
      <c r="F109" s="176"/>
      <c r="G109" s="176"/>
      <c r="H109" s="176"/>
      <c r="I109" s="176"/>
      <c r="J109" s="176"/>
    </row>
    <row r="110" spans="1:12">
      <c r="E110" s="176"/>
      <c r="F110" s="176"/>
      <c r="G110" s="176"/>
      <c r="H110" s="176"/>
      <c r="I110" s="176"/>
      <c r="J110" s="176"/>
    </row>
    <row r="111" spans="1:12">
      <c r="E111" s="176"/>
      <c r="F111" s="176"/>
      <c r="G111" s="176"/>
      <c r="H111" s="176"/>
      <c r="I111" s="176"/>
      <c r="J111" s="176"/>
    </row>
    <row r="112" spans="1:12">
      <c r="E112" s="176"/>
      <c r="F112" s="176"/>
      <c r="G112" s="176"/>
      <c r="H112" s="176"/>
      <c r="I112" s="176"/>
      <c r="J112" s="176"/>
    </row>
    <row r="113" spans="1:12">
      <c r="E113" s="176"/>
      <c r="F113" s="176"/>
      <c r="G113" s="176"/>
      <c r="H113" s="176"/>
      <c r="I113" s="176"/>
      <c r="J113" s="176"/>
    </row>
    <row r="114" spans="1:12">
      <c r="E114" s="175"/>
      <c r="F114" s="175"/>
      <c r="G114" s="175"/>
      <c r="H114" s="175"/>
      <c r="I114" s="175"/>
      <c r="J114" s="175"/>
    </row>
    <row r="115" spans="1:12">
      <c r="E115" s="176"/>
      <c r="F115" s="176"/>
      <c r="G115" s="176"/>
      <c r="H115" s="176"/>
      <c r="I115" s="176"/>
      <c r="J115" s="176"/>
    </row>
    <row r="116" spans="1:12">
      <c r="E116" s="176"/>
      <c r="F116" s="176"/>
      <c r="G116" s="176"/>
      <c r="H116" s="176"/>
      <c r="I116" s="176"/>
      <c r="J116" s="176"/>
    </row>
    <row r="117" spans="1:12">
      <c r="E117" s="176"/>
      <c r="F117" s="176"/>
      <c r="G117" s="176"/>
      <c r="H117" s="176"/>
      <c r="I117" s="176"/>
      <c r="J117" s="176"/>
    </row>
    <row r="118" spans="1:12">
      <c r="E118" s="176"/>
      <c r="F118" s="176"/>
      <c r="G118" s="176"/>
      <c r="H118" s="176"/>
      <c r="I118" s="176"/>
      <c r="J118" s="176"/>
    </row>
    <row r="119" spans="1:12">
      <c r="E119" s="176"/>
      <c r="F119" s="176"/>
      <c r="G119" s="176"/>
      <c r="H119" s="176"/>
      <c r="I119" s="176"/>
      <c r="J119" s="176"/>
    </row>
    <row r="120" spans="1:12">
      <c r="E120" s="176"/>
      <c r="F120" s="176"/>
      <c r="G120" s="176"/>
      <c r="H120" s="176"/>
      <c r="I120" s="176"/>
      <c r="J120" s="176"/>
    </row>
    <row r="121" spans="1:12">
      <c r="E121" s="176"/>
      <c r="F121" s="176"/>
      <c r="G121" s="176"/>
      <c r="H121" s="176"/>
      <c r="I121" s="176"/>
      <c r="J121" s="176"/>
    </row>
    <row r="122" spans="1:12">
      <c r="E122" s="175"/>
      <c r="F122" s="175"/>
      <c r="G122" s="175"/>
      <c r="H122" s="175"/>
      <c r="I122" s="175"/>
      <c r="J122" s="175"/>
    </row>
    <row r="123" spans="1:12">
      <c r="E123" s="176"/>
      <c r="F123" s="176"/>
      <c r="G123" s="176"/>
      <c r="H123" s="176"/>
      <c r="I123" s="176"/>
      <c r="J123" s="176"/>
    </row>
    <row r="124" spans="1:12">
      <c r="E124" s="176"/>
      <c r="F124" s="176"/>
      <c r="G124" s="176"/>
      <c r="H124" s="176"/>
      <c r="I124" s="176"/>
      <c r="J124" s="176"/>
    </row>
    <row r="125" spans="1:12">
      <c r="E125" s="176"/>
      <c r="F125" s="176"/>
      <c r="G125" s="176"/>
      <c r="H125" s="176"/>
      <c r="I125" s="176"/>
      <c r="J125" s="176"/>
    </row>
    <row r="126" spans="1:12">
      <c r="E126" s="176"/>
      <c r="F126" s="176"/>
      <c r="G126" s="176"/>
      <c r="H126" s="176"/>
      <c r="I126" s="176"/>
      <c r="J126" s="176"/>
    </row>
    <row r="127" spans="1:12">
      <c r="E127" s="176"/>
      <c r="F127" s="176"/>
      <c r="G127" s="176"/>
      <c r="H127" s="176"/>
      <c r="I127" s="176"/>
      <c r="J127" s="176"/>
    </row>
    <row r="128" spans="1:12" customHeight="1" ht="35.25">
      <c r="E128" s="178"/>
      <c r="F128" s="178"/>
      <c r="H128" s="179"/>
      <c r="I128" s="179"/>
      <c r="J128" s="179"/>
    </row>
  </sheetData>
  <mergeCells>
    <mergeCell ref="A88:C88"/>
    <mergeCell ref="A78:C78"/>
    <mergeCell ref="A79:C79"/>
    <mergeCell ref="A80:C80"/>
    <mergeCell ref="A82:C82"/>
    <mergeCell ref="A83:C83"/>
    <mergeCell ref="A85:C85"/>
    <mergeCell ref="A77:C77"/>
    <mergeCell ref="A63:C63"/>
    <mergeCell ref="A64:C64"/>
    <mergeCell ref="A65:C65"/>
    <mergeCell ref="A67:C67"/>
    <mergeCell ref="A68:C68"/>
    <mergeCell ref="A69:C69"/>
    <mergeCell ref="A70:C70"/>
    <mergeCell ref="A71:C71"/>
    <mergeCell ref="A72:C72"/>
    <mergeCell ref="A74:C74"/>
    <mergeCell ref="A75:C75"/>
    <mergeCell ref="A61:C61"/>
    <mergeCell ref="A48:C48"/>
    <mergeCell ref="A50:C50"/>
    <mergeCell ref="A51:C51"/>
    <mergeCell ref="A52:C52"/>
    <mergeCell ref="A53:C53"/>
    <mergeCell ref="A54:C54"/>
    <mergeCell ref="A55:C55"/>
    <mergeCell ref="A56:C56"/>
    <mergeCell ref="A57:C57"/>
    <mergeCell ref="A58:C58"/>
    <mergeCell ref="A60:C60"/>
    <mergeCell ref="A43:C43"/>
    <mergeCell ref="A44:C44"/>
    <mergeCell ref="E44:F44"/>
    <mergeCell ref="E45:J47"/>
    <mergeCell ref="A46:C46"/>
    <mergeCell ref="A47:C47"/>
    <mergeCell ref="A38:C38"/>
    <mergeCell ref="A39:C39"/>
    <mergeCell ref="E39:F39"/>
    <mergeCell ref="A40:C40"/>
    <mergeCell ref="E40:J42"/>
    <mergeCell ref="A41:C41"/>
    <mergeCell ref="A42:C42"/>
    <mergeCell ref="A33:C33"/>
    <mergeCell ref="A34:C34"/>
    <mergeCell ref="E34:F34"/>
    <mergeCell ref="A35:C35"/>
    <mergeCell ref="E35:J37"/>
    <mergeCell ref="A37:C37"/>
    <mergeCell ref="A28:C28"/>
    <mergeCell ref="A29:C29"/>
    <mergeCell ref="E29:F29"/>
    <mergeCell ref="E30:J32"/>
    <mergeCell ref="A31:C31"/>
    <mergeCell ref="A32:C32"/>
    <mergeCell ref="A21:C21"/>
    <mergeCell ref="A24:C24"/>
    <mergeCell ref="E24:F24"/>
    <mergeCell ref="A25:C25"/>
    <mergeCell ref="E25:J27"/>
    <mergeCell ref="A26:C26"/>
    <mergeCell ref="A27:C27"/>
    <mergeCell ref="A23:C23"/>
    <mergeCell ref="A1:C1"/>
    <mergeCell ref="E1:E2"/>
    <mergeCell ref="F1:G1"/>
    <mergeCell ref="H1:L1"/>
    <mergeCell ref="B3:C3"/>
    <mergeCell ref="A10:C10"/>
    <mergeCell ref="A11:C12"/>
    <mergeCell ref="A13:C13"/>
    <mergeCell ref="A8:C8"/>
    <mergeCell ref="A9:C9"/>
    <mergeCell ref="A16:C16"/>
    <mergeCell ref="A17:C17"/>
    <mergeCell ref="A18:C18"/>
    <mergeCell ref="A20:C20"/>
    <mergeCell ref="A14:C14"/>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drawing r:id="rId2"/>
  <legacyDrawing r:id="rId_comments_vml1"/>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1</xdr:col>
                    <xdr:colOff>69850</xdr:colOff>
                    <xdr:row>4</xdr:row>
                    <xdr:rowOff>50800</xdr:rowOff>
                  </from>
                  <to>
                    <xdr:col>1</xdr:col>
                    <xdr:colOff>736600</xdr:colOff>
                    <xdr:row>5</xdr:row>
                    <xdr:rowOff>57150</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from>
                    <xdr:col>1</xdr:col>
                    <xdr:colOff>76200</xdr:colOff>
                    <xdr:row>5</xdr:row>
                    <xdr:rowOff>50800</xdr:rowOff>
                  </from>
                  <to>
                    <xdr:col>1</xdr:col>
                    <xdr:colOff>736600</xdr:colOff>
                    <xdr:row>6</xdr:row>
                    <xdr:rowOff>298450</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from>
                    <xdr:col>2</xdr:col>
                    <xdr:colOff>57150</xdr:colOff>
                    <xdr:row>4</xdr:row>
                    <xdr:rowOff>38100</xdr:rowOff>
                  </from>
                  <to>
                    <xdr:col>2</xdr:col>
                    <xdr:colOff>704850</xdr:colOff>
                    <xdr:row>5</xdr:row>
                    <xdr:rowOff>19050</xdr:rowOff>
                  </to>
                </anchor>
              </controlPr>
            </control>
          </mc:Choice>
        </mc:AlternateContent>
        <mc:AlternateContent xmlns:mc="http://schemas.openxmlformats.org/markup-compatibility/2006">
          <mc:Choice Requires="x14">
            <control shapeId="2052" r:id="rId7" name="Check Box 4">
              <controlPr locked="0" defaultSize="0" autoFill="0" autoLine="0" autoPict="0">
                <anchor moveWithCells="1">
                  <from>
                    <xdr:col>2</xdr:col>
                    <xdr:colOff>76200</xdr:colOff>
                    <xdr:row>5</xdr:row>
                    <xdr:rowOff>107950</xdr:rowOff>
                  </from>
                  <to>
                    <xdr:col>2</xdr:col>
                    <xdr:colOff>527050</xdr:colOff>
                    <xdr:row>6</xdr:row>
                    <xdr:rowOff>266700</xdr:rowOff>
                  </to>
                </anchor>
              </controlPr>
            </control>
          </mc:Choice>
        </mc:AlternateContent>
      </controls>
    </mc:Choice>
  </mc:AlternateContent>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Page de garde</vt:lpstr>
      <vt:lpstr>Carnet de stage</vt:lpstr>
      <vt:lpstr>Liste récapitulative</vt:lpstr>
      <vt:lpstr>Prestation de consultations</vt:lpstr>
      <vt:lpstr>Prestations de gardes</vt:lpstr>
      <vt:lpstr>Rapport d'activité</vt:lpstr>
      <vt:lpstr>Evaluation candidat</vt:lpstr>
      <vt:lpstr>Evaluation maître de stage</vt:lpstr>
    </vt:vector>
  </TitlesOfParts>
  <Company>Microsoft Corporation</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Samy Ftaïta</cp:lastModifiedBy>
  <dcterms:created xsi:type="dcterms:W3CDTF">2021-04-25T13:23:47+02:00</dcterms:created>
  <dcterms:modified xsi:type="dcterms:W3CDTF">2024-12-21T20:58:22+01:00</dcterms:modified>
  <dc:title>Untitled Spreadsheet</dc:title>
  <dc:description/>
  <dc:subject/>
  <cp:keywords/>
  <cp:category/>
</cp:coreProperties>
</file>