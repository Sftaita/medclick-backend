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récapitulative'!$A$2:$V$19</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candidat'!$A$86:$X$136,'Evaluation candidat'!$A$139:$X$176</definedName>
  </definedNames>
  <calcPr calcId="999999" calcMode="auto" calcCompleted="1" fullCalcOnLoad="0" forceFullCalc="0"/>
</workbook>
</file>

<file path=xl/sharedStrings.xml><?xml version="1.0" encoding="utf-8"?>
<sst xmlns="http://schemas.openxmlformats.org/spreadsheetml/2006/main" uniqueCount="658">
  <si>
    <t>CARNET DE STAGE</t>
  </si>
  <si>
    <t>ORTHOPEDIE</t>
  </si>
  <si>
    <t>2e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</si>
  <si>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</si>
  <si>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</si>
  <si>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</si>
  <si>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</si>
  <si>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</si>
  <si>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</si>
  <si>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</si>
  <si>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</si>
  <si>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</si>
  <si>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</si>
  <si>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</si>
  <si>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</si>
  <si>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</si>
  <si>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</si>
  <si>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</si>
  <si>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</si>
  <si>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</si>
  <si>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</si>
  <si>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</si>
  <si>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</si>
  <si>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</si>
  <si>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</si>
  <si>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</si>
  <si>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</si>
  <si>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</si>
  <si>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01-10-2018</t>
  </si>
  <si>
    <t xml:space="preserve">  Année de stage</t>
  </si>
  <si>
    <t xml:space="preserve">    2</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</si>
  <si>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</si>
  <si>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</si>
  <si>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</si>
  <si>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</si>
  <si>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Superviseurs</t>
  </si>
  <si>
    <t xml:space="preserve">  id:     A</t>
  </si>
  <si>
    <t>prénom0</t>
  </si>
  <si>
    <t>NomA</t>
  </si>
  <si>
    <t xml:space="preserve">  id:     B</t>
  </si>
  <si>
    <t>prénom15</t>
  </si>
  <si>
    <t>NomB</t>
  </si>
  <si>
    <t xml:space="preserve">  id:     C</t>
  </si>
  <si>
    <t>prénom4</t>
  </si>
  <si>
    <t>NomC</t>
  </si>
  <si>
    <t xml:space="preserve">  id:     D</t>
  </si>
  <si>
    <t>prénom8</t>
  </si>
  <si>
    <t>NomE</t>
  </si>
  <si>
    <t xml:space="preserve">  id:     E</t>
  </si>
  <si>
    <t>prénom12</t>
  </si>
  <si>
    <t>NomG</t>
  </si>
  <si>
    <t xml:space="preserve">  id:     F</t>
  </si>
  <si>
    <t>prénom1</t>
  </si>
  <si>
    <t>NomH</t>
  </si>
  <si>
    <t xml:space="preserve">  id:     G</t>
  </si>
  <si>
    <t>prénom16</t>
  </si>
  <si>
    <t>NomI</t>
  </si>
  <si>
    <t xml:space="preserve">  id:     H</t>
  </si>
  <si>
    <t>prénom5</t>
  </si>
  <si>
    <t>NomJ</t>
  </si>
  <si>
    <t xml:space="preserve">  id:     I</t>
  </si>
  <si>
    <t>prénom9</t>
  </si>
  <si>
    <t>NomL</t>
  </si>
  <si>
    <t xml:space="preserve">  id:     J</t>
  </si>
  <si>
    <t>prénom13</t>
  </si>
  <si>
    <t>NomN</t>
  </si>
  <si>
    <t xml:space="preserve">  id:     K</t>
  </si>
  <si>
    <t>prénom2</t>
  </si>
  <si>
    <t>NomO</t>
  </si>
  <si>
    <t xml:space="preserve">  id:     L</t>
  </si>
  <si>
    <t>prénom6</t>
  </si>
  <si>
    <t>NomQ</t>
  </si>
  <si>
    <t xml:space="preserve">  id:     M</t>
  </si>
  <si>
    <t>prénom10</t>
  </si>
  <si>
    <t>NomS</t>
  </si>
  <si>
    <t xml:space="preserve">  id:     N</t>
  </si>
  <si>
    <t>prénom14</t>
  </si>
  <si>
    <t>NomU</t>
  </si>
  <si>
    <t xml:space="preserve">  id:     O</t>
  </si>
  <si>
    <t>prénom3</t>
  </si>
  <si>
    <t>NomV</t>
  </si>
  <si>
    <t xml:space="preserve">  id:     P</t>
  </si>
  <si>
    <t>prénom7</t>
  </si>
  <si>
    <t>NomX</t>
  </si>
  <si>
    <t xml:space="preserve">  id:     Q</t>
  </si>
  <si>
    <t>prénom11</t>
  </si>
  <si>
    <t>NomZ</t>
  </si>
  <si>
    <t>Date</t>
  </si>
  <si>
    <t>Nomenclature</t>
  </si>
  <si>
    <t>Nature des prestations</t>
  </si>
  <si>
    <t>Prestations du Candidat</t>
  </si>
  <si>
    <t>ASSISTANT</t>
  </si>
  <si>
    <t>CODE âiné</t>
  </si>
  <si>
    <t>OPERATEUR</t>
  </si>
  <si>
    <t>1er</t>
  </si>
  <si>
    <t>2ème</t>
  </si>
  <si>
    <t>seul</t>
  </si>
  <si>
    <t>+âiné</t>
  </si>
  <si>
    <t xml:space="preserve">  05-10-2018</t>
  </si>
  <si>
    <t xml:space="preserve">  2005274</t>
  </si>
  <si>
    <t xml:space="preserve">  Acte fictif n° 31</t>
  </si>
  <si>
    <t>E</t>
  </si>
  <si>
    <t xml:space="preserve">  16-10-2018</t>
  </si>
  <si>
    <t xml:space="preserve">  2002727</t>
  </si>
  <si>
    <t xml:space="preserve">  Acte fictif n° 16</t>
  </si>
  <si>
    <t>L</t>
  </si>
  <si>
    <t xml:space="preserve">  05-11-2018</t>
  </si>
  <si>
    <t xml:space="preserve">  2003744</t>
  </si>
  <si>
    <t xml:space="preserve">  Acte fictif n° 22</t>
  </si>
  <si>
    <t>I</t>
  </si>
  <si>
    <t xml:space="preserve">  21-12-2018</t>
  </si>
  <si>
    <t xml:space="preserve">  2000513</t>
  </si>
  <si>
    <t xml:space="preserve">  Acte fictif n° 3</t>
  </si>
  <si>
    <t>H</t>
  </si>
  <si>
    <t xml:space="preserve">  31-12-2018</t>
  </si>
  <si>
    <t xml:space="preserve">  2001368</t>
  </si>
  <si>
    <t xml:space="preserve">  Acte fictif n° 8</t>
  </si>
  <si>
    <t>J</t>
  </si>
  <si>
    <t xml:space="preserve">  01-01-2019</t>
  </si>
  <si>
    <t xml:space="preserve">  2002385</t>
  </si>
  <si>
    <t xml:space="preserve">  Acte fictif n° 14</t>
  </si>
  <si>
    <t xml:space="preserve">  08-01-2019</t>
  </si>
  <si>
    <t xml:space="preserve">  2001026</t>
  </si>
  <si>
    <t xml:space="preserve">  Acte fictif n° 6</t>
  </si>
  <si>
    <t xml:space="preserve">  17-01-2019</t>
  </si>
  <si>
    <t xml:space="preserve">  2004257</t>
  </si>
  <si>
    <t xml:space="preserve">  Acte fictif n° 25</t>
  </si>
  <si>
    <t>F</t>
  </si>
  <si>
    <t xml:space="preserve">  25-01-2019</t>
  </si>
  <si>
    <t xml:space="preserve">  2004428</t>
  </si>
  <si>
    <t xml:space="preserve">  Acte fictif n° 26</t>
  </si>
  <si>
    <t>M</t>
  </si>
  <si>
    <t xml:space="preserve">  03-02-2019</t>
  </si>
  <si>
    <t xml:space="preserve">  2002898</t>
  </si>
  <si>
    <t xml:space="preserve">  Acte fictif n° 17</t>
  </si>
  <si>
    <t xml:space="preserve">  07-02-2019</t>
  </si>
  <si>
    <t xml:space="preserve">  2000000</t>
  </si>
  <si>
    <t xml:space="preserve">  Acte fictif n° 0</t>
  </si>
  <si>
    <t>O</t>
  </si>
  <si>
    <t xml:space="preserve">  2005445</t>
  </si>
  <si>
    <t xml:space="preserve">  Acte fictif n° 32</t>
  </si>
  <si>
    <t>Q</t>
  </si>
  <si>
    <t xml:space="preserve">  12-02-2019</t>
  </si>
  <si>
    <t xml:space="preserve">  2003915</t>
  </si>
  <si>
    <t xml:space="preserve">  Acte fictif n° 23</t>
  </si>
  <si>
    <t xml:space="preserve">  08-03-2019</t>
  </si>
  <si>
    <t xml:space="preserve">  2006804</t>
  </si>
  <si>
    <t xml:space="preserve">  Acte fictif n° 40</t>
  </si>
  <si>
    <t xml:space="preserve">  16-03-2019</t>
  </si>
  <si>
    <t xml:space="preserve">  2004761</t>
  </si>
  <si>
    <t xml:space="preserve">  Acte fictif n° 28</t>
  </si>
  <si>
    <t xml:space="preserve">  13-04-2019</t>
  </si>
  <si>
    <t xml:space="preserve">  2005103</t>
  </si>
  <si>
    <t xml:space="preserve">  Acte fictif n° 30</t>
  </si>
  <si>
    <t xml:space="preserve">  18-04-2019</t>
  </si>
  <si>
    <t xml:space="preserve">  2001701</t>
  </si>
  <si>
    <t xml:space="preserve">  Acte fictif n° 10</t>
  </si>
  <si>
    <t>N</t>
  </si>
  <si>
    <t xml:space="preserve">  02-05-2019</t>
  </si>
  <si>
    <t xml:space="preserve">  2003060</t>
  </si>
  <si>
    <t xml:space="preserve">  Acte fictif n° 18</t>
  </si>
  <si>
    <t xml:space="preserve">  04-05-2019</t>
  </si>
  <si>
    <t xml:space="preserve">  2005958</t>
  </si>
  <si>
    <t xml:space="preserve">  Acte fictif n° 35</t>
  </si>
  <si>
    <t xml:space="preserve">  12-05-2019</t>
  </si>
  <si>
    <t xml:space="preserve">  2003231</t>
  </si>
  <si>
    <t xml:space="preserve">  Acte fictif n° 19</t>
  </si>
  <si>
    <t>K</t>
  </si>
  <si>
    <t xml:space="preserve">  21-05-2019</t>
  </si>
  <si>
    <t xml:space="preserve">  2002556</t>
  </si>
  <si>
    <t xml:space="preserve">  Acte fictif n° 15</t>
  </si>
  <si>
    <t xml:space="preserve">  23-05-2019</t>
  </si>
  <si>
    <t xml:space="preserve">  2004086</t>
  </si>
  <si>
    <t xml:space="preserve">  Acte fictif n° 24</t>
  </si>
  <si>
    <t xml:space="preserve">  25-05-2019</t>
  </si>
  <si>
    <t xml:space="preserve">  2007488</t>
  </si>
  <si>
    <t xml:space="preserve">  Acte fictif n° 44</t>
  </si>
  <si>
    <t>C</t>
  </si>
  <si>
    <t xml:space="preserve">  11-06-2019</t>
  </si>
  <si>
    <t xml:space="preserve">  2000855</t>
  </si>
  <si>
    <t xml:space="preserve">  Acte fictif n° 5</t>
  </si>
  <si>
    <t xml:space="preserve">  12-06-2019</t>
  </si>
  <si>
    <t>P</t>
  </si>
  <si>
    <t xml:space="preserve">  15-06-2019</t>
  </si>
  <si>
    <t xml:space="preserve">  2006462</t>
  </si>
  <si>
    <t xml:space="preserve">  Acte fictif n° 38</t>
  </si>
  <si>
    <t xml:space="preserve">  18-06-2019</t>
  </si>
  <si>
    <t xml:space="preserve">  29-06-2019</t>
  </si>
  <si>
    <t xml:space="preserve">  2007317</t>
  </si>
  <si>
    <t xml:space="preserve">  Acte fictif n° 43</t>
  </si>
  <si>
    <t xml:space="preserve">  11-07-2019</t>
  </si>
  <si>
    <t xml:space="preserve">  2000684</t>
  </si>
  <si>
    <t xml:space="preserve">  Acte fictif n° 4</t>
  </si>
  <si>
    <t xml:space="preserve">  15-07-2019</t>
  </si>
  <si>
    <t xml:space="preserve">  31-07-2019</t>
  </si>
  <si>
    <t xml:space="preserve">  2006975</t>
  </si>
  <si>
    <t xml:space="preserve">  Acte fictif n° 41</t>
  </si>
  <si>
    <t xml:space="preserve">  12-08-2019</t>
  </si>
  <si>
    <t>A</t>
  </si>
  <si>
    <t xml:space="preserve">  20-08-2019</t>
  </si>
  <si>
    <t xml:space="preserve">  2001872</t>
  </si>
  <si>
    <t xml:space="preserve">  Acte fictif n° 11</t>
  </si>
  <si>
    <t xml:space="preserve">  29-08-2019</t>
  </si>
  <si>
    <t xml:space="preserve">  2006633</t>
  </si>
  <si>
    <t xml:space="preserve">  Acte fictif n° 39</t>
  </si>
  <si>
    <t>B</t>
  </si>
  <si>
    <t xml:space="preserve">  23-09-2019</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</si>
  <si>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</si>
  <si>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</si>
  <si>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</si>
  <si>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</si>
  <si>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</si>
  <si>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</si>
  <si>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</si>
  <si>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</si>
  <si>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</si>
  <si>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</si>
  <si>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Collaborateurs</t>
  </si>
  <si>
    <t xml:space="preserve">   Dr   prénom0</t>
  </si>
  <si>
    <t>100%</t>
  </si>
  <si>
    <t>0%</t>
  </si>
  <si>
    <t xml:space="preserve">   Dr   prénom15</t>
  </si>
  <si>
    <t xml:space="preserve">   Dr   prénom4</t>
  </si>
  <si>
    <t xml:space="preserve">   Dr   prénom8</t>
  </si>
  <si>
    <t xml:space="preserve">   Dr   prénom12</t>
  </si>
  <si>
    <t>33.3%</t>
  </si>
  <si>
    <t>66.7%</t>
  </si>
  <si>
    <t xml:space="preserve">   Dr   prénom1</t>
  </si>
  <si>
    <t xml:space="preserve">   Dr   prénom16</t>
  </si>
  <si>
    <t xml:space="preserve">   Dr   prénom5</t>
  </si>
  <si>
    <t xml:space="preserve">   Dr   prénom9</t>
  </si>
  <si>
    <t xml:space="preserve">   Dr   prénom13</t>
  </si>
  <si>
    <t xml:space="preserve">   Dr   prénom2</t>
  </si>
  <si>
    <t>50%</t>
  </si>
  <si>
    <t xml:space="preserve">   Dr   prénom6</t>
  </si>
  <si>
    <t xml:space="preserve">   Dr   prénom10</t>
  </si>
  <si>
    <t>75%</t>
  </si>
  <si>
    <t>25%</t>
  </si>
  <si>
    <t xml:space="preserve">   Dr   prénom14</t>
  </si>
  <si>
    <t xml:space="preserve">   Dr   prénom3</t>
  </si>
  <si>
    <t xml:space="preserve">   Dr   prénom7</t>
  </si>
  <si>
    <t xml:space="preserve">   Dr   prénom11</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</si>
  <si>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</si>
  <si>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</si>
  <si>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</si>
  <si>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</si>
  <si>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</si>
  <si>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</si>
  <si>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</si>
  <si>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</si>
  <si>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</si>
  <si>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</si>
  <si>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</si>
  <si>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</si>
  <si>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</si>
  <si>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</si>
  <si>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</si>
  <si>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</si>
  <si>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</si>
  <si>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</si>
  <si>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</si>
  <si>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</si>
  <si>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</si>
  <si>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</si>
  <si>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66.67%</t>
  </si>
  <si>
    <t>Sous total</t>
  </si>
  <si>
    <t>HUMERUS</t>
  </si>
  <si>
    <t xml:space="preserve">  2000171</t>
  </si>
  <si>
    <t xml:space="preserve">  Acte fictif n° 1</t>
  </si>
  <si>
    <t>33.33%</t>
  </si>
  <si>
    <t>COUDE</t>
  </si>
  <si>
    <t xml:space="preserve">  2000342</t>
  </si>
  <si>
    <t xml:space="preserve">  Acte fictif n° 2</t>
  </si>
  <si>
    <t>AVANT-BRAS</t>
  </si>
  <si>
    <t>POIGNET-MAIN</t>
  </si>
  <si>
    <t>RACHIS</t>
  </si>
  <si>
    <t>20%</t>
  </si>
  <si>
    <t xml:space="preserve">  2003402</t>
  </si>
  <si>
    <t xml:space="preserve">  Acte fictif n° 20</t>
  </si>
  <si>
    <t>BASSIN</t>
  </si>
  <si>
    <t>HANCHE</t>
  </si>
  <si>
    <t xml:space="preserve">  2006291</t>
  </si>
  <si>
    <t xml:space="preserve">  Acte fictif n° 37</t>
  </si>
  <si>
    <t>FEMUR PROXIMAL</t>
  </si>
  <si>
    <t>FEMUR DIAPHYSE</t>
  </si>
  <si>
    <t>FEMUR DISTAL</t>
  </si>
  <si>
    <t>GENOU</t>
  </si>
  <si>
    <t>JAMBE</t>
  </si>
  <si>
    <t xml:space="preserve">  2004590</t>
  </si>
  <si>
    <t xml:space="preserve">  Acte fictif n° 27</t>
  </si>
  <si>
    <t xml:space="preserve">  2002043</t>
  </si>
  <si>
    <t xml:space="preserve">  Acte fictif n° 12</t>
  </si>
  <si>
    <t>CHEVILLE</t>
  </si>
  <si>
    <t xml:space="preserve">  2002214</t>
  </si>
  <si>
    <t xml:space="preserve">  Acte fictif n° 13</t>
  </si>
  <si>
    <t>PIED</t>
  </si>
  <si>
    <t>TOTAL GENERAL</t>
  </si>
  <si>
    <t>TRAUMATOLOGIE</t>
  </si>
  <si>
    <t xml:space="preserve">  2005787</t>
  </si>
  <si>
    <t xml:space="preserve">  Acte fictif n° 34</t>
  </si>
  <si>
    <t>16.67%</t>
  </si>
  <si>
    <t>CHIRURGIE GENERALE</t>
  </si>
  <si>
    <t>TYPE DE CHIRURGIE</t>
  </si>
  <si>
    <t>DIGESTIVE</t>
  </si>
  <si>
    <t>GENERAL</t>
  </si>
  <si>
    <t xml:space="preserve">  2001530</t>
  </si>
  <si>
    <t xml:space="preserve">  Acte fictif n° 9</t>
  </si>
  <si>
    <t>UROLOGIE</t>
  </si>
  <si>
    <t>VASCULAIRE</t>
  </si>
  <si>
    <t>THORACIQUE</t>
  </si>
  <si>
    <t>PLASTIQUE</t>
  </si>
  <si>
    <t xml:space="preserve">  2004932</t>
  </si>
  <si>
    <t xml:space="preserve">  Acte fictif n° 29</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</si>
  <si>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</si>
  <si>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</si>
  <si>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</si>
  <si>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</si>
  <si>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</si>
  <si>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</si>
  <si>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</si>
  <si>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2</t>
  </si>
  <si>
    <t>DATE</t>
  </si>
  <si>
    <t xml:space="preserve">  Type de consultation</t>
  </si>
  <si>
    <t xml:space="preserve">  OCTOBRE</t>
  </si>
  <si>
    <t>22-10-18</t>
  </si>
  <si>
    <t xml:space="preserve">  Orthopédie</t>
  </si>
  <si>
    <t xml:space="preserve">  Nb de patient</t>
  </si>
  <si>
    <t xml:space="preserve">  Traumatologie</t>
  </si>
  <si>
    <t xml:space="preserve">  NOVEMBRE</t>
  </si>
  <si>
    <t>01-11-18</t>
  </si>
  <si>
    <t>13-11-18</t>
  </si>
  <si>
    <t>03-11-18</t>
  </si>
  <si>
    <t>05-11-18</t>
  </si>
  <si>
    <t>07-11-18</t>
  </si>
  <si>
    <t>09-11-18</t>
  </si>
  <si>
    <t>11-11-18</t>
  </si>
  <si>
    <t xml:space="preserve">  Digestive</t>
  </si>
  <si>
    <t xml:space="preserve">  Urologie</t>
  </si>
  <si>
    <t xml:space="preserve">  DECEMBRE</t>
  </si>
  <si>
    <t xml:space="preserve">  Vasculaire</t>
  </si>
  <si>
    <t xml:space="preserve">  Plastique</t>
  </si>
  <si>
    <t xml:space="preserve">  JANVIER</t>
  </si>
  <si>
    <t xml:space="preserve">  FEVRIER</t>
  </si>
  <si>
    <t xml:space="preserve">  MARS</t>
  </si>
  <si>
    <t xml:space="preserve">  AVRIL</t>
  </si>
  <si>
    <t xml:space="preserve">  MAI</t>
  </si>
  <si>
    <t xml:space="preserve">  JUIN</t>
  </si>
  <si>
    <t>02-06-19</t>
  </si>
  <si>
    <t>04-06-19</t>
  </si>
  <si>
    <t xml:space="preserve">  JUILLET</t>
  </si>
  <si>
    <t xml:space="preserve">  AOUT</t>
  </si>
  <si>
    <t>01-08-19</t>
  </si>
  <si>
    <t xml:space="preserve">  SEPTEMBRE</t>
  </si>
  <si>
    <t>01-09-19</t>
  </si>
  <si>
    <t xml:space="preserve">  66</t>
  </si>
  <si>
    <t xml:space="preserve">  63</t>
  </si>
  <si>
    <t xml:space="preserve">  5</t>
  </si>
  <si>
    <t xml:space="preserve">  36</t>
  </si>
  <si>
    <t xml:space="preserve">  65</t>
  </si>
  <si>
    <t xml:space="preserve">  38</t>
  </si>
  <si>
    <t xml:space="preserve">  LISTE RECAPITULATIVE DES GARDES</t>
  </si>
  <si>
    <t xml:space="preserve"> Info complémentaire</t>
  </si>
  <si>
    <t>07-10-18</t>
  </si>
  <si>
    <t>11-10-18</t>
  </si>
  <si>
    <t>14-10-18</t>
  </si>
  <si>
    <t>10-10-18</t>
  </si>
  <si>
    <t>03-10-18</t>
  </si>
  <si>
    <t>05-10-18</t>
  </si>
  <si>
    <t>Nb total de gardes</t>
  </si>
  <si>
    <t>Nb patients traités</t>
  </si>
  <si>
    <t>30-11-18</t>
  </si>
  <si>
    <t>18-11-18</t>
  </si>
  <si>
    <t>24-11-18</t>
  </si>
  <si>
    <t>03-12-18</t>
  </si>
  <si>
    <t>06-12-18</t>
  </si>
  <si>
    <t>09-12-18</t>
  </si>
  <si>
    <t>12-12-18</t>
  </si>
  <si>
    <t>15-12-18</t>
  </si>
  <si>
    <t>18-12-18</t>
  </si>
  <si>
    <t>21-12-18</t>
  </si>
  <si>
    <t>24-12-18</t>
  </si>
  <si>
    <t>27-12-18</t>
  </si>
  <si>
    <t>02-12-18</t>
  </si>
  <si>
    <t>05-12-18</t>
  </si>
  <si>
    <t>08-12-18</t>
  </si>
  <si>
    <t>11-12-18</t>
  </si>
  <si>
    <t>14-12-18</t>
  </si>
  <si>
    <t>25-01-19</t>
  </si>
  <si>
    <t>21-01-19</t>
  </si>
  <si>
    <t>07-02-19</t>
  </si>
  <si>
    <t>06-03-19</t>
  </si>
  <si>
    <t>13-03-19</t>
  </si>
  <si>
    <t>20-03-19</t>
  </si>
  <si>
    <t>04-04-19</t>
  </si>
  <si>
    <t>26-05-19</t>
  </si>
  <si>
    <t>01-05-19</t>
  </si>
  <si>
    <t>11-05-19</t>
  </si>
  <si>
    <t>13-06-19</t>
  </si>
  <si>
    <t>05-07-19</t>
  </si>
  <si>
    <t>18-08-19</t>
  </si>
  <si>
    <t>08-08-19</t>
  </si>
  <si>
    <t>29-08-19</t>
  </si>
  <si>
    <t>04-09-19</t>
  </si>
  <si>
    <t>29-09-19</t>
  </si>
  <si>
    <t>08-09-19</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</si>
  <si>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</si>
  <si>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</si>
  <si>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</si>
  <si>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</si>
  <si>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</si>
  <si>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</si>
  <si>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</si>
  <si>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</si>
  <si>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</si>
  <si>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</si>
  <si>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</si>
  <si>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</si>
  <si>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</si>
  <si>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</si>
  <si>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</si>
  <si>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</si>
  <si>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</si>
  <si>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</si>
  <si>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</si>
  <si>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</si>
  <si>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</si>
  <si>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</si>
  <si>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</si>
  <si>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</si>
  <si>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</si>
  <si>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</si>
  <si>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</si>
  <si>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</si>
  <si>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</si>
  <si>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</si>
  <si>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</si>
  <si>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</si>
  <si>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</si>
  <si>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</si>
  <si>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</si>
  <si>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</si>
  <si>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</si>
  <si>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</si>
  <si>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</si>
  <si>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</si>
  <si>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</si>
  <si>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</si>
  <si>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</si>
  <si>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</si>
  <si>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</si>
  <si>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</si>
  <si>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</si>
  <si>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</si>
  <si>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</si>
  <si>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</si>
  <si>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</si>
  <si>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</si>
  <si>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</si>
  <si>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</si>
  <si>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</si>
  <si>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</si>
  <si>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</si>
  <si>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</si>
  <si>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</si>
  <si>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</si>
  <si>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</si>
  <si>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</si>
  <si>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</si>
  <si>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</si>
  <si>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</si>
  <si>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</si>
  <si>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</si>
  <si>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</si>
  <si>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</si>
  <si>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</si>
  <si>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</si>
  <si>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</si>
  <si>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</si>
  <si>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</si>
  <si>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</si>
  <si>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</si>
  <si>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</si>
  <si>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</si>
  <si>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</si>
  <si>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</si>
  <si>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</si>
  <si>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</si>
  <si>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</si>
  <si>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</si>
  <si>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06-01-2019</t>
  </si>
  <si>
    <t xml:space="preserve">   CHU Test</t>
  </si>
  <si>
    <t xml:space="preserve">   Formation fictive 0</t>
  </si>
  <si>
    <t xml:space="preserve">   Sujet fictif 0</t>
  </si>
  <si>
    <t>ASSISTANCES AUX COURS, SEMINAIRES ET COLLOQUES EN DEHORS DE L'HOPITAL DE STAGE</t>
  </si>
  <si>
    <t>27-08-2019</t>
  </si>
  <si>
    <t xml:space="preserve">   Autre lieu</t>
  </si>
  <si>
    <t xml:space="preserve">   Formation fictive 2</t>
  </si>
  <si>
    <t xml:space="preserve">   Sujet fictif 2</t>
  </si>
  <si>
    <t>28-08-2019</t>
  </si>
  <si>
    <t>11-12-2018</t>
  </si>
  <si>
    <t xml:space="preserve">   Formation fictive 7</t>
  </si>
  <si>
    <t xml:space="preserve">   Sujet fictif 7</t>
  </si>
  <si>
    <t>12-12-2018</t>
  </si>
  <si>
    <t>13-12-2018</t>
  </si>
  <si>
    <t>14-12-2018</t>
  </si>
  <si>
    <t xml:space="preserve">   Formation fictive 10</t>
  </si>
  <si>
    <t xml:space="preserve">   Sujet fictif 10</t>
  </si>
  <si>
    <t>15-12-2018</t>
  </si>
  <si>
    <t>15-02-2019</t>
  </si>
  <si>
    <t xml:space="preserve">   Formation fictive 11</t>
  </si>
  <si>
    <t xml:space="preserve">   Sujet fictif 11</t>
  </si>
  <si>
    <t>16-02-2019</t>
  </si>
  <si>
    <t>17-02-2019</t>
  </si>
  <si>
    <t>PARTICIPATIONS ACTIVES AUX  COURS, COLLOQUES ET CONGRES</t>
  </si>
  <si>
    <t>11-11-2018</t>
  </si>
  <si>
    <t xml:space="preserve">   Formation fictive 1</t>
  </si>
  <si>
    <t xml:space="preserve">   Organisateur:  Sujet fictif 1</t>
  </si>
  <si>
    <t>30-11-2018</t>
  </si>
  <si>
    <t xml:space="preserve">   Formation fictive 3</t>
  </si>
  <si>
    <t xml:space="preserve">   Organisateur:  Sujet fictif 3</t>
  </si>
  <si>
    <t>01-12-2018</t>
  </si>
  <si>
    <t>02-12-2018</t>
  </si>
  <si>
    <t>06-04-2019</t>
  </si>
  <si>
    <t xml:space="preserve">   Formation fictive 4</t>
  </si>
  <si>
    <t xml:space="preserve">   Orateur:  Sujet fictif 4</t>
  </si>
  <si>
    <t>31-10-2018</t>
  </si>
  <si>
    <t xml:space="preserve">   Formation fictive 5</t>
  </si>
  <si>
    <t xml:space="preserve">   Orateur:  Sujet fictif 5</t>
  </si>
  <si>
    <t>05-04-2019</t>
  </si>
  <si>
    <t xml:space="preserve">   Formation fictive 6</t>
  </si>
  <si>
    <t xml:space="preserve">   Orateur:  Sujet fictif 6</t>
  </si>
  <si>
    <t>04-01-2019</t>
  </si>
  <si>
    <t xml:space="preserve">   Formation fictive 8</t>
  </si>
  <si>
    <t xml:space="preserve">   Organisateur:  Sujet fictif 8</t>
  </si>
  <si>
    <t>10-11-2018</t>
  </si>
  <si>
    <t xml:space="preserve">   Formation fictive 9</t>
  </si>
  <si>
    <t xml:space="preserve">   Orateur:  Sujet fictif 9</t>
  </si>
  <si>
    <t>12-08-2019</t>
  </si>
  <si>
    <t xml:space="preserve">   Formation fictive 12</t>
  </si>
  <si>
    <t xml:space="preserve">   Organisateur:  Sujet fictif 12</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</si>
  <si>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</si>
  <si>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D</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</si>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</sst>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B8CCE4"/>
        <bgColor rgb="FFFFFFFF"/>
      </patternFill>
    </fill>
    <fill>
      <patternFill patternType="solid">
        <fgColor rgb="FF558ED5"/>
        <bgColor rgb="FFFFFFFF"/>
      </patternFill>
    </fill>
    <fill>
      <patternFill patternType="solid">
        <fgColor rgb="FF00FF00"/>
        <bgColor rgb="FFFFFFFF"/>
      </patternFill>
    </fill>
  </fills>
  <borders count="131">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0" numFmtId="0" fillId="0" borderId="38"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9"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lignment horizontal="centerContinuous" vertical="bottom" textRotation="0" wrapText="false" shrinkToFit="false"/>
    </xf>
    <xf xfId="0" fontId="16" numFmtId="0" fillId="0" borderId="41" applyFont="1" applyNumberFormat="0" applyFill="0" applyBorder="1" applyAlignment="1">
      <alignment horizontal="centerContinuous" vertical="bottom" textRotation="0" wrapText="false" shrinkToFit="false"/>
    </xf>
    <xf xfId="0" fontId="13"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7"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4" applyFont="1" applyNumberFormat="0" applyFill="0" applyBorder="1" applyAlignment="1" applyProtection="true">
      <alignment horizontal="centerContinuous" vertical="bottom" textRotation="0" wrapText="false" shrinkToFit="false"/>
      <protection hidden="true"/>
    </xf>
    <xf xfId="0" fontId="17"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4"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7"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0"/>
    <xf xfId="0" fontId="10" numFmtId="0" fillId="0" borderId="19" applyFont="1" applyNumberFormat="0" applyFill="0" applyBorder="1" applyAlignment="0"/>
    <xf xfId="0" fontId="10" numFmtId="0" fillId="0" borderId="47"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2" applyFont="1" applyNumberFormat="0" applyFill="0" applyBorder="1" applyAlignment="0" applyProtection="true">
      <protection hidden="true"/>
    </xf>
    <xf xfId="0" fontId="10" numFmtId="0" fillId="0" borderId="43" applyFont="1" applyNumberFormat="0" applyFill="0" applyBorder="1" applyAlignment="0" applyProtection="true">
      <protection hidden="true"/>
    </xf>
    <xf xfId="0" fontId="10" numFmtId="0" fillId="0" borderId="43" applyFont="1" applyNumberFormat="0" applyFill="0" applyBorder="1" applyAlignment="0" applyProtection="true">
      <protection locked="false"/>
    </xf>
    <xf xfId="0" fontId="10" numFmtId="0" fillId="0" borderId="43" applyFont="1" applyNumberFormat="0" applyFill="0" applyBorder="1" applyAlignment="1">
      <alignment horizontal="left" vertical="bottom" textRotation="0" wrapText="false" shrinkToFit="false"/>
    </xf>
    <xf xfId="0" fontId="10" numFmtId="0" fillId="0" borderId="44"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5"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7"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8" applyFont="1" applyNumberFormat="0" applyFill="0" applyBorder="1" applyAlignment="1" applyProtection="true">
      <alignment horizontal="centerContinuous" vertical="bottom" textRotation="0" wrapText="false" shrinkToFit="false"/>
      <protection hidden="true"/>
    </xf>
    <xf xfId="0" fontId="11" numFmtId="0" fillId="0" borderId="49" applyFont="1" applyNumberFormat="0" applyFill="0" applyBorder="1" applyAlignment="1" applyProtection="true">
      <alignment horizontal="centerContinuous" vertical="bottom" textRotation="0" wrapText="false" shrinkToFit="false"/>
      <protection hidden="true"/>
    </xf>
    <xf xfId="0" fontId="16" numFmtId="0" fillId="0" borderId="49" applyFont="1" applyNumberFormat="0" applyFill="0" applyBorder="1" applyAlignment="1">
      <alignment horizontal="centerContinuous" vertical="bottom" textRotation="0" wrapText="false" shrinkToFit="false"/>
    </xf>
    <xf xfId="0" fontId="16" numFmtId="0" fillId="0" borderId="50"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1"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1"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3"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0" applyFont="1" applyNumberFormat="0" applyFill="1" applyBorder="1" applyAlignment="1">
      <alignment vertical="center" textRotation="0" wrapText="true" shrinkToFit="false"/>
    </xf>
    <xf xfId="0" fontId="22" numFmtId="0" fillId="0" borderId="53" applyFont="1" applyNumberFormat="0" applyFill="0" applyBorder="1" applyAlignment="1">
      <alignment vertical="center" textRotation="0" wrapText="true" shrinkToFit="false"/>
    </xf>
    <xf xfId="0" fontId="22" numFmtId="0" fillId="6" borderId="51"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0" numFmtId="0" fillId="5" borderId="53"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3" applyFont="1" applyNumberFormat="0" applyFill="0" applyBorder="1" applyAlignment="1" applyProtection="true">
      <alignment horizontal="left"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30"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0" numFmtId="1" fillId="0" borderId="71" applyFont="1" applyNumberFormat="1" applyFill="0" applyBorder="1" applyAlignment="1" applyProtection="true">
      <alignment horizontal="center" vertical="center" textRotation="0" wrapText="true" shrinkToFit="false"/>
      <protection hidden="true"/>
    </xf>
    <xf xfId="0" fontId="32" numFmtId="1" fillId="0" borderId="71" applyFont="1" applyNumberFormat="1" applyFill="0" applyBorder="1" applyAlignment="1" applyProtection="true">
      <alignment horizontal="center" vertical="center" textRotation="0" wrapText="true" shrinkToFit="false"/>
      <protection hidden="true"/>
    </xf>
    <xf xfId="0" fontId="33" numFmtId="9" fillId="0" borderId="67"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2" numFmtId="1" fillId="0" borderId="67"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10" numFmtId="0" fillId="0" borderId="76" applyFont="1" applyNumberFormat="0" applyFill="0" applyBorder="1" applyAlignment="0"/>
    <xf xfId="0" fontId="10" numFmtId="0" fillId="0" borderId="48"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1"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0" applyProtection="true">
      <protection hidden="true"/>
    </xf>
    <xf xfId="0" fontId="30" numFmtId="1" fillId="0" borderId="80" applyFont="1" applyNumberFormat="1" applyFill="0" applyBorder="1" applyAlignment="1" applyProtection="true">
      <alignment horizontal="center" vertical="center" textRotation="0" wrapText="true" shrinkToFit="fals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left"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2" numFmtId="1" fillId="0" borderId="81" applyFont="1" applyNumberFormat="1" applyFill="0" applyBorder="1" applyAlignment="1" applyProtection="true">
      <alignment horizontal="center" vertical="center" textRotation="0" wrapText="true" shrinkToFit="false"/>
      <protection hidden="true"/>
    </xf>
    <xf xfId="0" fontId="33" numFmtId="9" fillId="0" borderId="81"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10" numFmtId="0" fillId="0" borderId="89" applyFont="1" applyNumberFormat="0" applyFill="0" applyBorder="1" applyAlignment="1">
      <alignment horizontal="left" vertical="bottom" textRotation="0" wrapText="false" shrinkToFit="false"/>
    </xf>
    <xf xfId="0" fontId="10" numFmtId="0" fillId="0" borderId="63" applyFont="1" applyNumberFormat="0" applyFill="0" applyBorder="1" applyAlignment="0"/>
    <xf xfId="0" fontId="10" numFmtId="0" fillId="0" borderId="21" applyFont="1" applyNumberFormat="0" applyFill="0" applyBorder="1" applyAlignment="0"/>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82" applyFont="1" applyNumberFormat="0" applyFill="0" applyBorder="1" applyAlignment="1" applyProtection="true">
      <alignment horizontal="centerContinuous" vertical="bottom" textRotation="0" wrapText="false" shrinkToFit="false"/>
      <protection hidden="true"/>
    </xf>
    <xf xfId="0" fontId="10" numFmtId="0" fillId="0" borderId="65" applyFont="1" applyNumberFormat="0" applyFill="0" applyBorder="1" applyAlignment="0" applyProtection="true">
      <protection hidden="true"/>
    </xf>
    <xf xfId="0" fontId="10" numFmtId="0" fillId="0" borderId="76" applyFont="1" applyNumberFormat="0" applyFill="0" applyBorder="1" applyAlignment="1">
      <alignment horizontal="left" vertical="bottom" textRotation="0" wrapText="false" shrinkToFit="false"/>
    </xf>
    <xf xfId="0" fontId="10" numFmtId="0" fillId="0" borderId="66" applyFont="1" applyNumberFormat="0" applyFill="0" applyBorder="1" applyAlignment="0" applyProtection="true">
      <protection hidden="true"/>
    </xf>
    <xf xfId="0" fontId="30" numFmtId="1" fillId="0" borderId="53"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16" numFmtId="0" fillId="7" borderId="48" applyFont="1" applyNumberFormat="0" applyFill="1" applyBorder="1" applyAlignment="1" applyProtection="true">
      <alignment horizontal="centerContinuous" vertical="bottom" textRotation="0" wrapText="false" shrinkToFit="false"/>
      <protection hidden="true"/>
    </xf>
    <xf xfId="0" fontId="16" numFmtId="0" fillId="7" borderId="49" applyFont="1" applyNumberFormat="0" applyFill="1" applyBorder="1" applyAlignment="1" applyProtection="true">
      <alignment horizontal="centerContinuous" vertical="bottom" textRotation="0" wrapText="false" shrinkToFit="false"/>
      <protection hidden="true"/>
    </xf>
    <xf xfId="0" fontId="16" numFmtId="0" fillId="7" borderId="50"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0" applyFont="1" applyNumberFormat="1" applyFill="0" applyBorder="1" applyAlignment="1" applyProtection="true">
      <alignment horizontal="center" vertical="center" textRotation="0" wrapText="true" shrinkToFit="false"/>
      <protection hidden="true"/>
    </xf>
    <xf xfId="0" fontId="30" numFmtId="1" fillId="0" borderId="91" applyFont="1" applyNumberFormat="1" applyFill="0" applyBorder="1" applyAlignment="1" applyProtection="true">
      <alignment horizontal="center" vertical="center" textRotation="0" wrapText="true" shrinkToFit="false"/>
      <protection hidden="true"/>
    </xf>
    <xf xfId="0" fontId="16" numFmtId="0" fillId="8" borderId="49" applyFont="1" applyNumberFormat="0" applyFill="1" applyBorder="1" applyAlignment="1" applyProtection="true">
      <alignment horizontal="centerContinuous" vertical="bottom" textRotation="0" wrapText="false" shrinkToFit="false"/>
      <protection hidden="true"/>
    </xf>
    <xf xfId="0" fontId="16" numFmtId="0" fillId="8" borderId="50"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82"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1" applyFont="1" applyNumberFormat="1" applyFill="0" applyBorder="1" applyAlignment="1" applyProtection="true">
      <alignment horizontal="center" vertical="center" textRotation="0" wrapText="true" shrinkToFit="false"/>
      <protection hidden="true"/>
    </xf>
    <xf xfId="0" fontId="33" numFmtId="9" fillId="0" borderId="91" applyFont="1" applyNumberFormat="1" applyFill="0" applyBorder="1" applyAlignment="1" applyProtection="true">
      <alignment horizontal="center" vertical="center" textRotation="0" wrapText="true" shrinkToFit="false"/>
      <protection hidden="true"/>
    </xf>
    <xf xfId="0" fontId="17" numFmtId="1" fillId="0" borderId="77" applyFont="1" applyNumberFormat="1" applyFill="0" applyBorder="1" applyAlignment="1" applyProtection="true">
      <alignment horizontal="center" vertical="bottom" textRotation="0" wrapText="false" shrinkToFit="false"/>
      <protection hidden="true"/>
    </xf>
    <xf xfId="0" fontId="0" numFmtId="164" fillId="0" borderId="92" applyFont="0" applyNumberFormat="1" applyFill="0" applyBorder="1" applyAlignment="1">
      <alignment horizontal="center" vertical="bottom" textRotation="0" wrapText="false" shrinkToFit="false"/>
    </xf>
    <xf xfId="0" fontId="0" numFmtId="164" fillId="0" borderId="93" applyFont="0" applyNumberFormat="1" applyFill="0" applyBorder="1" applyAlignment="1">
      <alignment horizontal="center" vertical="bottom"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8" applyFont="1" applyNumberFormat="0" applyFill="0" applyBorder="1" applyAlignment="1" applyProtection="true">
      <alignment horizontal="left" vertical="bottom" textRotation="0" wrapText="false" shrinkToFit="false" indent="1"/>
      <protection hidden="true"/>
    </xf>
    <xf xfId="0" fontId="10" numFmtId="0" fillId="0" borderId="73" applyFont="1" applyNumberFormat="0" applyFill="0" applyBorder="1" applyAlignment="1" applyProtection="true">
      <alignment horizontal="left" vertical="bottom" textRotation="0" wrapText="false" shrinkToFit="false" indent="1"/>
      <protection hidden="true"/>
    </xf>
    <xf xfId="0" fontId="11" numFmtId="0" fillId="9" borderId="48" applyFont="1" applyNumberFormat="0" applyFill="1" applyBorder="1" applyAlignment="1" applyProtection="true">
      <alignment horizontal="center" vertical="bottom" textRotation="0" wrapText="false" shrinkToFit="false"/>
      <protection hidden="true"/>
    </xf>
    <xf xfId="0" fontId="11" numFmtId="0" fillId="9" borderId="49" applyFont="1" applyNumberFormat="0" applyFill="1" applyBorder="1" applyAlignment="1" applyProtection="true">
      <alignment horizontal="center" vertical="bottom" textRotation="0" wrapText="false" shrinkToFit="false"/>
      <protection hidden="true"/>
    </xf>
    <xf xfId="0" fontId="11" numFmtId="0" fillId="9" borderId="50" applyFont="1" applyNumberFormat="0" applyFill="1"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0" numFmtId="0" fillId="0" borderId="65" applyFont="1" applyNumberFormat="0" applyFill="0" applyBorder="1" applyAlignment="1" applyProtection="true">
      <alignment horizontal="left" vertical="bottom" textRotation="0" wrapText="false" shrinkToFit="false" indent="1"/>
      <protection hidden="true"/>
    </xf>
    <xf xfId="0" fontId="17" numFmtId="0" fillId="0" borderId="48" applyFont="1" applyNumberFormat="0" applyFill="0" applyBorder="1" applyAlignment="1" applyProtection="true">
      <alignment horizontal="center" vertical="bottom" textRotation="0" wrapText="false" shrinkToFit="false"/>
      <protection hidden="true"/>
    </xf>
    <xf xfId="0" fontId="17" numFmtId="0" fillId="0" borderId="49"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1" borderId="48" applyFont="1" applyNumberFormat="0" applyFill="1" applyBorder="1" applyAlignment="1" applyProtection="true">
      <alignment horizontal="center" vertical="center" textRotation="0" wrapText="true" shrinkToFit="false"/>
      <protection hidden="true"/>
    </xf>
    <xf xfId="0" fontId="41" numFmtId="0" fillId="5" borderId="49" applyFont="1" applyNumberFormat="0" applyFill="1" applyBorder="1" applyAlignment="1" applyProtection="true">
      <alignment horizontal="center" vertical="bottom" textRotation="0" wrapText="false" shrinkToFit="false"/>
      <protection hidden="true"/>
    </xf>
    <xf xfId="0" fontId="41" numFmtId="0" fillId="5" borderId="50" applyFont="1" applyNumberFormat="0" applyFill="1" applyBorder="1" applyAlignment="1" applyProtection="true">
      <alignment horizontal="center" vertical="bottom" textRotation="0" wrapText="false" shrinkToFit="false"/>
      <protection hidden="true"/>
    </xf>
    <xf xfId="0" fontId="42" numFmtId="0" fillId="0" borderId="48" applyFont="1" applyNumberFormat="0" applyFill="0" applyBorder="1" applyAlignment="1" applyProtection="true">
      <alignment horizontal="center" vertical="center" textRotation="0" wrapText="false" shrinkToFit="false"/>
      <protection hidden="true"/>
    </xf>
    <xf xfId="0" fontId="41" numFmtId="0" fillId="0" borderId="49" applyFont="1" applyNumberFormat="0" applyFill="0" applyBorder="1" applyAlignment="0" applyProtection="true">
      <protection hidden="true"/>
    </xf>
    <xf xfId="0" fontId="41" numFmtId="0" fillId="0" borderId="50" applyFont="1" applyNumberFormat="0" applyFill="0" applyBorder="1" applyAlignment="0" applyProtection="true">
      <protection hidden="true"/>
    </xf>
    <xf xfId="0" fontId="42" numFmtId="0" fillId="0" borderId="49" applyFont="1" applyNumberFormat="0" applyFill="0" applyBorder="1" applyAlignment="1" applyProtection="true">
      <alignment horizontal="center" vertical="center" textRotation="0" wrapText="false" shrinkToFit="false"/>
      <protection hidden="true"/>
    </xf>
    <xf xfId="0" fontId="42" numFmtId="0" fillId="0" borderId="50" applyFont="1" applyNumberFormat="0" applyFill="0" applyBorder="1" applyAlignment="1" applyProtection="true">
      <alignment horizontal="center" vertical="center" textRotation="0" wrapText="false" shrinkToFit="false"/>
      <protection hidden="true"/>
    </xf>
    <xf xfId="0" fontId="43" numFmtId="0" fillId="9" borderId="48" applyFont="1" applyNumberFormat="0" applyFill="1" applyBorder="1" applyAlignment="1" applyProtection="true">
      <alignment horizontal="center" vertical="center" textRotation="0" wrapText="true" shrinkToFit="false"/>
      <protection hidden="true"/>
    </xf>
    <xf xfId="0" fontId="43" numFmtId="0" fillId="9" borderId="49" applyFont="1" applyNumberFormat="0" applyFill="1" applyBorder="1" applyAlignment="1" applyProtection="true">
      <alignment horizontal="center" vertical="center" textRotation="0" wrapText="true" shrinkToFit="false"/>
      <protection hidden="true"/>
    </xf>
    <xf xfId="0" fontId="43" numFmtId="0" fillId="9" borderId="50" applyFont="1" applyNumberFormat="0" applyFill="1" applyBorder="1" applyAlignment="1" applyProtection="true">
      <alignment horizontal="center" vertical="center" textRotation="0" wrapText="true" shrinkToFit="false"/>
      <protection hidden="true"/>
    </xf>
    <xf xfId="0" fontId="31" numFmtId="0" fillId="12" borderId="99" applyFont="1" applyNumberFormat="0" applyFill="1" applyBorder="1" applyAlignment="1" applyProtection="true">
      <alignment horizontal="center" vertical="center" textRotation="0" wrapText="false" shrinkToFit="false"/>
      <protection hidden="true"/>
    </xf>
    <xf xfId="0" fontId="41" numFmtId="0" fillId="12" borderId="24" applyFont="1" applyNumberFormat="0" applyFill="1" applyBorder="1" applyAlignment="0" applyProtection="true">
      <protection hidden="true"/>
    </xf>
    <xf xfId="0" fontId="41" numFmtId="0" fillId="12" borderId="51" applyFont="1" applyNumberFormat="0" applyFill="1" applyBorder="1" applyAlignment="0" applyProtection="true">
      <protection hidden="true"/>
    </xf>
    <xf xfId="0" fontId="31" numFmtId="0" fillId="12" borderId="21" applyFont="1" applyNumberFormat="0" applyFill="1" applyBorder="1" applyAlignment="1" applyProtection="true">
      <alignment horizontal="center" vertical="center" textRotation="0" wrapText="false" shrinkToFit="false"/>
      <protection hidden="true"/>
    </xf>
    <xf xfId="0" fontId="31" numFmtId="0" fillId="12" borderId="0" applyFont="1" applyNumberFormat="0" applyFill="1" applyBorder="0" applyAlignment="1" applyProtection="true">
      <alignment horizontal="center" vertical="center" textRotation="0" wrapText="false" shrinkToFit="false"/>
      <protection hidden="true"/>
    </xf>
    <xf xfId="0" fontId="31" numFmtId="0" fillId="12" borderId="52" applyFont="1" applyNumberFormat="0" applyFill="1" applyBorder="1" applyAlignment="1" applyProtection="true">
      <alignment horizontal="center" vertical="center" textRotation="0" wrapText="false" shrinkToFit="false"/>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101" applyFont="1" applyNumberFormat="0" applyFill="0" applyBorder="1" applyAlignment="1" applyProtection="true">
      <alignment horizontal="left" vertical="bottom" textRotation="0" wrapText="false" shrinkToFit="false" indent="1"/>
      <protection hidden="true"/>
    </xf>
    <xf xfId="0" fontId="10" numFmtId="0" fillId="13" borderId="48" applyFont="1" applyNumberFormat="0" applyFill="1" applyBorder="1" applyAlignment="1" applyProtection="true">
      <alignment horizontal="center" vertical="bottom" textRotation="0" wrapText="false" shrinkToFit="false"/>
      <protection hidden="true"/>
    </xf>
    <xf xfId="0" fontId="10" numFmtId="0" fillId="13" borderId="49" applyFont="1" applyNumberFormat="0" applyFill="1" applyBorder="1" applyAlignment="1" applyProtection="true">
      <alignment horizontal="center" vertical="bottom" textRotation="0" wrapText="false" shrinkToFit="false"/>
      <protection hidden="true"/>
    </xf>
    <xf xfId="0" fontId="10" numFmtId="0" fillId="13" borderId="54" applyFont="1" applyNumberFormat="0" applyFill="1" applyBorder="1" applyAlignment="1" applyProtection="true">
      <alignment horizontal="center" vertical="bottom" textRotation="0" wrapText="false" shrinkToFit="false"/>
      <protection hidden="true"/>
    </xf>
    <xf xfId="0" fontId="10" numFmtId="0" fillId="0" borderId="98" applyFont="1" applyNumberFormat="0" applyFill="0" applyBorder="1" applyAlignment="1">
      <alignment horizontal="left" vertical="bottom" textRotation="0" wrapText="false" shrinkToFit="false" indent="1"/>
    </xf>
    <xf xfId="0" fontId="10" numFmtId="0" fillId="0" borderId="73" applyFont="1" applyNumberFormat="0" applyFill="0" applyBorder="1" applyAlignment="1">
      <alignment horizontal="left" vertical="bottom" textRotation="0" wrapText="false" shrinkToFit="false" indent="1"/>
    </xf>
    <xf xfId="0" fontId="10" numFmtId="0" fillId="0" borderId="48" applyFont="1" applyNumberFormat="0" applyFill="0" applyBorder="1" applyAlignment="1" applyProtection="true">
      <alignment horizontal="center" vertical="bottom" textRotation="0" wrapText="false" shrinkToFit="false"/>
      <protection hidden="true"/>
    </xf>
    <xf xfId="0" fontId="10" numFmtId="0" fillId="0" borderId="49"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103"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center" vertical="bottom" textRotation="0" wrapText="false" shrinkToFit="false"/>
    </xf>
    <xf xfId="0" fontId="0" numFmtId="0" fillId="0" borderId="101" applyFont="0" applyNumberFormat="0" applyFill="0" applyBorder="1" applyAlignment="1">
      <alignment horizontal="center" vertical="bottom" textRotation="0" wrapText="false" shrinkToFit="false"/>
    </xf>
    <xf xfId="0" fontId="0" numFmtId="0" fillId="0" borderId="104" applyFont="0" applyNumberFormat="0" applyFill="0" applyBorder="1" applyAlignment="1">
      <alignment horizontal="center" vertical="bottom" textRotation="0" wrapText="false" shrinkToFit="false"/>
    </xf>
    <xf xfId="0" fontId="0" numFmtId="0" fillId="0" borderId="86"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lignment horizontal="left" vertical="center" textRotation="0" wrapText="true" shrinkToFit="false" indent="1"/>
    </xf>
    <xf xfId="0" fontId="10" numFmtId="0" fillId="0" borderId="65" applyFont="1" applyNumberFormat="0" applyFill="0" applyBorder="1" applyAlignment="1">
      <alignment horizontal="left" vertical="center" textRotation="0" wrapText="true" shrinkToFit="false" indent="1"/>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86"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68"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98" applyFont="1" applyNumberFormat="0" applyFill="0" applyBorder="1" applyAlignment="1" applyProtection="true">
      <alignment horizontal="left" vertical="bottom" textRotation="0" wrapText="false" shrinkToFit="false" indent="1"/>
      <protection hidden="true"/>
    </xf>
    <xf xfId="0" fontId="18" numFmtId="0" fillId="0" borderId="73"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101" applyFont="1" applyNumberFormat="0" applyFill="0" applyBorder="1" applyAlignment="1" applyProtection="true">
      <alignment horizontal="left" vertical="bottom" textRotation="0" wrapText="false" shrinkToFit="false" indent="1"/>
      <protection hidden="true"/>
    </xf>
    <xf xfId="0" fontId="9" numFmtId="0" fillId="14" borderId="105" applyFont="1" applyNumberFormat="0" applyFill="1" applyBorder="1" applyAlignment="1" applyProtection="true">
      <alignment horizontal="center" vertical="center" textRotation="0" wrapText="true" shrinkToFit="false"/>
      <protection hidden="true"/>
    </xf>
    <xf xfId="0" fontId="44" numFmtId="0" fillId="15" borderId="106" applyFont="1" applyNumberFormat="0" applyFill="1" applyBorder="1" applyAlignment="1" applyProtection="true">
      <alignment horizontal="center" vertical="bottom" textRotation="0" wrapText="false" shrinkToFit="false"/>
      <protection hidden="true"/>
    </xf>
    <xf xfId="0" fontId="44" numFmtId="0" fillId="15" borderId="107" applyFont="1" applyNumberFormat="0" applyFill="1" applyBorder="1" applyAlignment="1" applyProtection="true">
      <alignment horizontal="center" vertical="bottom" textRotation="0" wrapText="false" shrinkToFit="false"/>
      <protection hidden="true"/>
    </xf>
    <xf xfId="0" fontId="45" numFmtId="0" fillId="0" borderId="48" applyFont="1" applyNumberFormat="0" applyFill="0" applyBorder="1" applyAlignment="1" applyProtection="true">
      <alignment horizontal="center" vertical="center" textRotation="0" wrapText="false" shrinkToFit="false"/>
      <protection hidden="true"/>
    </xf>
    <xf xfId="0" fontId="44" numFmtId="0" fillId="0" borderId="49" applyFont="1" applyNumberFormat="0" applyFill="0" applyBorder="1" applyAlignment="0" applyProtection="true">
      <protection hidden="true"/>
    </xf>
    <xf xfId="0" fontId="44" numFmtId="0" fillId="0" borderId="50" applyFont="1" applyNumberFormat="0" applyFill="0" applyBorder="1" applyAlignment="0" applyProtection="true">
      <protection hidden="true"/>
    </xf>
    <xf xfId="0" fontId="45" numFmtId="0" fillId="0" borderId="49" applyFont="1" applyNumberFormat="0" applyFill="0" applyBorder="1" applyAlignment="1" applyProtection="true">
      <alignment horizontal="center" vertical="center" textRotation="0" wrapText="false" shrinkToFit="false"/>
      <protection hidden="true"/>
    </xf>
    <xf xfId="0" fontId="45" numFmtId="0" fillId="0" borderId="50" applyFont="1" applyNumberFormat="0" applyFill="0" applyBorder="1" applyAlignment="1" applyProtection="true">
      <alignment horizontal="center" vertical="center" textRotation="0" wrapText="false" shrinkToFit="false"/>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65"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2" applyFont="1" applyNumberFormat="0" applyFill="1" applyBorder="1" applyAlignment="1" applyProtection="true">
      <alignment horizontal="left" vertical="center" textRotation="0" wrapText="false" shrinkToFit="false" indent="4"/>
      <protection hidden="true"/>
    </xf>
    <xf xfId="0" fontId="8" numFmtId="0" fillId="15" borderId="48" applyFont="1" applyNumberFormat="0" applyFill="1" applyBorder="1" applyAlignment="1" applyProtection="true">
      <alignment horizontal="center" vertical="center" textRotation="0" wrapText="false" shrinkToFit="false"/>
      <protection hidden="true"/>
    </xf>
    <xf xfId="0" fontId="44" numFmtId="0" fillId="15" borderId="49" applyFont="1" applyNumberFormat="0" applyFill="1" applyBorder="1" applyAlignment="0" applyProtection="true">
      <protection hidden="true"/>
    </xf>
    <xf xfId="0" fontId="44" numFmtId="0" fillId="15" borderId="50" applyFont="1" applyNumberFormat="0" applyFill="1" applyBorder="1" applyAlignment="0" applyProtection="true">
      <protection hidden="true"/>
    </xf>
    <xf xfId="0" fontId="46" numFmtId="0" fillId="0" borderId="39" applyFont="1" applyNumberFormat="0" applyFill="0" applyBorder="1" applyAlignment="1" applyProtection="true">
      <alignment horizontal="center" vertical="center" textRotation="0" wrapText="false" shrinkToFit="false"/>
      <protection hidden="true"/>
    </xf>
    <xf xfId="0" fontId="46" numFmtId="0" fillId="0" borderId="40"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7" applyFont="1" applyNumberFormat="0" applyFill="0" applyBorder="1" applyAlignment="1" applyProtection="true">
      <alignment horizontal="center" vertical="center" textRotation="0" wrapText="false" shrinkToFit="false"/>
      <protection hidden="true"/>
    </xf>
    <xf xfId="0" fontId="8" numFmtId="0" fillId="4" borderId="90"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8" numFmtId="0" fillId="15" borderId="105" applyFont="1" applyNumberFormat="0" applyFill="1" applyBorder="1" applyAlignment="1" applyProtection="true">
      <alignment horizontal="center" vertical="center" textRotation="0" wrapText="false" shrinkToFit="false"/>
      <protection hidden="true"/>
    </xf>
    <xf xfId="0" fontId="8" numFmtId="0" fillId="15" borderId="106" applyFont="1" applyNumberFormat="0" applyFill="1" applyBorder="1" applyAlignment="1" applyProtection="true">
      <alignment horizontal="center" vertical="center" textRotation="0" wrapText="false" shrinkToFit="false"/>
      <protection hidden="true"/>
    </xf>
    <xf xfId="0" fontId="8" numFmtId="0" fillId="15" borderId="107" applyFont="1" applyNumberFormat="0" applyFill="1" applyBorder="1" applyAlignment="1" applyProtection="true">
      <alignment horizontal="center" vertical="center" textRotation="0" wrapText="false" shrinkToFit="false"/>
      <protection hidden="true"/>
    </xf>
    <xf xfId="0" fontId="48" numFmtId="0" fillId="0" borderId="48" applyFont="1" applyNumberFormat="0" applyFill="0" applyBorder="1" applyAlignment="1" applyProtection="true">
      <alignment horizontal="left" vertical="bottom" textRotation="0" wrapText="true" shrinkToFit="false"/>
      <protection hidden="true"/>
    </xf>
    <xf xfId="0" fontId="48" numFmtId="0" fillId="0" borderId="49" applyFont="1" applyNumberFormat="0" applyFill="0" applyBorder="1" applyAlignment="1" applyProtection="true">
      <alignment horizontal="left" vertical="bottom" textRotation="0" wrapText="true" shrinkToFit="false"/>
      <protection hidden="true"/>
    </xf>
    <xf xfId="0" fontId="48" numFmtId="0" fillId="0" borderId="50" applyFont="1" applyNumberFormat="0" applyFill="0" applyBorder="1" applyAlignment="1" applyProtection="true">
      <alignment horizontal="left" vertical="bottom" textRotation="0" wrapText="tru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50" numFmtId="0" fillId="4" borderId="106"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1" applyFont="0" applyNumberFormat="0" applyFill="0" applyBorder="1" applyAlignment="0"/>
    <xf xfId="0" fontId="0" numFmtId="0" fillId="0" borderId="112"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6" borderId="113" applyFont="0" applyNumberFormat="0" applyFill="1" applyBorder="1" applyAlignment="0"/>
    <xf xfId="0" fontId="0" numFmtId="0" fillId="16" borderId="112" applyFont="0" applyNumberFormat="0" applyFill="1" applyBorder="1" applyAlignment="0"/>
    <xf xfId="0" fontId="0" numFmtId="0" fillId="16" borderId="114" applyFont="0" applyNumberFormat="0" applyFill="1"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9" applyFont="0" applyNumberFormat="0" applyFill="0" applyBorder="1" applyAlignment="0"/>
    <xf xfId="0" fontId="0" numFmtId="0" fillId="0" borderId="120" applyFont="0" applyNumberFormat="0" applyFill="0" applyBorder="1" applyAlignment="0"/>
    <xf xfId="0" fontId="0" numFmtId="0" fillId="0" borderId="40"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0" numFmtId="0" fillId="0" borderId="112" applyFont="0" applyNumberFormat="0" applyFill="0" applyBorder="1" applyAlignment="1">
      <alignment horizontal="left" vertical="bottom" textRotation="0" wrapText="false" shrinkToFit="false" indent="1"/>
    </xf>
    <xf xfId="0" fontId="3" numFmtId="0" fillId="17" borderId="21" applyFont="1" applyNumberFormat="0" applyFill="1" applyBorder="1" applyAlignment="1">
      <alignment horizontal="left" vertical="center" textRotation="0" wrapText="false" shrinkToFit="false" indent="1"/>
    </xf>
    <xf xfId="0" fontId="3" numFmtId="0" fillId="17" borderId="0" applyFont="1" applyNumberFormat="0" applyFill="1" applyBorder="0" applyAlignment="1">
      <alignment horizontal="left" vertical="center" textRotation="0" wrapText="false" shrinkToFit="false" indent="1"/>
    </xf>
    <xf xfId="0" fontId="3" numFmtId="0" fillId="17" borderId="99" applyFont="1" applyNumberFormat="0" applyFill="1" applyBorder="1" applyAlignment="1">
      <alignment horizontal="left" vertical="center" textRotation="0" wrapText="false" shrinkToFit="false" indent="1"/>
    </xf>
    <xf xfId="0" fontId="3" numFmtId="0" fillId="17"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2"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1" applyFont="0" applyNumberFormat="0" applyFill="0" applyBorder="1" applyAlignment="1">
      <alignment horizontal="left" vertical="center" textRotation="0" wrapText="false" shrinkToFit="false" indent="2"/>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107"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2" applyFont="1" applyNumberFormat="0" applyFill="1"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27" numFmtId="0" fillId="0" borderId="122"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28"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29" applyFont="1"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14"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14" numFmtId="0" fillId="0" borderId="39" applyFont="1" applyNumberFormat="0" applyFill="0" applyBorder="1" applyAlignment="1" applyProtection="true">
      <alignment horizontal="left" vertical="center" textRotation="0" wrapText="false" shrinkToFit="false" indent="1"/>
      <protection locked="false"/>
    </xf>
    <xf xfId="0" fontId="14" numFmtId="0" fillId="0" borderId="40" applyFont="1" applyNumberFormat="0" applyFill="0" applyBorder="1" applyAlignment="1" applyProtection="true">
      <alignment horizontal="left" vertical="center" textRotation="0" wrapText="false" shrinkToFit="false" indent="1"/>
      <protection locked="false"/>
    </xf>
    <xf xfId="0" fontId="14" numFmtId="0" fillId="0" borderId="41" applyFont="1" applyNumberFormat="0" applyFill="0" applyBorder="1" applyAlignment="1" applyProtection="true">
      <alignment horizontal="left" vertical="center" textRotation="0" wrapText="false" shrinkToFit="false" indent="1"/>
      <protection locked="false"/>
    </xf>
    <xf xfId="0" fontId="14" numFmtId="0" fillId="0" borderId="39" applyFont="1" applyNumberFormat="0" applyFill="0" applyBorder="1" applyAlignment="1" applyProtection="true">
      <alignment horizontal="left" vertical="center" textRotation="0" wrapText="false" shrinkToFit="false" indent="2"/>
      <protection hidden="true"/>
    </xf>
    <xf xfId="0" fontId="14" numFmtId="0" fillId="0" borderId="40" applyFont="1" applyNumberFormat="0" applyFill="0" applyBorder="1" applyAlignment="1" applyProtection="true">
      <alignment horizontal="left" vertical="center" textRotation="0" wrapText="false" shrinkToFit="false" indent="2"/>
      <protection hidden="true"/>
    </xf>
    <xf xfId="0" fontId="14" numFmtId="0" fillId="0" borderId="41" applyFont="1" applyNumberFormat="0" applyFill="0" applyBorder="1" applyAlignment="1" applyProtection="true">
      <alignment horizontal="left" vertical="center" textRotation="0" wrapText="false" shrinkToFit="false" indent="2"/>
      <protection hidden="true"/>
    </xf>
    <xf xfId="0" fontId="13" numFmtId="0" fillId="0" borderId="39" applyFont="1" applyNumberFormat="0" applyFill="0" applyBorder="1" applyAlignment="1">
      <alignment horizontal="left" vertical="center" textRotation="0" wrapText="false" shrinkToFit="false" indent="1"/>
    </xf>
    <xf xfId="0" fontId="13" numFmtId="0" fillId="0" borderId="40" applyFont="1" applyNumberFormat="0" applyFill="0" applyBorder="1" applyAlignment="1">
      <alignment horizontal="left" vertical="center" textRotation="0" wrapText="false" shrinkToFit="false" indent="1"/>
    </xf>
    <xf xfId="0" fontId="13" numFmtId="0" fillId="0" borderId="41" applyFont="1" applyNumberFormat="0" applyFill="0" applyBorder="1" applyAlignment="1">
      <alignment horizontal="left" vertical="center" textRotation="0" wrapText="false" shrinkToFit="false" indent="1"/>
    </xf>
    <xf xfId="0" fontId="13" numFmtId="0" fillId="0" borderId="39" applyFont="1" applyNumberFormat="0" applyFill="0" applyBorder="1" applyAlignment="1" applyProtection="true">
      <alignment horizontal="left" vertical="center" textRotation="0" wrapText="false" shrinkToFit="false" indent="1"/>
      <protection hidden="true"/>
    </xf>
    <xf xfId="0" fontId="13" numFmtId="0" fillId="0" borderId="40" applyFont="1" applyNumberFormat="0" applyFill="0" applyBorder="1" applyAlignment="1" applyProtection="true">
      <alignment horizontal="left" vertical="center" textRotation="0" wrapText="false" shrinkToFit="false" indent="1"/>
      <protection hidden="true"/>
    </xf>
    <xf xfId="0" fontId="13" numFmtId="0" fillId="0" borderId="41" applyFont="1" applyNumberFormat="0" applyFill="0" applyBorder="1" applyAlignment="1" applyProtection="true">
      <alignment horizontal="left" vertical="center" textRotation="0" wrapText="false" shrinkToFit="false" indent="1"/>
      <protection hidden="tru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10" numFmtId="0" fillId="0" borderId="90" applyFont="1" applyNumberFormat="0" applyFill="0" applyBorder="1" applyAlignment="1" applyProtection="true">
      <alignment horizontal="center" vertical="center" textRotation="0" wrapText="false" shrinkToFit="false"/>
      <protection locked="false"/>
    </xf>
    <xf xfId="0" fontId="10" numFmtId="0" fillId="0" borderId="82" applyFont="1" applyNumberFormat="0" applyFill="0" applyBorder="1" applyAlignment="1" applyProtection="true">
      <alignment horizontal="center" vertical="center" textRotation="0" wrapText="false" shrinkToFit="false"/>
      <protection locked="fals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107" applyFont="1" applyNumberFormat="0" applyFill="1" applyBorder="1" applyAlignment="1">
      <alignment horizontal="center" vertical="center" textRotation="0" wrapText="false" shrinkToFit="false"/>
    </xf>
    <xf xfId="0" fontId="38" numFmtId="0" fillId="10" borderId="99"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1" applyFont="1" applyNumberFormat="0" applyFill="1"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90" applyFont="1" applyNumberFormat="0" applyFill="0" applyBorder="1" applyAlignment="1">
      <alignment horizontal="center" vertical="center" textRotation="0" wrapText="false" shrinkToFit="false"/>
    </xf>
    <xf xfId="0" fontId="10" numFmtId="0" fillId="0" borderId="82"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43"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90"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2"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left" vertical="center" textRotation="0" wrapText="false" shrinkToFit="false" indent="1"/>
    </xf>
    <xf xfId="0" fontId="10" numFmtId="0" fillId="0" borderId="43"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90"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2"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90" applyFont="1" applyNumberFormat="0" applyFill="0" applyBorder="1" applyAlignment="1" applyProtection="true">
      <alignment horizontal="center" vertical="bottom" textRotation="0" wrapText="false" shrinkToFit="false"/>
      <protection locked="false"/>
    </xf>
    <xf xfId="0" fontId="10" numFmtId="0" fillId="0" borderId="82"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43"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0" numFmtId="0" fillId="0" borderId="90"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2" applyFont="1" applyNumberFormat="0" applyFill="0" applyBorder="1" applyAlignment="1" applyProtection="true">
      <alignment horizontal="left" vertical="center" textRotation="0" wrapText="false" shrinkToFit="false" indent="3"/>
      <protection hidden="tru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107"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2" applyFont="1" applyNumberFormat="0" applyFill="0" applyBorder="1" applyAlignment="1">
      <alignment horizontal="center" vertical="center" textRotation="0" wrapText="false" shrinkToFit="false"/>
    </xf>
    <xf xfId="0" fontId="13" numFmtId="0" fillId="0" borderId="99"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1" applyFont="1" applyNumberFormat="0" applyFill="0" applyBorder="1" applyAlignment="1">
      <alignment horizontal="center" vertical="center" textRotation="0" wrapText="false" shrinkToFit="false"/>
    </xf>
    <xf xfId="0" fontId="13" numFmtId="0" fillId="0" borderId="90"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2" applyFont="1" applyNumberFormat="0" applyFill="0" applyBorder="1" applyAlignment="1" applyProtection="true">
      <alignment horizontal="center" vertical="center" textRotation="0" wrapText="false" shrinkToFit="false"/>
      <protection hidden="true"/>
    </xf>
    <xf xfId="0" fontId="17" numFmtId="0" fillId="0" borderId="42" applyFont="1" applyNumberFormat="0" applyFill="0" applyBorder="1" applyAlignment="1">
      <alignment horizontal="center" vertical="bottom" textRotation="0" wrapText="false" shrinkToFit="false"/>
    </xf>
    <xf xfId="0" fontId="17" numFmtId="0" fillId="0" borderId="43"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90"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2" applyFont="1" applyNumberFormat="0" applyFill="0" applyBorder="1" applyAlignment="1">
      <alignment horizontal="center" vertical="bottom" textRotation="0" wrapText="false" shrinkToFit="false"/>
    </xf>
    <xf xfId="0" fontId="17" numFmtId="0" fillId="0" borderId="45"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43"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90"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2"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43"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0" numFmtId="0" fillId="0" borderId="90"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2" applyFont="1" applyNumberFormat="0" applyFill="0" applyBorder="1" applyAlignment="1" applyProtection="true">
      <alignment horizontal="left" vertical="center" textRotation="0" wrapText="tru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43"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3" applyFont="1" applyNumberFormat="0" applyFill="1" applyBorder="1" applyAlignment="1">
      <alignment horizontal="center" vertical="center" textRotation="0" wrapText="true" shrinkToFit="false"/>
    </xf>
    <xf xfId="0" fontId="52" numFmtId="0" fillId="19" borderId="48" applyFont="1" applyNumberFormat="0" applyFill="1" applyBorder="1" applyAlignment="1">
      <alignment horizontal="center" vertical="center" textRotation="0" wrapText="true" shrinkToFit="false"/>
    </xf>
    <xf xfId="0" fontId="52" numFmtId="0" fillId="19" borderId="49"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false" shrinkToFit="false"/>
    </xf>
    <xf xfId="0" fontId="7" numFmtId="0" fillId="0" borderId="130"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9" t="s">
        <v>0</v>
      </c>
      <c r="D18" s="329"/>
      <c r="E18" s="329"/>
      <c r="F18" s="329"/>
    </row>
    <row r="19" spans="1:7">
      <c r="C19" s="329"/>
      <c r="D19" s="329"/>
      <c r="E19" s="329"/>
      <c r="F19" s="329"/>
    </row>
    <row r="20" spans="1:7">
      <c r="C20" s="329" t="s">
        <v>1</v>
      </c>
      <c r="D20" s="329"/>
      <c r="E20" s="329"/>
      <c r="F20" s="329"/>
    </row>
    <row r="21" spans="1:7">
      <c r="C21" s="329"/>
      <c r="D21" s="329"/>
      <c r="E21" s="329"/>
      <c r="F21" s="329"/>
    </row>
    <row r="24" spans="1:7">
      <c r="B24" s="330" t="s">
        <v>2</v>
      </c>
      <c r="C24" s="330"/>
    </row>
    <row r="26" spans="1:7">
      <c r="B26" s="52"/>
      <c r="C26" s="52"/>
      <c r="D26" s="325" t="s">
        <v>3</v>
      </c>
      <c r="E26" s="325"/>
      <c r="F26" s="327" t="s">
        <v>4</v>
      </c>
      <c r="G26" s="327"/>
    </row>
    <row r="27" spans="1:7">
      <c r="B27" s="52"/>
      <c r="C27" s="52"/>
      <c r="D27" s="325" t="s">
        <v>5</v>
      </c>
      <c r="E27" s="325"/>
      <c r="F27" s="327" t="s">
        <v>6</v>
      </c>
      <c r="G27" s="327"/>
    </row>
    <row r="28" spans="1:7">
      <c r="B28" s="52"/>
      <c r="C28" s="52"/>
      <c r="D28" s="325" t="s">
        <v>7</v>
      </c>
      <c r="E28" s="325"/>
      <c r="F28" s="327" t="s">
        <v>8</v>
      </c>
      <c r="G28" s="327"/>
    </row>
    <row r="29" spans="1:7">
      <c r="B29" s="52"/>
      <c r="C29" s="52"/>
      <c r="D29" s="325" t="s">
        <v>9</v>
      </c>
      <c r="E29" s="325"/>
      <c r="F29" s="327"/>
      <c r="G29" s="327"/>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5" t="s">
        <v>10</v>
      </c>
      <c r="C35" s="325"/>
      <c r="D35" s="328"/>
      <c r="E35" s="328"/>
      <c r="F35" s="328"/>
      <c r="G35" s="328"/>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6" t="s">
        <v>11</v>
      </c>
      <c r="C39" s="327"/>
      <c r="D39" s="327"/>
      <c r="E39" s="327"/>
      <c r="F39" s="327"/>
      <c r="G39" s="327"/>
    </row>
    <row r="40" spans="1:7">
      <c r="B40" s="52"/>
      <c r="C40" s="52"/>
      <c r="D40" s="52"/>
      <c r="E40" s="52"/>
      <c r="F40" s="52"/>
      <c r="G40" s="52"/>
    </row>
    <row r="41" spans="1:7">
      <c r="B41" s="52"/>
      <c r="C41" s="52"/>
      <c r="D41" s="52"/>
      <c r="E41" s="52"/>
      <c r="F41" s="52"/>
      <c r="G41" s="52"/>
    </row>
    <row r="42" spans="1:7">
      <c r="B42" s="325" t="s">
        <v>12</v>
      </c>
      <c r="C42" s="325"/>
      <c r="D42" s="52"/>
      <c r="E42" s="52"/>
      <c r="F42" s="52"/>
      <c r="G42" s="52"/>
    </row>
    <row r="43" spans="1:7">
      <c r="B43" s="53"/>
      <c r="C43" s="53"/>
      <c r="D43" s="53"/>
      <c r="E43" s="53"/>
      <c r="F43" s="53"/>
      <c r="G43" s="53"/>
    </row>
    <row r="44" spans="1:7">
      <c r="B44" s="52"/>
      <c r="C44" s="52"/>
      <c r="D44" s="52"/>
      <c r="E44" s="52"/>
      <c r="F44" s="52"/>
      <c r="G44" s="52"/>
    </row>
    <row r="45" spans="1:7">
      <c r="B45" s="325" t="s">
        <v>13</v>
      </c>
      <c r="C45" s="325"/>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41"/>
  <sheetViews>
    <sheetView tabSelected="0" workbookViewId="0" showGridLines="true" showRowColHeaders="1" topLeftCell="F36">
      <selection activeCell="C114" sqref="C114"/>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7" t="s">
        <v>14</v>
      </c>
      <c r="B1" s="392"/>
      <c r="C1" s="392"/>
      <c r="D1" s="392"/>
      <c r="E1" s="392"/>
      <c r="F1" s="392"/>
      <c r="G1" s="392"/>
      <c r="H1" s="392"/>
      <c r="I1" s="392"/>
      <c r="J1" s="392"/>
      <c r="K1" s="392"/>
      <c r="L1" s="392"/>
      <c r="M1" s="392"/>
      <c r="N1" s="392"/>
      <c r="S1"/>
    </row>
    <row r="2" spans="1:19" customHeight="1" ht="21">
      <c r="A2" s="387" t="s">
        <v>15</v>
      </c>
      <c r="B2" s="392"/>
      <c r="C2" s="392"/>
      <c r="D2" s="392"/>
      <c r="E2" s="392"/>
      <c r="F2" s="392"/>
      <c r="G2" s="392"/>
      <c r="H2" s="392"/>
      <c r="I2" s="392"/>
      <c r="J2" s="392"/>
      <c r="K2" s="392"/>
      <c r="L2" s="392"/>
      <c r="M2" s="392"/>
      <c r="N2" s="392"/>
      <c r="S2"/>
    </row>
    <row r="3" spans="1:19">
      <c r="S3"/>
    </row>
    <row r="4" spans="1:19">
      <c r="S4"/>
    </row>
    <row r="5" spans="1:19" customHeight="1" ht="14.5">
      <c r="A5" s="393" t="s">
        <v>16</v>
      </c>
      <c r="B5" s="388"/>
      <c r="C5" s="388"/>
      <c r="D5" s="388"/>
      <c r="E5" s="388"/>
      <c r="F5" s="388"/>
      <c r="G5" s="388"/>
      <c r="H5" s="388"/>
      <c r="I5" s="388"/>
      <c r="J5" s="388"/>
      <c r="K5" s="388"/>
      <c r="L5" s="388"/>
      <c r="M5" s="388"/>
      <c r="N5" s="388"/>
      <c r="S5"/>
    </row>
    <row r="6" spans="1:19">
      <c r="S6"/>
    </row>
    <row r="7" spans="1:19" customHeight="1" ht="14.5">
      <c r="A7" s="393" t="s">
        <v>17</v>
      </c>
      <c r="B7" s="388"/>
      <c r="C7" s="388"/>
      <c r="D7" s="388"/>
      <c r="E7" s="388"/>
      <c r="F7" s="388"/>
      <c r="G7" s="388"/>
      <c r="H7" s="388"/>
      <c r="I7" s="388"/>
      <c r="J7" s="388"/>
      <c r="K7" s="388"/>
      <c r="L7" s="388"/>
      <c r="M7" s="388"/>
      <c r="N7" s="388"/>
      <c r="S7"/>
    </row>
    <row r="8" spans="1:19">
      <c r="S8"/>
    </row>
    <row r="9" spans="1:19" customHeight="1" ht="14.5">
      <c r="A9" s="393" t="s">
        <v>18</v>
      </c>
      <c r="B9" s="388"/>
      <c r="C9" s="388"/>
      <c r="D9" s="388"/>
      <c r="E9" s="388"/>
      <c r="F9" s="388"/>
      <c r="G9" s="388"/>
      <c r="H9" s="388"/>
      <c r="I9" s="388"/>
      <c r="J9" s="388"/>
      <c r="K9" s="388"/>
      <c r="L9" s="388"/>
      <c r="M9" s="388"/>
      <c r="N9" s="388"/>
      <c r="S9"/>
    </row>
    <row r="10" spans="1:19">
      <c r="Q10" s="338"/>
      <c r="R10" s="338"/>
      <c r="S10" s="338"/>
    </row>
    <row r="11" spans="1:19" customHeight="1" ht="18.5">
      <c r="A11" s="394" t="s">
        <v>19</v>
      </c>
      <c r="B11" s="395"/>
      <c r="C11" s="395"/>
      <c r="D11" s="395"/>
      <c r="E11" s="395"/>
      <c r="F11" s="395"/>
      <c r="G11" s="395"/>
      <c r="H11" s="395"/>
      <c r="I11" s="395"/>
      <c r="J11" s="395"/>
      <c r="K11" s="395"/>
      <c r="L11" s="395"/>
      <c r="M11" s="395"/>
      <c r="N11" s="395"/>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6" t="s">
        <v>20</v>
      </c>
      <c r="C14" s="386"/>
      <c r="D14" s="386"/>
      <c r="E14" s="386"/>
      <c r="F14" s="386"/>
      <c r="G14" s="4"/>
      <c r="H14" s="389" t="s">
        <v>21</v>
      </c>
      <c r="I14" s="390"/>
      <c r="J14" s="390"/>
      <c r="K14" s="390"/>
      <c r="L14" s="390"/>
      <c r="M14" s="390"/>
      <c r="N14" s="391"/>
      <c r="S14"/>
    </row>
    <row r="15" spans="1:19" customHeight="1" ht="18.5">
      <c r="A15" s="3"/>
      <c r="B15" s="4"/>
      <c r="C15" s="4"/>
      <c r="D15" s="4"/>
      <c r="E15" s="4"/>
      <c r="F15" s="4"/>
      <c r="G15" s="4"/>
      <c r="H15" s="4"/>
      <c r="I15" s="4"/>
      <c r="J15" s="4"/>
      <c r="K15" s="4"/>
      <c r="L15" s="4"/>
      <c r="M15" s="4"/>
      <c r="N15" s="4"/>
      <c r="S15"/>
    </row>
    <row r="16" spans="1:19" customHeight="1" ht="18.5">
      <c r="A16" s="3"/>
      <c r="B16" s="386" t="s">
        <v>22</v>
      </c>
      <c r="C16" s="386"/>
      <c r="D16" s="386"/>
      <c r="E16" s="386"/>
      <c r="F16" s="386"/>
      <c r="G16" s="4"/>
      <c r="H16" s="396"/>
      <c r="I16" s="397"/>
      <c r="J16" s="397"/>
      <c r="K16" s="397"/>
      <c r="L16" s="397"/>
      <c r="M16" s="397"/>
      <c r="N16" s="398"/>
      <c r="S16"/>
    </row>
    <row r="17" spans="1:19" customHeight="1" ht="18.5">
      <c r="A17" s="3"/>
      <c r="B17" s="386"/>
      <c r="C17" s="386"/>
      <c r="D17" s="386"/>
      <c r="E17" s="386"/>
      <c r="F17" s="386"/>
      <c r="G17" s="4"/>
      <c r="H17" s="399"/>
      <c r="I17" s="400"/>
      <c r="J17" s="400"/>
      <c r="K17" s="400"/>
      <c r="L17" s="400"/>
      <c r="M17" s="400"/>
      <c r="N17" s="401"/>
      <c r="S17"/>
    </row>
    <row r="18" spans="1:19" customHeight="1" ht="18.5">
      <c r="A18" s="3"/>
      <c r="B18" s="4"/>
      <c r="C18" s="4"/>
      <c r="D18" s="4"/>
      <c r="E18" s="4"/>
      <c r="F18" s="4"/>
      <c r="G18" s="4"/>
      <c r="H18" s="4"/>
      <c r="I18" s="4"/>
      <c r="J18" s="4"/>
      <c r="K18" s="4"/>
      <c r="L18" s="4"/>
      <c r="M18" s="4"/>
      <c r="N18" s="4"/>
      <c r="S18"/>
    </row>
    <row r="19" spans="1:19" customHeight="1" ht="18.5">
      <c r="A19" s="3"/>
      <c r="B19" s="386" t="s">
        <v>23</v>
      </c>
      <c r="C19" s="386"/>
      <c r="D19" s="386"/>
      <c r="E19" s="386"/>
      <c r="F19" s="386"/>
      <c r="G19" s="4"/>
      <c r="H19" s="389" t="s">
        <v>24</v>
      </c>
      <c r="I19" s="390"/>
      <c r="J19" s="390"/>
      <c r="K19" s="390"/>
      <c r="L19" s="390"/>
      <c r="M19" s="390"/>
      <c r="N19" s="391"/>
      <c r="S19"/>
    </row>
    <row r="20" spans="1:19" customHeight="1" ht="18.5">
      <c r="A20" s="3"/>
      <c r="B20" s="386" t="s">
        <v>22</v>
      </c>
      <c r="C20" s="386"/>
      <c r="D20" s="386"/>
      <c r="E20" s="386"/>
      <c r="F20" s="386"/>
      <c r="G20" s="4"/>
      <c r="H20" s="389"/>
      <c r="I20" s="390"/>
      <c r="J20" s="390"/>
      <c r="K20" s="390"/>
      <c r="L20" s="390"/>
      <c r="M20" s="390"/>
      <c r="N20" s="391"/>
      <c r="S20"/>
    </row>
    <row r="21" spans="1:19" customHeight="1" ht="18.5">
      <c r="A21" s="3"/>
      <c r="B21" s="4"/>
      <c r="C21" s="4"/>
      <c r="D21" s="4"/>
      <c r="E21" s="4"/>
      <c r="F21" s="4"/>
      <c r="G21" s="4"/>
      <c r="H21" s="4"/>
      <c r="I21" s="4"/>
      <c r="J21" s="4"/>
      <c r="K21" s="4"/>
      <c r="L21" s="4"/>
      <c r="M21" s="4"/>
      <c r="N21" s="4"/>
      <c r="S21"/>
    </row>
    <row r="22" spans="1:19" customHeight="1" ht="18.5">
      <c r="A22" s="3"/>
      <c r="B22" s="386" t="s">
        <v>25</v>
      </c>
      <c r="C22" s="386"/>
      <c r="D22" s="386"/>
      <c r="E22" s="386"/>
      <c r="F22" s="386"/>
      <c r="G22" s="4"/>
      <c r="H22" s="389" t="s">
        <v>26</v>
      </c>
      <c r="I22" s="390"/>
      <c r="J22" s="390"/>
      <c r="K22" s="390"/>
      <c r="L22" s="390"/>
      <c r="M22" s="390"/>
      <c r="N22" s="391"/>
      <c r="S22"/>
    </row>
    <row r="23" spans="1:19" customHeight="1" ht="18.5">
      <c r="A23" s="3"/>
      <c r="B23" s="4"/>
      <c r="C23" s="4"/>
      <c r="D23" s="4"/>
      <c r="E23" s="4"/>
      <c r="F23" s="4"/>
      <c r="G23" s="4"/>
      <c r="H23" s="4"/>
      <c r="I23" s="4"/>
      <c r="J23" s="4"/>
      <c r="K23" s="4"/>
      <c r="L23" s="4"/>
      <c r="M23" s="4"/>
      <c r="N23" s="4"/>
      <c r="S23"/>
    </row>
    <row r="24" spans="1:19" customHeight="1" ht="18.5">
      <c r="A24" s="3"/>
      <c r="B24" s="386" t="s">
        <v>27</v>
      </c>
      <c r="C24" s="386"/>
      <c r="D24" s="386"/>
      <c r="E24" s="386"/>
      <c r="F24" s="386"/>
      <c r="G24" s="4"/>
      <c r="H24" s="389" t="s">
        <v>28</v>
      </c>
      <c r="I24" s="390"/>
      <c r="J24" s="390"/>
      <c r="K24" s="390"/>
      <c r="L24" s="390"/>
      <c r="M24" s="390"/>
      <c r="N24" s="391"/>
      <c r="S24"/>
    </row>
    <row r="25" spans="1:19" customHeight="1" ht="18.5">
      <c r="A25" s="3"/>
      <c r="B25" s="4"/>
      <c r="C25" s="4"/>
      <c r="D25" s="4"/>
      <c r="E25" s="4"/>
      <c r="F25" s="4"/>
      <c r="G25" s="4"/>
      <c r="H25" s="4"/>
      <c r="I25" s="4"/>
      <c r="J25" s="4"/>
      <c r="K25" s="4"/>
      <c r="L25" s="4"/>
      <c r="M25" s="4"/>
      <c r="N25" s="4"/>
      <c r="S25"/>
    </row>
    <row r="26" spans="1:19" customHeight="1" ht="18.5">
      <c r="A26" s="3"/>
      <c r="B26" s="386" t="s">
        <v>29</v>
      </c>
      <c r="C26" s="386"/>
      <c r="D26" s="386"/>
      <c r="E26" s="386"/>
      <c r="F26" s="386"/>
      <c r="G26" s="4"/>
      <c r="H26" s="389" t="s">
        <v>30</v>
      </c>
      <c r="I26" s="390"/>
      <c r="J26" s="390"/>
      <c r="K26" s="390"/>
      <c r="L26" s="390"/>
      <c r="M26" s="390"/>
      <c r="N26" s="391"/>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6" t="s">
        <v>31</v>
      </c>
      <c r="C30" s="386"/>
      <c r="D30" s="386"/>
      <c r="E30" s="386"/>
      <c r="F30" s="386"/>
      <c r="G30" s="4"/>
      <c r="H30" s="389" t="s">
        <v>32</v>
      </c>
      <c r="I30" s="390"/>
      <c r="J30" s="390"/>
      <c r="K30" s="390"/>
      <c r="L30" s="390"/>
      <c r="M30" s="390"/>
      <c r="N30" s="391"/>
      <c r="S30"/>
    </row>
    <row r="31" spans="1:19">
      <c r="S31"/>
    </row>
    <row r="32" spans="1:19">
      <c r="S32"/>
    </row>
    <row r="33" spans="1:19">
      <c r="S33"/>
    </row>
    <row r="34" spans="1:19">
      <c r="S34"/>
    </row>
    <row r="35" spans="1:19" customHeight="1" ht="21">
      <c r="B35" s="387" t="s">
        <v>0</v>
      </c>
      <c r="C35" s="388"/>
      <c r="D35" s="388"/>
      <c r="E35" s="388"/>
      <c r="F35" s="388"/>
      <c r="G35" s="388"/>
      <c r="H35" s="388"/>
      <c r="I35" s="388"/>
      <c r="J35" s="388"/>
      <c r="K35" s="388"/>
      <c r="L35" s="388"/>
      <c r="S35"/>
    </row>
    <row r="36" spans="1:19">
      <c r="S36"/>
    </row>
    <row r="37" spans="1:19" customHeight="1" ht="14.5">
      <c r="B37" s="344" t="s">
        <v>33</v>
      </c>
      <c r="C37" s="345"/>
      <c r="D37" s="345"/>
      <c r="E37" s="345"/>
      <c r="F37" s="345"/>
      <c r="G37" s="345"/>
      <c r="H37" s="345"/>
      <c r="I37" s="345"/>
      <c r="J37" s="345"/>
      <c r="K37" s="345"/>
      <c r="L37" s="346"/>
      <c r="S37"/>
    </row>
    <row r="38" spans="1:19" customHeight="1" ht="15">
      <c r="B38" s="347"/>
      <c r="C38" s="348"/>
      <c r="D38" s="348"/>
      <c r="E38" s="348"/>
      <c r="F38" s="348"/>
      <c r="G38" s="348"/>
      <c r="H38" s="348"/>
      <c r="I38" s="348"/>
      <c r="J38" s="348"/>
      <c r="K38" s="348"/>
      <c r="L38" s="349"/>
      <c r="S38"/>
    </row>
    <row r="39" spans="1:19">
      <c r="B39" s="12" t="s">
        <v>34</v>
      </c>
      <c r="C39" s="7"/>
      <c r="D39" s="8"/>
      <c r="E39" s="10"/>
      <c r="G39" s="9"/>
      <c r="S39"/>
    </row>
    <row r="40" spans="1:19" customHeight="1" ht="15">
      <c r="B40" s="402" t="s">
        <v>35</v>
      </c>
      <c r="C40" s="403"/>
      <c r="D40" s="404"/>
      <c r="E40" s="10"/>
      <c r="G40" s="9"/>
      <c r="S40"/>
    </row>
    <row r="41" spans="1:19" customHeight="1" ht="15">
      <c r="B41" s="405"/>
      <c r="C41" s="406"/>
      <c r="D41" s="407"/>
      <c r="E41" s="11" t="s">
        <v>36</v>
      </c>
      <c r="F41" s="54" t="s">
        <v>37</v>
      </c>
      <c r="G41" s="55" t="s">
        <v>38</v>
      </c>
      <c r="S41"/>
    </row>
    <row r="42" spans="1:19" customHeight="1" ht="15">
      <c r="B42" s="405"/>
      <c r="C42" s="406"/>
      <c r="D42" s="407"/>
      <c r="E42" s="11" t="s">
        <v>39</v>
      </c>
      <c r="F42" s="54" t="s">
        <v>40</v>
      </c>
      <c r="G42" s="55" t="s">
        <v>41</v>
      </c>
      <c r="S42"/>
    </row>
    <row r="43" spans="1:19" customHeight="1" ht="15">
      <c r="B43" s="405"/>
      <c r="C43" s="406"/>
      <c r="D43" s="407"/>
      <c r="E43" s="11" t="s">
        <v>42</v>
      </c>
      <c r="F43" s="54" t="s">
        <v>43</v>
      </c>
      <c r="G43" s="55" t="s">
        <v>44</v>
      </c>
      <c r="S43"/>
    </row>
    <row r="44" spans="1:19" customHeight="1" ht="15">
      <c r="B44" s="405"/>
      <c r="C44" s="406"/>
      <c r="D44" s="407"/>
      <c r="E44" s="11" t="s">
        <v>45</v>
      </c>
      <c r="F44" s="54" t="s">
        <v>46</v>
      </c>
      <c r="G44" s="55" t="s">
        <v>47</v>
      </c>
      <c r="S44"/>
    </row>
    <row r="45" spans="1:19" customHeight="1" ht="15">
      <c r="B45" s="405"/>
      <c r="C45" s="406"/>
      <c r="D45" s="407"/>
      <c r="E45" s="11" t="s">
        <v>48</v>
      </c>
      <c r="F45" s="54" t="s">
        <v>49</v>
      </c>
      <c r="G45" s="55" t="s">
        <v>50</v>
      </c>
      <c r="S45"/>
    </row>
    <row r="46" spans="1:19" customHeight="1" ht="15">
      <c r="B46" s="405"/>
      <c r="C46" s="406"/>
      <c r="D46" s="407"/>
      <c r="E46" s="11" t="s">
        <v>51</v>
      </c>
      <c r="F46" s="54" t="s">
        <v>52</v>
      </c>
      <c r="G46" s="55" t="s">
        <v>53</v>
      </c>
      <c r="S46"/>
    </row>
    <row r="47" spans="1:19" customHeight="1" ht="15">
      <c r="B47" s="405"/>
      <c r="C47" s="406"/>
      <c r="D47" s="407"/>
      <c r="E47" s="11" t="s">
        <v>54</v>
      </c>
      <c r="F47" s="54" t="s">
        <v>55</v>
      </c>
      <c r="G47" s="55" t="s">
        <v>56</v>
      </c>
      <c r="S47"/>
    </row>
    <row r="48" spans="1:19" customHeight="1" ht="15">
      <c r="B48" s="405"/>
      <c r="C48" s="406"/>
      <c r="D48" s="407"/>
      <c r="E48" s="11" t="s">
        <v>57</v>
      </c>
      <c r="F48" s="54" t="s">
        <v>58</v>
      </c>
      <c r="G48" s="55" t="s">
        <v>59</v>
      </c>
      <c r="S48"/>
    </row>
    <row r="49" spans="1:19" customHeight="1" ht="15">
      <c r="B49" s="405"/>
      <c r="C49" s="406"/>
      <c r="D49" s="407"/>
      <c r="E49" s="11" t="s">
        <v>60</v>
      </c>
      <c r="F49" s="54" t="s">
        <v>61</v>
      </c>
      <c r="G49" s="55" t="s">
        <v>62</v>
      </c>
      <c r="S49"/>
    </row>
    <row r="50" spans="1:19" customHeight="1" ht="15">
      <c r="B50" s="405"/>
      <c r="C50" s="406"/>
      <c r="D50" s="407"/>
      <c r="E50" s="11" t="s">
        <v>63</v>
      </c>
      <c r="F50" s="54" t="s">
        <v>64</v>
      </c>
      <c r="G50" s="55" t="s">
        <v>65</v>
      </c>
      <c r="S50"/>
    </row>
    <row r="51" spans="1:19" customHeight="1" ht="15">
      <c r="B51" s="405"/>
      <c r="C51" s="406"/>
      <c r="D51" s="407"/>
      <c r="E51" s="11" t="s">
        <v>66</v>
      </c>
      <c r="F51" s="54" t="s">
        <v>67</v>
      </c>
      <c r="G51" s="55" t="s">
        <v>68</v>
      </c>
      <c r="S51"/>
    </row>
    <row r="52" spans="1:19" customHeight="1" ht="15">
      <c r="B52" s="405"/>
      <c r="C52" s="406"/>
      <c r="D52" s="407"/>
      <c r="E52" s="11" t="s">
        <v>69</v>
      </c>
      <c r="F52" s="54" t="s">
        <v>70</v>
      </c>
      <c r="G52" s="55" t="s">
        <v>71</v>
      </c>
      <c r="S52"/>
    </row>
    <row r="53" spans="1:19" customHeight="1" ht="15">
      <c r="B53" s="405"/>
      <c r="C53" s="406"/>
      <c r="D53" s="407"/>
      <c r="E53" s="11" t="s">
        <v>72</v>
      </c>
      <c r="F53" s="54" t="s">
        <v>73</v>
      </c>
      <c r="G53" s="55" t="s">
        <v>74</v>
      </c>
      <c r="S53"/>
    </row>
    <row r="54" spans="1:19" customHeight="1" ht="15">
      <c r="B54" s="405"/>
      <c r="C54" s="406"/>
      <c r="D54" s="407"/>
      <c r="E54" s="11" t="s">
        <v>75</v>
      </c>
      <c r="F54" s="54" t="s">
        <v>76</v>
      </c>
      <c r="G54" s="55" t="s">
        <v>77</v>
      </c>
      <c r="S54"/>
    </row>
    <row r="55" spans="1:19" customHeight="1" ht="15">
      <c r="B55" s="405"/>
      <c r="C55" s="406"/>
      <c r="D55" s="407"/>
      <c r="E55" s="11" t="s">
        <v>78</v>
      </c>
      <c r="F55" s="54" t="s">
        <v>79</v>
      </c>
      <c r="G55" s="55" t="s">
        <v>80</v>
      </c>
      <c r="S55"/>
    </row>
    <row r="56" spans="1:19" customHeight="1" ht="15">
      <c r="B56" s="405"/>
      <c r="C56" s="406"/>
      <c r="D56" s="407"/>
      <c r="E56" s="11" t="s">
        <v>81</v>
      </c>
      <c r="F56" s="54" t="s">
        <v>82</v>
      </c>
      <c r="G56" s="55" t="s">
        <v>83</v>
      </c>
      <c r="S56"/>
    </row>
    <row r="57" spans="1:19" customHeight="1" ht="15">
      <c r="B57" s="405"/>
      <c r="C57" s="406"/>
      <c r="D57" s="407"/>
      <c r="E57" s="11" t="s">
        <v>84</v>
      </c>
      <c r="F57" s="54" t="s">
        <v>85</v>
      </c>
      <c r="G57" s="55" t="s">
        <v>86</v>
      </c>
      <c r="S57"/>
    </row>
    <row r="58" spans="1:19" customHeight="1" ht="15">
      <c r="A58" s="338"/>
      <c r="B58" s="338"/>
      <c r="C58" s="338"/>
      <c r="D58" s="338"/>
      <c r="E58" s="338"/>
      <c r="F58" s="338"/>
      <c r="G58" s="338"/>
      <c r="H58" s="338"/>
      <c r="I58" s="338"/>
      <c r="J58" s="338"/>
      <c r="K58" s="338"/>
      <c r="L58" s="338"/>
      <c r="M58" s="338"/>
      <c r="N58" s="338"/>
      <c r="S58"/>
    </row>
    <row r="59" spans="1:19" customHeight="1" ht="15">
      <c r="A59" s="342"/>
      <c r="B59" s="342"/>
      <c r="C59" s="342"/>
      <c r="D59" s="342"/>
      <c r="E59" s="342"/>
      <c r="F59" s="342"/>
      <c r="G59" s="342"/>
      <c r="H59" s="342"/>
      <c r="I59" s="342"/>
      <c r="J59" s="342"/>
      <c r="K59" s="342"/>
      <c r="L59" s="342"/>
      <c r="M59" s="342"/>
      <c r="N59" s="342"/>
      <c r="S59"/>
    </row>
    <row r="60" spans="1:19" customHeight="1" ht="15">
      <c r="A60" s="356" t="s">
        <v>87</v>
      </c>
      <c r="B60" s="356" t="s">
        <v>88</v>
      </c>
      <c r="C60" s="333" t="s">
        <v>89</v>
      </c>
      <c r="D60" s="359"/>
      <c r="E60" s="359"/>
      <c r="F60" s="359"/>
      <c r="G60" s="359"/>
      <c r="H60" s="360"/>
      <c r="I60" s="333" t="s">
        <v>90</v>
      </c>
      <c r="J60" s="359"/>
      <c r="K60" s="359"/>
      <c r="L60" s="359"/>
      <c r="M60" s="359"/>
      <c r="N60" s="360"/>
      <c r="S60"/>
    </row>
    <row r="61" spans="1:19" customHeight="1" ht="15">
      <c r="A61" s="357"/>
      <c r="B61" s="357"/>
      <c r="C61" s="361"/>
      <c r="D61" s="362"/>
      <c r="E61" s="362"/>
      <c r="F61" s="362"/>
      <c r="G61" s="362"/>
      <c r="H61" s="363"/>
      <c r="I61" s="364"/>
      <c r="J61" s="365"/>
      <c r="K61" s="365"/>
      <c r="L61" s="365"/>
      <c r="M61" s="365"/>
      <c r="N61" s="366"/>
      <c r="S61"/>
    </row>
    <row r="62" spans="1:19">
      <c r="A62" s="357"/>
      <c r="B62" s="357"/>
      <c r="C62" s="361"/>
      <c r="D62" s="362"/>
      <c r="E62" s="362"/>
      <c r="F62" s="362"/>
      <c r="G62" s="362"/>
      <c r="H62" s="363"/>
      <c r="I62" s="354" t="s">
        <v>91</v>
      </c>
      <c r="J62" s="355"/>
      <c r="K62" s="352" t="s">
        <v>92</v>
      </c>
      <c r="L62" s="354" t="s">
        <v>93</v>
      </c>
      <c r="M62" s="355"/>
      <c r="N62" s="352" t="s">
        <v>92</v>
      </c>
      <c r="S62"/>
    </row>
    <row r="63" spans="1:19">
      <c r="A63" s="358"/>
      <c r="B63" s="358"/>
      <c r="C63" s="364"/>
      <c r="D63" s="365"/>
      <c r="E63" s="365"/>
      <c r="F63" s="365"/>
      <c r="G63" s="365"/>
      <c r="H63" s="366"/>
      <c r="I63" s="14" t="s">
        <v>94</v>
      </c>
      <c r="J63" s="14" t="s">
        <v>95</v>
      </c>
      <c r="K63" s="353"/>
      <c r="L63" s="14" t="s">
        <v>96</v>
      </c>
      <c r="M63" s="14" t="s">
        <v>97</v>
      </c>
      <c r="N63" s="353"/>
      <c r="S63"/>
    </row>
    <row r="64" spans="1:19" customHeight="1" ht="15">
      <c r="A64" s="15"/>
      <c r="B64" s="15"/>
      <c r="C64" s="384"/>
      <c r="D64" s="338"/>
      <c r="E64" s="338"/>
      <c r="F64" s="338"/>
      <c r="G64" s="338"/>
      <c r="H64" s="385"/>
      <c r="K64" s="57"/>
      <c r="N64" s="57"/>
      <c r="S64"/>
    </row>
    <row r="65" spans="1:19" customHeight="1" ht="15">
      <c r="A65" s="16" t="s">
        <v>98</v>
      </c>
      <c r="B65" s="16" t="s">
        <v>99</v>
      </c>
      <c r="C65" s="341" t="s">
        <v>100</v>
      </c>
      <c r="D65" s="342"/>
      <c r="E65" s="342"/>
      <c r="F65" s="342"/>
      <c r="G65" s="342"/>
      <c r="H65" s="343"/>
      <c r="I65" s="56">
        <v>1</v>
      </c>
      <c r="J65" s="56"/>
      <c r="K65" s="17" t="s">
        <v>101</v>
      </c>
      <c r="L65" s="56"/>
      <c r="M65" s="56"/>
      <c r="N65" s="17"/>
      <c r="S65"/>
    </row>
    <row r="66" spans="1:19" customHeight="1" ht="15">
      <c r="A66" s="16" t="s">
        <v>102</v>
      </c>
      <c r="B66" s="16" t="s">
        <v>103</v>
      </c>
      <c r="C66" s="341" t="s">
        <v>104</v>
      </c>
      <c r="D66" s="342"/>
      <c r="E66" s="342"/>
      <c r="F66" s="342"/>
      <c r="G66" s="342"/>
      <c r="H66" s="343"/>
      <c r="I66" s="56"/>
      <c r="J66" s="56"/>
      <c r="K66" s="17"/>
      <c r="L66" s="56"/>
      <c r="M66" s="56">
        <v>1</v>
      </c>
      <c r="N66" s="17" t="s">
        <v>105</v>
      </c>
      <c r="S66"/>
    </row>
    <row r="67" spans="1:19" customHeight="1" ht="15">
      <c r="A67" s="16" t="s">
        <v>106</v>
      </c>
      <c r="B67" s="16" t="s">
        <v>107</v>
      </c>
      <c r="C67" s="341" t="s">
        <v>108</v>
      </c>
      <c r="D67" s="342"/>
      <c r="E67" s="342"/>
      <c r="F67" s="342"/>
      <c r="G67" s="342"/>
      <c r="H67" s="343"/>
      <c r="I67" s="56">
        <v>1</v>
      </c>
      <c r="J67" s="56"/>
      <c r="K67" s="17" t="s">
        <v>109</v>
      </c>
      <c r="L67" s="56"/>
      <c r="M67" s="56"/>
      <c r="N67" s="17"/>
      <c r="S67"/>
    </row>
    <row r="68" spans="1:19" customHeight="1" ht="15">
      <c r="A68" s="16" t="s">
        <v>110</v>
      </c>
      <c r="B68" s="16" t="s">
        <v>111</v>
      </c>
      <c r="C68" s="341" t="s">
        <v>112</v>
      </c>
      <c r="D68" s="342"/>
      <c r="E68" s="342"/>
      <c r="F68" s="342"/>
      <c r="G68" s="342"/>
      <c r="H68" s="343"/>
      <c r="I68" s="56">
        <v>1</v>
      </c>
      <c r="J68" s="56"/>
      <c r="K68" s="17" t="s">
        <v>113</v>
      </c>
      <c r="L68" s="56"/>
      <c r="M68" s="56"/>
      <c r="N68" s="17"/>
      <c r="S68"/>
    </row>
    <row r="69" spans="1:19" customHeight="1" ht="15">
      <c r="A69" s="16" t="s">
        <v>114</v>
      </c>
      <c r="B69" s="16" t="s">
        <v>115</v>
      </c>
      <c r="C69" s="341" t="s">
        <v>116</v>
      </c>
      <c r="D69" s="342"/>
      <c r="E69" s="342"/>
      <c r="F69" s="342"/>
      <c r="G69" s="342"/>
      <c r="H69" s="343"/>
      <c r="I69" s="56">
        <v>1</v>
      </c>
      <c r="J69" s="56"/>
      <c r="K69" s="17" t="s">
        <v>117</v>
      </c>
      <c r="L69" s="56"/>
      <c r="M69" s="56"/>
      <c r="N69" s="17"/>
      <c r="S69"/>
    </row>
    <row r="70" spans="1:19" customHeight="1" ht="15">
      <c r="A70" s="16" t="s">
        <v>118</v>
      </c>
      <c r="B70" s="16" t="s">
        <v>119</v>
      </c>
      <c r="C70" s="341" t="s">
        <v>120</v>
      </c>
      <c r="D70" s="342"/>
      <c r="E70" s="342"/>
      <c r="F70" s="342"/>
      <c r="G70" s="342"/>
      <c r="H70" s="343"/>
      <c r="I70" s="56">
        <v>1</v>
      </c>
      <c r="J70" s="56"/>
      <c r="K70" s="17" t="s">
        <v>113</v>
      </c>
      <c r="L70" s="56"/>
      <c r="M70" s="56"/>
      <c r="N70" s="17"/>
      <c r="S70"/>
    </row>
    <row r="71" spans="1:19" customHeight="1" ht="15">
      <c r="A71" s="16" t="s">
        <v>121</v>
      </c>
      <c r="B71" s="16" t="s">
        <v>122</v>
      </c>
      <c r="C71" s="341" t="s">
        <v>123</v>
      </c>
      <c r="D71" s="342"/>
      <c r="E71" s="342"/>
      <c r="F71" s="342"/>
      <c r="G71" s="342"/>
      <c r="H71" s="343"/>
      <c r="I71" s="56"/>
      <c r="J71" s="56"/>
      <c r="K71" s="17"/>
      <c r="L71" s="56"/>
      <c r="M71" s="56">
        <v>1</v>
      </c>
      <c r="N71" s="17" t="s">
        <v>101</v>
      </c>
      <c r="S71"/>
    </row>
    <row r="72" spans="1:19" customHeight="1" ht="15">
      <c r="A72" s="16" t="s">
        <v>124</v>
      </c>
      <c r="B72" s="16" t="s">
        <v>125</v>
      </c>
      <c r="C72" s="341" t="s">
        <v>126</v>
      </c>
      <c r="D72" s="342"/>
      <c r="E72" s="342"/>
      <c r="F72" s="342"/>
      <c r="G72" s="342"/>
      <c r="H72" s="343"/>
      <c r="I72" s="56"/>
      <c r="J72" s="56"/>
      <c r="K72" s="17"/>
      <c r="L72" s="56"/>
      <c r="M72" s="56">
        <v>1</v>
      </c>
      <c r="N72" s="17" t="s">
        <v>127</v>
      </c>
      <c r="S72"/>
    </row>
    <row r="73" spans="1:19" customHeight="1" ht="15">
      <c r="A73" s="16" t="s">
        <v>128</v>
      </c>
      <c r="B73" s="16" t="s">
        <v>129</v>
      </c>
      <c r="C73" s="341" t="s">
        <v>130</v>
      </c>
      <c r="D73" s="342"/>
      <c r="E73" s="342"/>
      <c r="F73" s="342"/>
      <c r="G73" s="342"/>
      <c r="H73" s="343"/>
      <c r="I73" s="56">
        <v>1</v>
      </c>
      <c r="J73" s="56"/>
      <c r="K73" s="17" t="s">
        <v>131</v>
      </c>
      <c r="L73" s="56"/>
      <c r="M73" s="56"/>
      <c r="N73" s="17"/>
      <c r="S73"/>
    </row>
    <row r="74" spans="1:19" customHeight="1" ht="15">
      <c r="A74" s="16" t="s">
        <v>132</v>
      </c>
      <c r="B74" s="16" t="s">
        <v>133</v>
      </c>
      <c r="C74" s="341" t="s">
        <v>134</v>
      </c>
      <c r="D74" s="342"/>
      <c r="E74" s="342"/>
      <c r="F74" s="342"/>
      <c r="G74" s="342"/>
      <c r="H74" s="343"/>
      <c r="I74" s="56">
        <v>1</v>
      </c>
      <c r="J74" s="56"/>
      <c r="K74" s="17" t="s">
        <v>131</v>
      </c>
      <c r="L74" s="56"/>
      <c r="M74" s="56"/>
      <c r="N74" s="17"/>
      <c r="S74"/>
    </row>
    <row r="75" spans="1:19" customHeight="1" ht="15">
      <c r="A75" s="16" t="s">
        <v>135</v>
      </c>
      <c r="B75" s="16" t="s">
        <v>136</v>
      </c>
      <c r="C75" s="341" t="s">
        <v>137</v>
      </c>
      <c r="D75" s="342"/>
      <c r="E75" s="342"/>
      <c r="F75" s="342"/>
      <c r="G75" s="342"/>
      <c r="H75" s="343"/>
      <c r="I75" s="56"/>
      <c r="J75" s="56"/>
      <c r="K75" s="17"/>
      <c r="L75" s="56"/>
      <c r="M75" s="56">
        <v>1</v>
      </c>
      <c r="N75" s="17" t="s">
        <v>138</v>
      </c>
      <c r="S75"/>
    </row>
    <row r="76" spans="1:19" customHeight="1" ht="15">
      <c r="A76" s="16" t="s">
        <v>135</v>
      </c>
      <c r="B76" s="16" t="s">
        <v>139</v>
      </c>
      <c r="C76" s="341" t="s">
        <v>140</v>
      </c>
      <c r="D76" s="342"/>
      <c r="E76" s="342"/>
      <c r="F76" s="342"/>
      <c r="G76" s="342"/>
      <c r="H76" s="343"/>
      <c r="I76" s="56">
        <v>1</v>
      </c>
      <c r="J76" s="56"/>
      <c r="K76" s="17" t="s">
        <v>141</v>
      </c>
      <c r="L76" s="56"/>
      <c r="M76" s="56"/>
      <c r="N76" s="17"/>
      <c r="S76"/>
    </row>
    <row r="77" spans="1:19" customHeight="1" ht="15">
      <c r="A77" s="16" t="s">
        <v>142</v>
      </c>
      <c r="B77" s="16" t="s">
        <v>143</v>
      </c>
      <c r="C77" s="341" t="s">
        <v>144</v>
      </c>
      <c r="D77" s="342"/>
      <c r="E77" s="342"/>
      <c r="F77" s="342"/>
      <c r="G77" s="342"/>
      <c r="H77" s="343"/>
      <c r="I77" s="56"/>
      <c r="J77" s="56"/>
      <c r="K77" s="17"/>
      <c r="L77" s="56"/>
      <c r="M77" s="56">
        <v>1</v>
      </c>
      <c r="N77" s="17" t="s">
        <v>101</v>
      </c>
      <c r="S77"/>
    </row>
    <row r="78" spans="1:19" customHeight="1" ht="15">
      <c r="A78" s="16" t="s">
        <v>145</v>
      </c>
      <c r="B78" s="16" t="s">
        <v>146</v>
      </c>
      <c r="C78" s="341" t="s">
        <v>147</v>
      </c>
      <c r="D78" s="342"/>
      <c r="E78" s="342"/>
      <c r="F78" s="342"/>
      <c r="G78" s="342"/>
      <c r="H78" s="343"/>
      <c r="I78" s="56">
        <v>1</v>
      </c>
      <c r="J78" s="56"/>
      <c r="K78" s="17" t="s">
        <v>113</v>
      </c>
      <c r="L78" s="56"/>
      <c r="M78" s="56"/>
      <c r="N78" s="17"/>
      <c r="S78"/>
    </row>
    <row r="79" spans="1:19" customHeight="1" ht="15">
      <c r="A79" s="16" t="s">
        <v>148</v>
      </c>
      <c r="B79" s="16" t="s">
        <v>149</v>
      </c>
      <c r="C79" s="341" t="s">
        <v>150</v>
      </c>
      <c r="D79" s="342"/>
      <c r="E79" s="342"/>
      <c r="F79" s="342"/>
      <c r="G79" s="342"/>
      <c r="H79" s="343"/>
      <c r="I79" s="56">
        <v>1</v>
      </c>
      <c r="J79" s="56"/>
      <c r="K79" s="17" t="s">
        <v>131</v>
      </c>
      <c r="L79" s="56"/>
      <c r="M79" s="56"/>
      <c r="N79" s="17"/>
      <c r="S79"/>
    </row>
    <row r="80" spans="1:19" customHeight="1" ht="15">
      <c r="A80" s="16" t="s">
        <v>151</v>
      </c>
      <c r="B80" s="16" t="s">
        <v>152</v>
      </c>
      <c r="C80" s="341" t="s">
        <v>153</v>
      </c>
      <c r="D80" s="342"/>
      <c r="E80" s="342"/>
      <c r="F80" s="342"/>
      <c r="G80" s="342"/>
      <c r="H80" s="343"/>
      <c r="I80" s="56"/>
      <c r="J80" s="56"/>
      <c r="K80" s="17"/>
      <c r="L80" s="56"/>
      <c r="M80" s="56">
        <v>1</v>
      </c>
      <c r="N80" s="17" t="s">
        <v>117</v>
      </c>
      <c r="S80"/>
    </row>
    <row r="81" spans="1:19" customHeight="1" ht="15">
      <c r="A81" s="16" t="s">
        <v>154</v>
      </c>
      <c r="B81" s="16" t="s">
        <v>155</v>
      </c>
      <c r="C81" s="341" t="s">
        <v>156</v>
      </c>
      <c r="D81" s="342"/>
      <c r="E81" s="342"/>
      <c r="F81" s="342"/>
      <c r="G81" s="342"/>
      <c r="H81" s="343"/>
      <c r="I81" s="56">
        <v>1</v>
      </c>
      <c r="J81" s="56"/>
      <c r="K81" s="17" t="s">
        <v>157</v>
      </c>
      <c r="L81" s="56"/>
      <c r="M81" s="56"/>
      <c r="N81" s="17"/>
      <c r="S81"/>
    </row>
    <row r="82" spans="1:19" customHeight="1" ht="15">
      <c r="A82" s="16" t="s">
        <v>158</v>
      </c>
      <c r="B82" s="16" t="s">
        <v>159</v>
      </c>
      <c r="C82" s="341" t="s">
        <v>160</v>
      </c>
      <c r="D82" s="342"/>
      <c r="E82" s="342"/>
      <c r="F82" s="342"/>
      <c r="G82" s="342"/>
      <c r="H82" s="343"/>
      <c r="I82" s="56">
        <v>1</v>
      </c>
      <c r="J82" s="56"/>
      <c r="K82" s="17" t="s">
        <v>127</v>
      </c>
      <c r="L82" s="56"/>
      <c r="M82" s="56"/>
      <c r="N82" s="17"/>
      <c r="S82"/>
    </row>
    <row r="83" spans="1:19" customHeight="1" ht="15">
      <c r="A83" s="16" t="s">
        <v>161</v>
      </c>
      <c r="B83" s="16" t="s">
        <v>162</v>
      </c>
      <c r="C83" s="341" t="s">
        <v>163</v>
      </c>
      <c r="D83" s="342"/>
      <c r="E83" s="342"/>
      <c r="F83" s="342"/>
      <c r="G83" s="342"/>
      <c r="H83" s="343"/>
      <c r="I83" s="56">
        <v>1</v>
      </c>
      <c r="J83" s="56"/>
      <c r="K83" s="17" t="s">
        <v>138</v>
      </c>
      <c r="L83" s="56"/>
      <c r="M83" s="56"/>
      <c r="N83" s="17"/>
      <c r="S83"/>
    </row>
    <row r="84" spans="1:19" customHeight="1" ht="15">
      <c r="A84" s="16" t="s">
        <v>164</v>
      </c>
      <c r="B84" s="16" t="s">
        <v>165</v>
      </c>
      <c r="C84" s="341" t="s">
        <v>166</v>
      </c>
      <c r="D84" s="342"/>
      <c r="E84" s="342"/>
      <c r="F84" s="342"/>
      <c r="G84" s="342"/>
      <c r="H84" s="343"/>
      <c r="I84" s="56">
        <v>1</v>
      </c>
      <c r="J84" s="56"/>
      <c r="K84" s="17" t="s">
        <v>167</v>
      </c>
      <c r="L84" s="56"/>
      <c r="M84" s="56"/>
      <c r="N84" s="17"/>
      <c r="S84"/>
    </row>
    <row r="85" spans="1:19" customHeight="1" ht="15">
      <c r="A85" s="16" t="s">
        <v>168</v>
      </c>
      <c r="B85" s="16" t="s">
        <v>169</v>
      </c>
      <c r="C85" s="341" t="s">
        <v>170</v>
      </c>
      <c r="D85" s="342"/>
      <c r="E85" s="342"/>
      <c r="F85" s="342"/>
      <c r="G85" s="342"/>
      <c r="H85" s="343"/>
      <c r="I85" s="56">
        <v>1</v>
      </c>
      <c r="J85" s="56"/>
      <c r="K85" s="17" t="s">
        <v>141</v>
      </c>
      <c r="L85" s="56"/>
      <c r="M85" s="56"/>
      <c r="N85" s="17"/>
      <c r="S85"/>
    </row>
    <row r="86" spans="1:19" customHeight="1" ht="15">
      <c r="A86" s="16" t="s">
        <v>171</v>
      </c>
      <c r="B86" s="16" t="s">
        <v>172</v>
      </c>
      <c r="C86" s="341" t="s">
        <v>173</v>
      </c>
      <c r="D86" s="342"/>
      <c r="E86" s="342"/>
      <c r="F86" s="342"/>
      <c r="G86" s="342"/>
      <c r="H86" s="343"/>
      <c r="I86" s="56">
        <v>1</v>
      </c>
      <c r="J86" s="56"/>
      <c r="K86" s="17" t="s">
        <v>109</v>
      </c>
      <c r="L86" s="56"/>
      <c r="M86" s="56"/>
      <c r="N86" s="17"/>
      <c r="S86"/>
    </row>
    <row r="87" spans="1:19" customHeight="1" ht="15">
      <c r="A87" s="16" t="s">
        <v>174</v>
      </c>
      <c r="B87" s="16" t="s">
        <v>175</v>
      </c>
      <c r="C87" s="341" t="s">
        <v>176</v>
      </c>
      <c r="D87" s="342"/>
      <c r="E87" s="342"/>
      <c r="F87" s="342"/>
      <c r="G87" s="342"/>
      <c r="H87" s="343"/>
      <c r="I87" s="56"/>
      <c r="J87" s="56"/>
      <c r="K87" s="17"/>
      <c r="L87" s="56"/>
      <c r="M87" s="56">
        <v>1</v>
      </c>
      <c r="N87" s="17" t="s">
        <v>177</v>
      </c>
      <c r="S87"/>
    </row>
    <row r="88" spans="1:19" customHeight="1" ht="15">
      <c r="A88" s="16" t="s">
        <v>178</v>
      </c>
      <c r="B88" s="16" t="s">
        <v>155</v>
      </c>
      <c r="C88" s="341" t="s">
        <v>156</v>
      </c>
      <c r="D88" s="342"/>
      <c r="E88" s="342"/>
      <c r="F88" s="342"/>
      <c r="G88" s="342"/>
      <c r="H88" s="343"/>
      <c r="I88" s="56">
        <v>1</v>
      </c>
      <c r="J88" s="56"/>
      <c r="K88" s="17" t="s">
        <v>113</v>
      </c>
      <c r="L88" s="56"/>
      <c r="M88" s="56"/>
      <c r="N88" s="17"/>
      <c r="S88"/>
    </row>
    <row r="89" spans="1:19" customHeight="1" ht="15">
      <c r="A89" s="16" t="s">
        <v>178</v>
      </c>
      <c r="B89" s="16" t="s">
        <v>179</v>
      </c>
      <c r="C89" s="341" t="s">
        <v>180</v>
      </c>
      <c r="D89" s="342"/>
      <c r="E89" s="342"/>
      <c r="F89" s="342"/>
      <c r="G89" s="342"/>
      <c r="H89" s="343"/>
      <c r="I89" s="56">
        <v>1</v>
      </c>
      <c r="J89" s="56"/>
      <c r="K89" s="17" t="s">
        <v>127</v>
      </c>
      <c r="L89" s="56"/>
      <c r="M89" s="56"/>
      <c r="N89" s="17"/>
      <c r="S89"/>
    </row>
    <row r="90" spans="1:19" customHeight="1" ht="15">
      <c r="A90" s="16" t="s">
        <v>181</v>
      </c>
      <c r="B90" s="16" t="s">
        <v>162</v>
      </c>
      <c r="C90" s="341" t="s">
        <v>163</v>
      </c>
      <c r="D90" s="342"/>
      <c r="E90" s="342"/>
      <c r="F90" s="342"/>
      <c r="G90" s="342"/>
      <c r="H90" s="343"/>
      <c r="I90" s="56">
        <v>1</v>
      </c>
      <c r="J90" s="56"/>
      <c r="K90" s="17" t="s">
        <v>182</v>
      </c>
      <c r="L90" s="56"/>
      <c r="M90" s="56"/>
      <c r="N90" s="17"/>
      <c r="S90"/>
    </row>
    <row r="91" spans="1:19" customHeight="1" ht="15">
      <c r="A91" s="16" t="s">
        <v>183</v>
      </c>
      <c r="B91" s="16" t="s">
        <v>184</v>
      </c>
      <c r="C91" s="341" t="s">
        <v>185</v>
      </c>
      <c r="D91" s="342"/>
      <c r="E91" s="342"/>
      <c r="F91" s="342"/>
      <c r="G91" s="342"/>
      <c r="H91" s="343"/>
      <c r="I91" s="56"/>
      <c r="J91" s="56"/>
      <c r="K91" s="17"/>
      <c r="L91" s="56"/>
      <c r="M91" s="56">
        <v>1</v>
      </c>
      <c r="N91" s="17" t="s">
        <v>109</v>
      </c>
      <c r="S91"/>
    </row>
    <row r="92" spans="1:19" customHeight="1" ht="15">
      <c r="A92" s="16" t="s">
        <v>186</v>
      </c>
      <c r="B92" s="16" t="s">
        <v>99</v>
      </c>
      <c r="C92" s="341" t="s">
        <v>100</v>
      </c>
      <c r="D92" s="342"/>
      <c r="E92" s="342"/>
      <c r="F92" s="342"/>
      <c r="G92" s="342"/>
      <c r="H92" s="343"/>
      <c r="I92" s="56">
        <v>1</v>
      </c>
      <c r="J92" s="56"/>
      <c r="K92" s="17" t="s">
        <v>141</v>
      </c>
      <c r="L92" s="56"/>
      <c r="M92" s="56"/>
      <c r="N92" s="17"/>
      <c r="S92"/>
    </row>
    <row r="93" spans="1:19" customHeight="1" ht="15">
      <c r="A93" s="16" t="s">
        <v>187</v>
      </c>
      <c r="B93" s="16" t="s">
        <v>188</v>
      </c>
      <c r="C93" s="341" t="s">
        <v>189</v>
      </c>
      <c r="D93" s="342"/>
      <c r="E93" s="342"/>
      <c r="F93" s="342"/>
      <c r="G93" s="342"/>
      <c r="H93" s="343"/>
      <c r="I93" s="56">
        <v>1</v>
      </c>
      <c r="J93" s="56"/>
      <c r="K93" s="17" t="s">
        <v>105</v>
      </c>
      <c r="L93" s="56"/>
      <c r="M93" s="56"/>
      <c r="N93" s="17"/>
      <c r="S93"/>
    </row>
    <row r="94" spans="1:19" customHeight="1" ht="15">
      <c r="A94" s="16" t="s">
        <v>190</v>
      </c>
      <c r="B94" s="16" t="s">
        <v>191</v>
      </c>
      <c r="C94" s="341" t="s">
        <v>192</v>
      </c>
      <c r="D94" s="342"/>
      <c r="E94" s="342"/>
      <c r="F94" s="342"/>
      <c r="G94" s="342"/>
      <c r="H94" s="343"/>
      <c r="I94" s="56"/>
      <c r="J94" s="56"/>
      <c r="K94" s="17"/>
      <c r="L94" s="56"/>
      <c r="M94" s="56">
        <v>1</v>
      </c>
      <c r="N94" s="17" t="s">
        <v>167</v>
      </c>
      <c r="S94"/>
    </row>
    <row r="95" spans="1:19" customHeight="1" ht="15">
      <c r="A95" s="16" t="s">
        <v>193</v>
      </c>
      <c r="B95" s="16" t="s">
        <v>152</v>
      </c>
      <c r="C95" s="341" t="s">
        <v>153</v>
      </c>
      <c r="D95" s="342"/>
      <c r="E95" s="342"/>
      <c r="F95" s="342"/>
      <c r="G95" s="342"/>
      <c r="H95" s="343"/>
      <c r="I95" s="56"/>
      <c r="J95" s="56"/>
      <c r="K95" s="17"/>
      <c r="L95" s="56"/>
      <c r="M95" s="56">
        <v>1</v>
      </c>
      <c r="N95" s="17" t="s">
        <v>138</v>
      </c>
      <c r="S95"/>
    </row>
    <row r="96" spans="1:19" customHeight="1" ht="15">
      <c r="A96" s="16" t="s">
        <v>194</v>
      </c>
      <c r="B96" s="16" t="s">
        <v>195</v>
      </c>
      <c r="C96" s="341" t="s">
        <v>196</v>
      </c>
      <c r="D96" s="342"/>
      <c r="E96" s="342"/>
      <c r="F96" s="342"/>
      <c r="G96" s="342"/>
      <c r="H96" s="343"/>
      <c r="I96" s="56"/>
      <c r="J96" s="56"/>
      <c r="K96" s="17"/>
      <c r="L96" s="56"/>
      <c r="M96" s="56">
        <v>1</v>
      </c>
      <c r="N96" s="17" t="s">
        <v>117</v>
      </c>
      <c r="S96"/>
    </row>
    <row r="97" spans="1:19" customHeight="1" ht="15">
      <c r="A97" s="16" t="s">
        <v>197</v>
      </c>
      <c r="B97" s="16" t="s">
        <v>165</v>
      </c>
      <c r="C97" s="341" t="s">
        <v>166</v>
      </c>
      <c r="D97" s="342"/>
      <c r="E97" s="342"/>
      <c r="F97" s="342"/>
      <c r="G97" s="342"/>
      <c r="H97" s="343"/>
      <c r="I97" s="56">
        <v>1</v>
      </c>
      <c r="J97" s="56"/>
      <c r="K97" s="17" t="s">
        <v>198</v>
      </c>
      <c r="L97" s="56"/>
      <c r="M97" s="56"/>
      <c r="N97" s="17"/>
      <c r="S97"/>
    </row>
    <row r="98" spans="1:19" customHeight="1" ht="15">
      <c r="A98" s="16" t="s">
        <v>199</v>
      </c>
      <c r="B98" s="16" t="s">
        <v>200</v>
      </c>
      <c r="C98" s="341" t="s">
        <v>201</v>
      </c>
      <c r="D98" s="342"/>
      <c r="E98" s="342"/>
      <c r="F98" s="342"/>
      <c r="G98" s="342"/>
      <c r="H98" s="343"/>
      <c r="I98" s="56"/>
      <c r="J98" s="56"/>
      <c r="K98" s="17"/>
      <c r="L98" s="56"/>
      <c r="M98" s="56">
        <v>1</v>
      </c>
      <c r="N98" s="17" t="s">
        <v>131</v>
      </c>
      <c r="S98"/>
    </row>
    <row r="99" spans="1:19" customHeight="1" ht="15">
      <c r="A99" s="16" t="s">
        <v>202</v>
      </c>
      <c r="B99" s="16" t="s">
        <v>203</v>
      </c>
      <c r="C99" s="341" t="s">
        <v>204</v>
      </c>
      <c r="D99" s="342"/>
      <c r="E99" s="342"/>
      <c r="F99" s="342"/>
      <c r="G99" s="342"/>
      <c r="H99" s="343"/>
      <c r="I99" s="56">
        <v>1</v>
      </c>
      <c r="J99" s="56"/>
      <c r="K99" s="17" t="s">
        <v>205</v>
      </c>
      <c r="L99" s="56"/>
      <c r="M99" s="56"/>
      <c r="N99" s="17"/>
      <c r="S99"/>
    </row>
    <row r="100" spans="1:19" customHeight="1" ht="15">
      <c r="A100" s="16" t="s">
        <v>206</v>
      </c>
      <c r="B100" s="16" t="s">
        <v>103</v>
      </c>
      <c r="C100" s="341" t="s">
        <v>104</v>
      </c>
      <c r="D100" s="342"/>
      <c r="E100" s="342"/>
      <c r="F100" s="342"/>
      <c r="G100" s="342"/>
      <c r="H100" s="343"/>
      <c r="I100" s="56">
        <v>1</v>
      </c>
      <c r="J100" s="56"/>
      <c r="K100" s="17" t="s">
        <v>141</v>
      </c>
      <c r="L100" s="56"/>
      <c r="M100" s="56"/>
      <c r="N100" s="17"/>
      <c r="S100"/>
    </row>
    <row r="101" spans="1:19" customHeight="1" ht="16.5">
      <c r="I101" s="18">
        <f>SUM(I64:I65)</f>
        <v>1</v>
      </c>
      <c r="J101" s="18">
        <f>SUM(J64:J65)</f>
        <v>0</v>
      </c>
      <c r="L101" s="18">
        <f>SUM(L64:L65)</f>
        <v>0</v>
      </c>
      <c r="M101" s="18">
        <f>SUM(M64:M65)</f>
        <v>0</v>
      </c>
      <c r="N101" s="9"/>
      <c r="S101"/>
    </row>
    <row r="102" spans="1:19">
      <c r="C102" s="378" t="s">
        <v>207</v>
      </c>
      <c r="D102" s="379"/>
      <c r="E102" s="379"/>
      <c r="F102" s="379"/>
      <c r="G102" s="380"/>
      <c r="H102" s="18">
        <f>(I101+J101+L101+M101)</f>
        <v>1</v>
      </c>
      <c r="N102" s="9"/>
      <c r="S102"/>
    </row>
    <row r="103" spans="1:19">
      <c r="C103" s="378" t="s">
        <v>208</v>
      </c>
      <c r="D103" s="379"/>
      <c r="E103" s="379"/>
      <c r="F103" s="379"/>
      <c r="G103" s="380"/>
      <c r="H103" s="75">
        <v>1</v>
      </c>
      <c r="I103" s="76">
        <f>I101/(I101+J101+L101+M101)</f>
        <v>1</v>
      </c>
      <c r="J103" s="76">
        <f>J101/(I101+J101+L101+M101)</f>
        <v>0</v>
      </c>
      <c r="L103" s="76">
        <f>L101/(I101+J101+L101+M101)</f>
        <v>0</v>
      </c>
      <c r="M103" s="76">
        <f>M101/(I101+J101+L101+M101)</f>
        <v>0</v>
      </c>
      <c r="N103" s="9"/>
      <c r="S103"/>
    </row>
    <row r="104" spans="1:19" customHeight="1" ht="16.5">
      <c r="A104" s="342"/>
      <c r="B104" s="342"/>
      <c r="C104" s="381"/>
      <c r="D104" s="342"/>
      <c r="E104" s="342"/>
      <c r="F104" s="342"/>
      <c r="G104" s="342"/>
      <c r="H104" s="372"/>
      <c r="I104" s="372"/>
      <c r="J104" s="372"/>
      <c r="K104" s="372"/>
      <c r="L104" s="372"/>
      <c r="M104" s="372"/>
      <c r="N104" s="382"/>
      <c r="S104"/>
    </row>
    <row r="105" spans="1:19" customHeight="1" ht="14.5">
      <c r="A105" s="338"/>
      <c r="B105" s="338"/>
      <c r="C105" s="383"/>
      <c r="D105" s="338"/>
      <c r="E105" s="338"/>
      <c r="F105" s="338"/>
      <c r="G105" s="338"/>
      <c r="H105" s="339"/>
      <c r="I105" s="339"/>
      <c r="J105" s="339"/>
      <c r="K105" s="339"/>
      <c r="L105" s="339"/>
      <c r="M105" s="339"/>
      <c r="N105" s="339"/>
      <c r="S105"/>
    </row>
    <row r="106" spans="1:19" customHeight="1" ht="14.5">
      <c r="A106" s="338"/>
      <c r="B106" s="338"/>
      <c r="C106" s="383"/>
      <c r="D106" s="338"/>
      <c r="E106" s="338"/>
      <c r="F106" s="338"/>
      <c r="G106" s="338"/>
      <c r="H106" s="339"/>
      <c r="I106" s="339"/>
      <c r="J106" s="339"/>
      <c r="K106" s="339"/>
      <c r="L106" s="339"/>
      <c r="M106" s="339"/>
      <c r="N106" s="339"/>
      <c r="S106"/>
    </row>
    <row r="107" spans="1:19" customHeight="1" ht="14.5">
      <c r="C107" s="333" t="s">
        <v>209</v>
      </c>
      <c r="D107" s="334"/>
      <c r="E107" s="334"/>
      <c r="F107" s="334"/>
      <c r="G107" s="334"/>
      <c r="H107" s="335"/>
      <c r="I107" s="335"/>
      <c r="J107" s="335"/>
      <c r="K107" s="335"/>
      <c r="L107" s="335"/>
      <c r="M107" s="335"/>
      <c r="N107" s="336"/>
      <c r="S107"/>
    </row>
    <row r="108" spans="1:19" customHeight="1" ht="14.5">
      <c r="C108" s="337"/>
      <c r="D108" s="338"/>
      <c r="E108" s="338"/>
      <c r="F108" s="338"/>
      <c r="G108" s="338"/>
      <c r="H108" s="339"/>
      <c r="I108" s="339"/>
      <c r="J108" s="339"/>
      <c r="K108" s="339"/>
      <c r="L108" s="339"/>
      <c r="M108" s="339"/>
      <c r="N108" s="340"/>
      <c r="S108"/>
    </row>
    <row r="109" spans="1:19" customHeight="1" ht="14.5">
      <c r="C109" s="370"/>
      <c r="D109" s="338"/>
      <c r="E109" s="338"/>
      <c r="F109" s="338"/>
      <c r="G109" s="338"/>
      <c r="H109" s="339"/>
      <c r="I109" s="339"/>
      <c r="J109" s="339"/>
      <c r="K109" s="369" t="s">
        <v>210</v>
      </c>
      <c r="L109" s="339"/>
      <c r="M109" s="369" t="s">
        <v>211</v>
      </c>
      <c r="N109" s="340"/>
      <c r="S109"/>
    </row>
    <row r="110" spans="1:19" customHeight="1" ht="15">
      <c r="C110" s="371"/>
      <c r="D110" s="342"/>
      <c r="E110" s="342"/>
      <c r="F110" s="342"/>
      <c r="G110" s="342"/>
      <c r="H110" s="372"/>
      <c r="I110" s="372"/>
      <c r="J110" s="372"/>
      <c r="K110" s="19" t="s">
        <v>212</v>
      </c>
      <c r="L110" s="19" t="s">
        <v>213</v>
      </c>
      <c r="M110" s="19" t="s">
        <v>212</v>
      </c>
      <c r="N110" s="21" t="s">
        <v>213</v>
      </c>
      <c r="S110"/>
    </row>
    <row r="111" spans="1:19" customHeight="1" ht="15">
      <c r="C111" s="373" t="s">
        <v>214</v>
      </c>
      <c r="D111" s="374"/>
      <c r="E111" s="374"/>
      <c r="F111" s="200"/>
      <c r="G111" s="375"/>
      <c r="H111" s="376"/>
      <c r="I111" s="376"/>
      <c r="J111" s="377"/>
      <c r="K111" s="194">
        <f>I101</f>
        <v>1</v>
      </c>
      <c r="L111" s="323">
        <f>K111/(M111+K111)</f>
        <v>1</v>
      </c>
      <c r="M111" s="194">
        <f>M101</f>
        <v>0</v>
      </c>
      <c r="N111" s="324">
        <f>(M111/(K111+M111))</f>
        <v>0</v>
      </c>
      <c r="S111"/>
    </row>
    <row r="112" spans="1:19" customHeight="1" ht="15">
      <c r="C112" s="350" t="s">
        <v>215</v>
      </c>
      <c r="D112" s="351"/>
      <c r="E112" s="351"/>
      <c r="F112" s="43"/>
      <c r="G112" s="331" t="s">
        <v>216</v>
      </c>
      <c r="H112" s="331"/>
      <c r="I112" s="330" t="s">
        <v>4</v>
      </c>
      <c r="J112" s="332"/>
      <c r="L112" s="100"/>
      <c r="M112" s="195"/>
      <c r="N112" s="197"/>
      <c r="S112"/>
    </row>
    <row r="113" spans="1:19" customHeight="1" ht="15">
      <c r="C113" s="218"/>
      <c r="D113" s="222"/>
      <c r="E113" s="223"/>
      <c r="F113" s="43"/>
      <c r="G113" s="331"/>
      <c r="H113" s="331"/>
      <c r="I113" s="330"/>
      <c r="J113" s="332"/>
      <c r="L113" s="100"/>
      <c r="M113" s="195"/>
      <c r="N113" s="197"/>
      <c r="S113"/>
    </row>
    <row r="114" spans="1:19" customHeight="1" ht="15">
      <c r="C114" s="696" t="s">
        <v>217</v>
      </c>
      <c r="D114" s="220"/>
      <c r="E114" s="221"/>
      <c r="F114" s="44" t="s">
        <v>36</v>
      </c>
      <c r="G114" s="367" t="s">
        <v>218</v>
      </c>
      <c r="H114" s="367"/>
      <c r="I114" s="368" t="s">
        <v>38</v>
      </c>
      <c r="J114" s="368"/>
      <c r="K114" s="196">
        <v>1</v>
      </c>
      <c r="L114" s="199" t="s">
        <v>219</v>
      </c>
      <c r="M114" s="196">
        <v>0</v>
      </c>
      <c r="N114" s="198" t="s">
        <v>220</v>
      </c>
      <c r="S114"/>
    </row>
    <row r="115" spans="1:19" customHeight="1" ht="15">
      <c r="C115" s="219"/>
      <c r="D115" s="220"/>
      <c r="E115" s="221"/>
      <c r="F115" s="44" t="s">
        <v>39</v>
      </c>
      <c r="G115" s="367" t="s">
        <v>221</v>
      </c>
      <c r="H115" s="367"/>
      <c r="I115" s="368" t="s">
        <v>41</v>
      </c>
      <c r="J115" s="368"/>
      <c r="K115" s="196">
        <v>1</v>
      </c>
      <c r="L115" s="199" t="s">
        <v>219</v>
      </c>
      <c r="M115" s="196">
        <v>0</v>
      </c>
      <c r="N115" s="198" t="s">
        <v>220</v>
      </c>
      <c r="S115"/>
    </row>
    <row r="116" spans="1:19" customHeight="1" ht="15">
      <c r="C116" s="219"/>
      <c r="D116" s="220"/>
      <c r="E116" s="221"/>
      <c r="F116" s="44" t="s">
        <v>42</v>
      </c>
      <c r="G116" s="367" t="s">
        <v>222</v>
      </c>
      <c r="H116" s="367"/>
      <c r="I116" s="368" t="s">
        <v>44</v>
      </c>
      <c r="J116" s="368"/>
      <c r="K116" s="196">
        <v>0</v>
      </c>
      <c r="L116" s="199" t="s">
        <v>220</v>
      </c>
      <c r="M116" s="196">
        <v>1</v>
      </c>
      <c r="N116" s="198" t="s">
        <v>219</v>
      </c>
      <c r="S116"/>
    </row>
    <row r="117" spans="1:19" customHeight="1" ht="15">
      <c r="C117" s="219"/>
      <c r="D117" s="220"/>
      <c r="E117" s="221"/>
      <c r="F117" s="44" t="s">
        <v>45</v>
      </c>
      <c r="G117" s="367" t="s">
        <v>223</v>
      </c>
      <c r="H117" s="367"/>
      <c r="I117" s="368" t="s">
        <v>47</v>
      </c>
      <c r="J117" s="368"/>
      <c r="K117" s="196">
        <v>0</v>
      </c>
      <c r="L117" s="199" t="s">
        <v>220</v>
      </c>
      <c r="M117" s="196">
        <v>0</v>
      </c>
      <c r="N117" s="198" t="s">
        <v>220</v>
      </c>
      <c r="S117"/>
    </row>
    <row r="118" spans="1:19" customHeight="1" ht="15">
      <c r="C118" s="219"/>
      <c r="D118" s="220"/>
      <c r="E118" s="221"/>
      <c r="F118" s="44" t="s">
        <v>48</v>
      </c>
      <c r="G118" s="367" t="s">
        <v>224</v>
      </c>
      <c r="H118" s="367"/>
      <c r="I118" s="368" t="s">
        <v>50</v>
      </c>
      <c r="J118" s="368"/>
      <c r="K118" s="196">
        <v>1</v>
      </c>
      <c r="L118" s="199" t="s">
        <v>225</v>
      </c>
      <c r="M118" s="196">
        <v>2</v>
      </c>
      <c r="N118" s="198" t="s">
        <v>226</v>
      </c>
      <c r="S118"/>
    </row>
    <row r="119" spans="1:19" customHeight="1" ht="15">
      <c r="C119" s="219"/>
      <c r="D119" s="220"/>
      <c r="E119" s="221"/>
      <c r="F119" s="44" t="s">
        <v>51</v>
      </c>
      <c r="G119" s="367" t="s">
        <v>227</v>
      </c>
      <c r="H119" s="367"/>
      <c r="I119" s="368" t="s">
        <v>53</v>
      </c>
      <c r="J119" s="368"/>
      <c r="K119" s="196">
        <v>2</v>
      </c>
      <c r="L119" s="199" t="s">
        <v>226</v>
      </c>
      <c r="M119" s="196">
        <v>1</v>
      </c>
      <c r="N119" s="198" t="s">
        <v>225</v>
      </c>
      <c r="S119"/>
    </row>
    <row r="120" spans="1:19" customHeight="1" ht="15">
      <c r="C120" s="219"/>
      <c r="D120" s="220"/>
      <c r="E120" s="221"/>
      <c r="F120" s="44" t="s">
        <v>54</v>
      </c>
      <c r="G120" s="367" t="s">
        <v>228</v>
      </c>
      <c r="H120" s="367"/>
      <c r="I120" s="368" t="s">
        <v>56</v>
      </c>
      <c r="J120" s="368"/>
      <c r="K120" s="196">
        <v>0</v>
      </c>
      <c r="L120" s="199" t="s">
        <v>220</v>
      </c>
      <c r="M120" s="196">
        <v>0</v>
      </c>
      <c r="N120" s="198" t="s">
        <v>220</v>
      </c>
      <c r="S120"/>
    </row>
    <row r="121" spans="1:19" customHeight="1" ht="15">
      <c r="C121" s="219"/>
      <c r="D121" s="220"/>
      <c r="E121" s="221"/>
      <c r="F121" s="44" t="s">
        <v>57</v>
      </c>
      <c r="G121" s="367" t="s">
        <v>229</v>
      </c>
      <c r="H121" s="367"/>
      <c r="I121" s="368" t="s">
        <v>59</v>
      </c>
      <c r="J121" s="368"/>
      <c r="K121" s="196">
        <v>4</v>
      </c>
      <c r="L121" s="199" t="s">
        <v>219</v>
      </c>
      <c r="M121" s="196">
        <v>0</v>
      </c>
      <c r="N121" s="198" t="s">
        <v>220</v>
      </c>
      <c r="S121"/>
    </row>
    <row r="122" spans="1:19" customHeight="1" ht="15">
      <c r="C122" s="219"/>
      <c r="D122" s="220"/>
      <c r="E122" s="221"/>
      <c r="F122" s="44" t="s">
        <v>60</v>
      </c>
      <c r="G122" s="367" t="s">
        <v>230</v>
      </c>
      <c r="H122" s="367"/>
      <c r="I122" s="368" t="s">
        <v>62</v>
      </c>
      <c r="J122" s="368"/>
      <c r="K122" s="196">
        <v>2</v>
      </c>
      <c r="L122" s="199" t="s">
        <v>226</v>
      </c>
      <c r="M122" s="196">
        <v>1</v>
      </c>
      <c r="N122" s="198" t="s">
        <v>225</v>
      </c>
      <c r="S122"/>
    </row>
    <row r="123" spans="1:19" customHeight="1" ht="15">
      <c r="C123" s="219"/>
      <c r="D123" s="220"/>
      <c r="E123" s="221"/>
      <c r="F123" s="44" t="s">
        <v>63</v>
      </c>
      <c r="G123" s="367" t="s">
        <v>231</v>
      </c>
      <c r="H123" s="367"/>
      <c r="I123" s="368" t="s">
        <v>65</v>
      </c>
      <c r="J123" s="368"/>
      <c r="K123" s="196">
        <v>1</v>
      </c>
      <c r="L123" s="199" t="s">
        <v>225</v>
      </c>
      <c r="M123" s="196">
        <v>2</v>
      </c>
      <c r="N123" s="198" t="s">
        <v>226</v>
      </c>
      <c r="S123"/>
    </row>
    <row r="124" spans="1:19" customHeight="1" ht="15">
      <c r="C124" s="219"/>
      <c r="D124" s="220"/>
      <c r="E124" s="221"/>
      <c r="F124" s="44" t="s">
        <v>66</v>
      </c>
      <c r="G124" s="367" t="s">
        <v>232</v>
      </c>
      <c r="H124" s="367"/>
      <c r="I124" s="368" t="s">
        <v>68</v>
      </c>
      <c r="J124" s="368"/>
      <c r="K124" s="196">
        <v>1</v>
      </c>
      <c r="L124" s="199" t="s">
        <v>233</v>
      </c>
      <c r="M124" s="196">
        <v>1</v>
      </c>
      <c r="N124" s="198" t="s">
        <v>233</v>
      </c>
      <c r="S124"/>
    </row>
    <row r="125" spans="1:19" customHeight="1" ht="15">
      <c r="C125" s="219"/>
      <c r="D125" s="220"/>
      <c r="E125" s="221"/>
      <c r="F125" s="44" t="s">
        <v>69</v>
      </c>
      <c r="G125" s="367" t="s">
        <v>234</v>
      </c>
      <c r="H125" s="367"/>
      <c r="I125" s="368" t="s">
        <v>71</v>
      </c>
      <c r="J125" s="368"/>
      <c r="K125" s="196">
        <v>1</v>
      </c>
      <c r="L125" s="199" t="s">
        <v>233</v>
      </c>
      <c r="M125" s="196">
        <v>1</v>
      </c>
      <c r="N125" s="198" t="s">
        <v>233</v>
      </c>
      <c r="S125"/>
    </row>
    <row r="126" spans="1:19" customHeight="1" ht="15">
      <c r="C126" s="219"/>
      <c r="D126" s="220"/>
      <c r="E126" s="221"/>
      <c r="F126" s="44" t="s">
        <v>72</v>
      </c>
      <c r="G126" s="367" t="s">
        <v>235</v>
      </c>
      <c r="H126" s="367"/>
      <c r="I126" s="368" t="s">
        <v>74</v>
      </c>
      <c r="J126" s="368"/>
      <c r="K126" s="196">
        <v>3</v>
      </c>
      <c r="L126" s="199" t="s">
        <v>236</v>
      </c>
      <c r="M126" s="196">
        <v>1</v>
      </c>
      <c r="N126" s="198" t="s">
        <v>237</v>
      </c>
      <c r="S126"/>
    </row>
    <row r="127" spans="1:19" customHeight="1" ht="15">
      <c r="C127" s="219"/>
      <c r="D127" s="220"/>
      <c r="E127" s="221"/>
      <c r="F127" s="44" t="s">
        <v>75</v>
      </c>
      <c r="G127" s="367" t="s">
        <v>238</v>
      </c>
      <c r="H127" s="367"/>
      <c r="I127" s="368" t="s">
        <v>77</v>
      </c>
      <c r="J127" s="368"/>
      <c r="K127" s="196">
        <v>1</v>
      </c>
      <c r="L127" s="199" t="s">
        <v>219</v>
      </c>
      <c r="M127" s="196">
        <v>0</v>
      </c>
      <c r="N127" s="198" t="s">
        <v>220</v>
      </c>
      <c r="S127"/>
    </row>
    <row r="128" spans="1:19" customHeight="1" ht="15">
      <c r="C128" s="219"/>
      <c r="D128" s="220"/>
      <c r="E128" s="221"/>
      <c r="F128" s="44" t="s">
        <v>78</v>
      </c>
      <c r="G128" s="367" t="s">
        <v>239</v>
      </c>
      <c r="H128" s="367"/>
      <c r="I128" s="368" t="s">
        <v>80</v>
      </c>
      <c r="J128" s="368"/>
      <c r="K128" s="196">
        <v>1</v>
      </c>
      <c r="L128" s="199" t="s">
        <v>225</v>
      </c>
      <c r="M128" s="196">
        <v>2</v>
      </c>
      <c r="N128" s="198" t="s">
        <v>226</v>
      </c>
      <c r="S128"/>
    </row>
    <row r="129" spans="1:19" customHeight="1" ht="15">
      <c r="C129" s="219"/>
      <c r="D129" s="220"/>
      <c r="E129" s="221"/>
      <c r="F129" s="44" t="s">
        <v>81</v>
      </c>
      <c r="G129" s="367" t="s">
        <v>240</v>
      </c>
      <c r="H129" s="367"/>
      <c r="I129" s="368" t="s">
        <v>83</v>
      </c>
      <c r="J129" s="368"/>
      <c r="K129" s="196">
        <v>1</v>
      </c>
      <c r="L129" s="199" t="s">
        <v>219</v>
      </c>
      <c r="M129" s="196">
        <v>0</v>
      </c>
      <c r="N129" s="198" t="s">
        <v>220</v>
      </c>
      <c r="S129"/>
    </row>
    <row r="130" spans="1:19" customHeight="1" ht="15">
      <c r="C130" s="219"/>
      <c r="D130" s="220"/>
      <c r="E130" s="221"/>
      <c r="F130" s="44" t="s">
        <v>84</v>
      </c>
      <c r="G130" s="367" t="s">
        <v>241</v>
      </c>
      <c r="H130" s="367"/>
      <c r="I130" s="368" t="s">
        <v>86</v>
      </c>
      <c r="J130" s="368"/>
      <c r="K130" s="196">
        <v>4</v>
      </c>
      <c r="L130" s="199" t="s">
        <v>219</v>
      </c>
      <c r="M130" s="196">
        <v>0</v>
      </c>
      <c r="N130" s="198" t="s">
        <v>220</v>
      </c>
      <c r="S130"/>
    </row>
    <row r="131" spans="1:19" customHeight="1" ht="14" s="201" customFormat="1">
      <c r="B131" s="202"/>
      <c r="C131" s="203"/>
      <c r="D131" s="203"/>
      <c r="E131" s="203"/>
      <c r="F131" s="204"/>
      <c r="G131" s="205"/>
      <c r="H131" s="205"/>
      <c r="I131" s="205"/>
      <c r="J131" s="206"/>
      <c r="K131" s="207"/>
      <c r="L131" s="206"/>
      <c r="M131" s="207"/>
      <c r="S131" s="201"/>
    </row>
    <row r="132" spans="1:19" customHeight="1" ht="14" s="201" customFormat="1">
      <c r="B132" s="202"/>
      <c r="C132" s="203"/>
      <c r="D132" s="203"/>
      <c r="E132" s="203"/>
      <c r="F132" s="204"/>
      <c r="G132" s="205"/>
      <c r="H132" s="205"/>
      <c r="I132" s="205"/>
      <c r="J132" s="206"/>
      <c r="K132" s="207"/>
      <c r="L132" s="206"/>
      <c r="M132" s="207"/>
      <c r="S132" s="201"/>
    </row>
    <row r="133" spans="1:19" customHeight="1" ht="14" s="201" customFormat="1">
      <c r="B133" s="202"/>
      <c r="C133" s="203"/>
      <c r="D133" s="203"/>
      <c r="E133" s="203"/>
      <c r="F133" s="204"/>
      <c r="G133" s="205"/>
      <c r="H133" s="205"/>
      <c r="I133" s="205"/>
      <c r="J133" s="206"/>
      <c r="K133" s="207"/>
      <c r="L133" s="206"/>
      <c r="M133" s="207"/>
      <c r="S133" s="201"/>
    </row>
    <row r="134" spans="1:19" s="201" customFormat="1">
      <c r="B134" s="202"/>
      <c r="C134" s="208" t="s">
        <v>242</v>
      </c>
      <c r="D134" s="208"/>
      <c r="E134" s="107"/>
      <c r="F134" s="209"/>
      <c r="G134" s="207"/>
      <c r="H134" s="207"/>
      <c r="I134" s="207"/>
      <c r="J134" s="207"/>
      <c r="K134" s="207"/>
      <c r="L134" s="207"/>
      <c r="M134" s="207"/>
      <c r="S134" s="201"/>
    </row>
    <row r="135" spans="1:19" customHeight="1" ht="18" s="201" customFormat="1">
      <c r="B135" s="202"/>
      <c r="C135" s="210"/>
      <c r="D135" s="210"/>
      <c r="E135" s="211"/>
      <c r="F135" s="209"/>
      <c r="G135" s="207"/>
      <c r="H135" s="207"/>
      <c r="I135" s="207"/>
      <c r="J135" s="207"/>
      <c r="K135" s="207"/>
      <c r="L135" s="207"/>
      <c r="M135" s="207"/>
      <c r="Q135" s="212"/>
      <c r="R135" s="212"/>
      <c r="S135" s="201"/>
    </row>
    <row r="136" spans="1:19" customHeight="1" ht="14" s="201" customFormat="1">
      <c r="B136" s="202"/>
      <c r="C136" s="213" t="s">
        <v>243</v>
      </c>
      <c r="D136" s="213"/>
      <c r="E136" s="213"/>
      <c r="F136" s="209"/>
      <c r="G136" s="207" t="s">
        <v>244</v>
      </c>
      <c r="H136" s="207"/>
      <c r="I136" s="207"/>
      <c r="J136" s="207"/>
      <c r="K136" s="207" t="s">
        <v>245</v>
      </c>
      <c r="L136" s="207"/>
      <c r="M136" s="207"/>
      <c r="S136" s="201"/>
    </row>
    <row r="137" spans="1:19" customHeight="1" ht="14" s="201" customFormat="1">
      <c r="B137" s="202"/>
      <c r="C137" s="213"/>
      <c r="D137" s="213"/>
      <c r="E137" s="213"/>
      <c r="F137" s="209"/>
      <c r="G137" s="207"/>
      <c r="H137" s="207"/>
      <c r="I137" s="207"/>
      <c r="J137" s="207"/>
      <c r="K137" s="207"/>
      <c r="L137" s="207"/>
      <c r="M137" s="207"/>
      <c r="S137" s="201"/>
    </row>
    <row r="138" spans="1:19" customHeight="1" ht="18" s="201" customFormat="1">
      <c r="B138" s="202"/>
      <c r="C138" s="211"/>
      <c r="D138" s="211"/>
      <c r="E138" s="213"/>
      <c r="F138" s="214"/>
      <c r="G138" s="207"/>
      <c r="H138" s="207"/>
      <c r="I138" s="207"/>
      <c r="J138" s="207"/>
      <c r="K138" s="207"/>
      <c r="L138" s="207"/>
      <c r="M138" s="207"/>
      <c r="S138" s="201"/>
    </row>
    <row r="139" spans="1:19" customHeight="1" ht="12.5" s="201" customFormat="1">
      <c r="B139" s="202"/>
      <c r="C139" s="212" t="s">
        <v>246</v>
      </c>
      <c r="D139" s="212"/>
      <c r="E139" s="212"/>
      <c r="F139" s="212"/>
      <c r="G139" s="215"/>
      <c r="H139" s="212"/>
      <c r="I139" s="212"/>
      <c r="J139" s="212"/>
      <c r="K139" s="212"/>
      <c r="L139" s="212"/>
      <c r="M139" s="212"/>
      <c r="N139" s="212"/>
      <c r="O139" s="212"/>
      <c r="P139" s="212"/>
      <c r="S139" s="201"/>
    </row>
    <row r="140" spans="1:19" customHeight="1" ht="13" s="201" customFormat="1">
      <c r="B140" s="202"/>
      <c r="C140" s="210"/>
      <c r="D140" s="210"/>
      <c r="S140" s="201"/>
    </row>
    <row r="141" spans="1:19" customHeight="1" ht="12.5" s="201" customFormat="1">
      <c r="B141" s="202"/>
      <c r="S141" s="201"/>
    </row>
  </sheetData>
  <sheetProtection formatCells="0" formatColumns="0" formatRows="0" insertColumns="0" insertRows="0" insertHyperlinks="0" deleteColumns="0" deleteRows="0" sort="0" autoFilter="0" pivotTables="0"/>
  <mergeCells>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62:N63"/>
    <mergeCell ref="Q10:S10"/>
    <mergeCell ref="G114:H114"/>
    <mergeCell ref="I114:J114"/>
    <mergeCell ref="K109:L109"/>
    <mergeCell ref="M109:N109"/>
    <mergeCell ref="C109:J110"/>
    <mergeCell ref="C111:E111"/>
    <mergeCell ref="G111:H111"/>
    <mergeCell ref="I111:J111"/>
    <mergeCell ref="C102:G102"/>
    <mergeCell ref="C103:G103"/>
    <mergeCell ref="A104:N104"/>
    <mergeCell ref="A105:N106"/>
    <mergeCell ref="C64:H64"/>
    <mergeCell ref="B22:F22"/>
    <mergeCell ref="G113:H113"/>
    <mergeCell ref="I113:J113"/>
    <mergeCell ref="C107:N108"/>
    <mergeCell ref="C65:H65"/>
    <mergeCell ref="B37:L38"/>
    <mergeCell ref="C112:E112"/>
    <mergeCell ref="G112:H112"/>
    <mergeCell ref="I112:J112"/>
    <mergeCell ref="K62:K63"/>
    <mergeCell ref="L62:M62"/>
    <mergeCell ref="A58:N59"/>
    <mergeCell ref="A60:A63"/>
    <mergeCell ref="B60:B63"/>
    <mergeCell ref="C60:H63"/>
    <mergeCell ref="I60:N61"/>
    <mergeCell ref="I62:J62"/>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C84:H84"/>
    <mergeCell ref="C85:H85"/>
    <mergeCell ref="C86:H86"/>
    <mergeCell ref="C87:H87"/>
    <mergeCell ref="C88:H88"/>
    <mergeCell ref="C89:H89"/>
    <mergeCell ref="C90:H90"/>
    <mergeCell ref="C91:H91"/>
    <mergeCell ref="C92:H92"/>
    <mergeCell ref="C93:H93"/>
    <mergeCell ref="C94:H94"/>
    <mergeCell ref="C95:H95"/>
    <mergeCell ref="C96:H96"/>
    <mergeCell ref="C97:H97"/>
    <mergeCell ref="C98:H98"/>
    <mergeCell ref="C99:H99"/>
    <mergeCell ref="C100:H100"/>
    <mergeCell ref="G115:H115"/>
    <mergeCell ref="I115:J115"/>
    <mergeCell ref="G116:H116"/>
    <mergeCell ref="I116:J116"/>
    <mergeCell ref="G117:H117"/>
    <mergeCell ref="I117:J117"/>
    <mergeCell ref="G118:H118"/>
    <mergeCell ref="I118:J118"/>
    <mergeCell ref="G119:H119"/>
    <mergeCell ref="I119:J119"/>
    <mergeCell ref="G120:H120"/>
    <mergeCell ref="I120:J120"/>
    <mergeCell ref="G121:H121"/>
    <mergeCell ref="I121:J121"/>
    <mergeCell ref="G122:H122"/>
    <mergeCell ref="I122:J122"/>
    <mergeCell ref="G123:H123"/>
    <mergeCell ref="I123:J123"/>
    <mergeCell ref="G124:H124"/>
    <mergeCell ref="I124:J124"/>
    <mergeCell ref="G125:H125"/>
    <mergeCell ref="I125:J125"/>
    <mergeCell ref="G126:H126"/>
    <mergeCell ref="I126:J126"/>
    <mergeCell ref="G127:H127"/>
    <mergeCell ref="I127:J127"/>
    <mergeCell ref="G128:H128"/>
    <mergeCell ref="I128:J128"/>
    <mergeCell ref="G129:H129"/>
    <mergeCell ref="I129:J129"/>
    <mergeCell ref="G130:H130"/>
    <mergeCell ref="I130:J130"/>
    <mergeCell ref="C114:E130"/>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304"/>
  <sheetViews>
    <sheetView tabSelected="1" workbookViewId="0" showGridLines="true" showRowColHeaders="1" topLeftCell="A42">
      <selection activeCell="F6" sqref="F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6" t="s">
        <v>247</v>
      </c>
      <c r="B1" s="497"/>
      <c r="C1" s="497"/>
      <c r="D1" s="497"/>
      <c r="E1" s="497"/>
      <c r="F1" s="497"/>
      <c r="G1" s="497"/>
      <c r="H1" s="497"/>
      <c r="I1" s="497"/>
      <c r="J1" s="497"/>
      <c r="K1" s="497"/>
      <c r="L1" s="497"/>
      <c r="M1" s="497"/>
      <c r="N1" s="497"/>
      <c r="O1" s="497"/>
      <c r="P1" s="497"/>
      <c r="Q1" s="497"/>
      <c r="R1" s="497"/>
      <c r="S1" s="497"/>
      <c r="T1" s="497"/>
      <c r="U1" s="497"/>
      <c r="V1" s="498"/>
    </row>
    <row r="2" spans="1:22" customHeight="1" ht="23.25">
      <c r="A2" s="505" t="s">
        <v>248</v>
      </c>
      <c r="B2" s="505"/>
      <c r="C2" s="505"/>
      <c r="D2" s="505"/>
      <c r="E2" s="505"/>
      <c r="F2" s="505"/>
      <c r="G2" s="505"/>
      <c r="H2" s="505"/>
      <c r="I2" s="505"/>
      <c r="J2" s="505"/>
      <c r="K2" s="505"/>
      <c r="L2" s="505"/>
      <c r="M2" s="505"/>
      <c r="N2" s="505"/>
      <c r="O2" s="505"/>
      <c r="P2" s="505"/>
      <c r="Q2" s="505"/>
      <c r="R2" s="505"/>
      <c r="S2" s="505"/>
      <c r="T2" s="505"/>
      <c r="U2" s="505"/>
      <c r="V2" s="505"/>
    </row>
    <row r="3" spans="1:22" customHeight="1" ht="15.5">
      <c r="A3" s="479" t="s">
        <v>249</v>
      </c>
      <c r="B3" s="479"/>
      <c r="C3" s="479"/>
      <c r="D3" s="479"/>
      <c r="E3" s="479"/>
      <c r="F3" s="480"/>
      <c r="G3" s="499" t="s">
        <v>250</v>
      </c>
      <c r="H3" s="500"/>
      <c r="I3" s="500"/>
      <c r="J3" s="500"/>
      <c r="K3" s="500"/>
      <c r="L3" s="500"/>
      <c r="M3" s="500"/>
      <c r="N3" s="500"/>
      <c r="O3" s="500"/>
      <c r="P3" s="500"/>
      <c r="Q3" s="500"/>
      <c r="R3" s="500"/>
      <c r="S3" s="500"/>
      <c r="T3" s="501"/>
      <c r="U3" s="488"/>
      <c r="V3" s="489"/>
    </row>
    <row r="4" spans="1:22" customHeight="1" ht="15.5">
      <c r="A4" s="479" t="s">
        <v>251</v>
      </c>
      <c r="B4" s="479"/>
      <c r="C4" s="479"/>
      <c r="D4" s="480"/>
      <c r="E4" s="502" t="s">
        <v>252</v>
      </c>
      <c r="F4" s="503"/>
      <c r="G4" s="503"/>
      <c r="H4" s="503"/>
      <c r="I4" s="503"/>
      <c r="J4" s="503"/>
      <c r="K4" s="503"/>
      <c r="L4" s="503"/>
      <c r="M4" s="503"/>
      <c r="N4" s="503"/>
      <c r="O4" s="503"/>
      <c r="P4" s="503"/>
      <c r="Q4" s="503"/>
      <c r="R4" s="503"/>
      <c r="S4" s="503"/>
      <c r="T4" s="504"/>
      <c r="U4" s="488"/>
      <c r="V4" s="489"/>
    </row>
    <row r="5" spans="1:22" customHeight="1" ht="15.5">
      <c r="A5" s="479" t="s">
        <v>253</v>
      </c>
      <c r="B5" s="479"/>
      <c r="C5" s="479"/>
      <c r="D5" s="480"/>
      <c r="E5" s="502" t="s">
        <v>254</v>
      </c>
      <c r="F5" s="503"/>
      <c r="G5" s="503"/>
      <c r="H5" s="503"/>
      <c r="I5" s="503"/>
      <c r="J5" s="503"/>
      <c r="K5" s="503"/>
      <c r="L5" s="503"/>
      <c r="M5" s="503"/>
      <c r="N5" s="503"/>
      <c r="O5" s="503"/>
      <c r="P5" s="503"/>
      <c r="Q5" s="503"/>
      <c r="R5" s="503"/>
      <c r="S5" s="503"/>
      <c r="T5" s="504"/>
      <c r="U5" s="488"/>
      <c r="V5" s="489"/>
    </row>
    <row r="6" spans="1:22" customHeight="1" ht="18.5">
      <c r="A6" s="479" t="s">
        <v>255</v>
      </c>
      <c r="B6" s="479"/>
      <c r="C6" s="479"/>
      <c r="D6" s="480"/>
      <c r="E6" s="59">
        <v>1</v>
      </c>
      <c r="F6" s="697">
        <v>2</v>
      </c>
      <c r="G6" s="59">
        <v>3</v>
      </c>
      <c r="H6" s="59">
        <v>4</v>
      </c>
      <c r="I6" s="59">
        <v>5</v>
      </c>
      <c r="J6" s="59">
        <v>6</v>
      </c>
      <c r="K6" s="59">
        <v>7</v>
      </c>
      <c r="L6" s="488"/>
      <c r="M6" s="489"/>
      <c r="N6" s="489"/>
      <c r="O6" s="489"/>
      <c r="P6" s="489"/>
      <c r="Q6" s="489"/>
      <c r="R6" s="489"/>
      <c r="S6" s="489"/>
      <c r="T6" s="489"/>
      <c r="U6" s="489"/>
      <c r="V6" s="489"/>
    </row>
    <row r="7" spans="1:22" customHeight="1" ht="15.5">
      <c r="A7" s="479" t="s">
        <v>256</v>
      </c>
      <c r="B7" s="479"/>
      <c r="C7" s="479"/>
      <c r="D7" s="480"/>
      <c r="E7" s="484" t="s">
        <v>257</v>
      </c>
      <c r="F7" s="485"/>
      <c r="G7" s="485"/>
      <c r="H7" s="485"/>
      <c r="I7" s="485"/>
      <c r="J7" s="485"/>
      <c r="K7" s="485"/>
      <c r="L7" s="486"/>
      <c r="M7" s="487"/>
      <c r="N7" s="488"/>
      <c r="O7" s="489"/>
      <c r="P7" s="489"/>
      <c r="Q7" s="489"/>
      <c r="R7" s="489"/>
      <c r="S7" s="489"/>
      <c r="T7" s="489"/>
      <c r="U7" s="489"/>
      <c r="V7" s="489"/>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0" t="s">
        <v>258</v>
      </c>
      <c r="B10" s="491"/>
      <c r="C10" s="491"/>
      <c r="D10" s="491"/>
      <c r="E10" s="491"/>
      <c r="F10" s="491"/>
      <c r="G10" s="491"/>
      <c r="H10" s="491"/>
      <c r="I10" s="491"/>
      <c r="J10" s="491"/>
      <c r="K10" s="491"/>
      <c r="L10" s="491"/>
      <c r="M10" s="491"/>
      <c r="N10" s="491"/>
      <c r="O10" s="491"/>
      <c r="P10" s="491"/>
      <c r="Q10" s="491"/>
      <c r="R10" s="491"/>
      <c r="S10" s="491"/>
      <c r="T10" s="491"/>
      <c r="U10" s="491"/>
      <c r="V10" s="492"/>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1" t="s">
        <v>259</v>
      </c>
      <c r="F12" s="482"/>
      <c r="G12" s="482"/>
      <c r="H12" s="482"/>
      <c r="I12" s="482"/>
      <c r="J12" s="482"/>
      <c r="K12" s="483"/>
      <c r="L12" s="66"/>
      <c r="M12" s="493" t="s">
        <v>259</v>
      </c>
      <c r="N12" s="494"/>
      <c r="O12" s="494"/>
      <c r="P12" s="494"/>
      <c r="Q12" s="494"/>
      <c r="R12" s="494"/>
      <c r="S12" s="495"/>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7" t="s">
        <v>260</v>
      </c>
      <c r="B14" s="468"/>
      <c r="C14" s="468"/>
      <c r="D14" s="469"/>
      <c r="E14" s="470" t="s">
        <v>91</v>
      </c>
      <c r="F14" s="471"/>
      <c r="G14" s="471"/>
      <c r="H14" s="471"/>
      <c r="I14" s="471"/>
      <c r="J14" s="471"/>
      <c r="K14" s="472"/>
      <c r="L14" s="216" t="s">
        <v>261</v>
      </c>
      <c r="M14" s="470" t="s">
        <v>93</v>
      </c>
      <c r="N14" s="473"/>
      <c r="O14" s="473"/>
      <c r="P14" s="473"/>
      <c r="Q14" s="473"/>
      <c r="R14" s="473"/>
      <c r="S14" s="474"/>
      <c r="T14" s="216" t="s">
        <v>261</v>
      </c>
      <c r="U14" s="217" t="s">
        <v>262</v>
      </c>
      <c r="V14" s="217" t="s">
        <v>213</v>
      </c>
    </row>
    <row r="15" spans="1:22" customHeight="1" ht="18">
      <c r="A15" s="410" t="s">
        <v>263</v>
      </c>
      <c r="B15" s="411"/>
      <c r="C15" s="411"/>
      <c r="D15" s="411"/>
      <c r="E15" s="411"/>
      <c r="F15" s="411"/>
      <c r="G15" s="411"/>
      <c r="H15" s="411"/>
      <c r="I15" s="411"/>
      <c r="J15" s="411"/>
      <c r="K15" s="411"/>
      <c r="L15" s="411"/>
      <c r="M15" s="411"/>
      <c r="N15" s="411"/>
      <c r="O15" s="411"/>
      <c r="P15" s="411"/>
      <c r="Q15" s="411"/>
      <c r="R15" s="411"/>
      <c r="S15" s="411"/>
      <c r="T15" s="411"/>
      <c r="U15" s="411"/>
      <c r="V15" s="412"/>
    </row>
    <row r="16" spans="1:22">
      <c r="A16" s="225" t="s">
        <v>136</v>
      </c>
      <c r="B16" s="475" t="s">
        <v>137</v>
      </c>
      <c r="C16" s="475"/>
      <c r="D16" s="476"/>
      <c r="E16" s="227">
        <v>1</v>
      </c>
      <c r="F16" s="227">
        <v>0</v>
      </c>
      <c r="G16" s="227">
        <v>0</v>
      </c>
      <c r="H16" s="227">
        <v>0</v>
      </c>
      <c r="I16" s="227">
        <v>0</v>
      </c>
      <c r="J16" s="227">
        <v>0</v>
      </c>
      <c r="K16" s="228">
        <v>0</v>
      </c>
      <c r="L16" s="256">
        <v>1</v>
      </c>
      <c r="M16" s="236">
        <v>0</v>
      </c>
      <c r="N16" s="237">
        <v>1</v>
      </c>
      <c r="O16" s="237">
        <v>0</v>
      </c>
      <c r="P16" s="237">
        <v>0</v>
      </c>
      <c r="Q16" s="237">
        <v>0</v>
      </c>
      <c r="R16" s="237">
        <v>0</v>
      </c>
      <c r="S16" s="238">
        <v>0</v>
      </c>
      <c r="T16" s="256">
        <v>1</v>
      </c>
      <c r="U16" s="265">
        <v>2</v>
      </c>
      <c r="V16" s="266" t="s">
        <v>233</v>
      </c>
    </row>
    <row r="17" spans="1:22">
      <c r="A17" s="225" t="s">
        <v>169</v>
      </c>
      <c r="B17" s="475" t="s">
        <v>170</v>
      </c>
      <c r="C17" s="475"/>
      <c r="D17" s="476"/>
      <c r="E17" s="227">
        <v>4</v>
      </c>
      <c r="F17" s="227">
        <v>1</v>
      </c>
      <c r="G17" s="227">
        <v>0</v>
      </c>
      <c r="H17" s="227">
        <v>0</v>
      </c>
      <c r="I17" s="227">
        <v>0</v>
      </c>
      <c r="J17" s="227">
        <v>0</v>
      </c>
      <c r="K17" s="228">
        <v>0</v>
      </c>
      <c r="L17" s="256">
        <v>5</v>
      </c>
      <c r="M17" s="236">
        <v>0</v>
      </c>
      <c r="N17" s="237">
        <v>0</v>
      </c>
      <c r="O17" s="237">
        <v>0</v>
      </c>
      <c r="P17" s="237">
        <v>0</v>
      </c>
      <c r="Q17" s="237">
        <v>0</v>
      </c>
      <c r="R17" s="237">
        <v>0</v>
      </c>
      <c r="S17" s="238">
        <v>0</v>
      </c>
      <c r="T17" s="256">
        <v>0</v>
      </c>
      <c r="U17" s="265">
        <v>5</v>
      </c>
      <c r="V17" s="266" t="s">
        <v>220</v>
      </c>
    </row>
    <row r="18" spans="1:22">
      <c r="A18" s="225" t="s">
        <v>152</v>
      </c>
      <c r="B18" s="475" t="s">
        <v>153</v>
      </c>
      <c r="C18" s="475"/>
      <c r="D18" s="476"/>
      <c r="E18" s="227">
        <v>1</v>
      </c>
      <c r="F18" s="227">
        <v>0</v>
      </c>
      <c r="G18" s="227">
        <v>0</v>
      </c>
      <c r="H18" s="227">
        <v>0</v>
      </c>
      <c r="I18" s="227">
        <v>0</v>
      </c>
      <c r="J18" s="227">
        <v>0</v>
      </c>
      <c r="K18" s="228">
        <v>0</v>
      </c>
      <c r="L18" s="256">
        <v>1</v>
      </c>
      <c r="M18" s="236">
        <v>0</v>
      </c>
      <c r="N18" s="237">
        <v>2</v>
      </c>
      <c r="O18" s="237">
        <v>0</v>
      </c>
      <c r="P18" s="237">
        <v>0</v>
      </c>
      <c r="Q18" s="237">
        <v>0</v>
      </c>
      <c r="R18" s="237">
        <v>0</v>
      </c>
      <c r="S18" s="238">
        <v>0</v>
      </c>
      <c r="T18" s="256">
        <v>2</v>
      </c>
      <c r="U18" s="265">
        <v>3</v>
      </c>
      <c r="V18" s="266" t="s">
        <v>264</v>
      </c>
    </row>
    <row r="19" spans="1:22" customHeight="1" ht="15">
      <c r="A19" s="243"/>
      <c r="B19" s="477"/>
      <c r="C19" s="477"/>
      <c r="D19" s="478"/>
      <c r="E19" s="226"/>
      <c r="F19" s="227"/>
      <c r="G19" s="227"/>
      <c r="H19" s="227"/>
      <c r="I19" s="227"/>
      <c r="J19" s="227"/>
      <c r="K19" s="228"/>
      <c r="L19" s="229">
        <f>SUM(E19:K19)</f>
        <v>0</v>
      </c>
      <c r="M19" s="240"/>
      <c r="N19" s="241"/>
      <c r="O19" s="241"/>
      <c r="P19" s="241"/>
      <c r="Q19" s="241"/>
      <c r="R19" s="241"/>
      <c r="S19" s="242"/>
      <c r="T19" s="229">
        <f>SUM(M19:S19)</f>
        <v>0</v>
      </c>
      <c r="U19" s="239">
        <f>SUM(T19,L19)</f>
        <v>0</v>
      </c>
      <c r="V19" s="235" t="b">
        <f>IF(T19&gt;0,T19/U19,)</f>
        <v>0</v>
      </c>
    </row>
    <row r="20" spans="1:22" customHeight="1" ht="15">
      <c r="A20" s="442" t="s">
        <v>265</v>
      </c>
      <c r="B20" s="443"/>
      <c r="C20" s="443"/>
      <c r="D20" s="444"/>
      <c r="E20" s="246">
        <f>SUM(E16:E19)</f>
        <v>6</v>
      </c>
      <c r="F20" s="246">
        <f>SUM(F16:F19)</f>
        <v>1</v>
      </c>
      <c r="G20" s="246">
        <f>SUM(G16:G19)</f>
        <v>0</v>
      </c>
      <c r="H20" s="246">
        <f>SUM(H16:H19)</f>
        <v>0</v>
      </c>
      <c r="I20" s="246">
        <f>SUM(I16:I19)</f>
        <v>0</v>
      </c>
      <c r="J20" s="246">
        <f>SUM(J16:J19)</f>
        <v>0</v>
      </c>
      <c r="K20" s="246">
        <f>SUM(K16:K19)</f>
        <v>0</v>
      </c>
      <c r="L20" s="248">
        <f>SUM(E20:K20)</f>
        <v>7</v>
      </c>
      <c r="M20" s="249">
        <f>SUM(M16:M19)</f>
        <v>0</v>
      </c>
      <c r="N20" s="246">
        <f>SUM(N16:N19)</f>
        <v>3</v>
      </c>
      <c r="O20" s="246">
        <f>SUM(O16:O19)</f>
        <v>0</v>
      </c>
      <c r="P20" s="246">
        <f>SUM(P16:P19)</f>
        <v>0</v>
      </c>
      <c r="Q20" s="246">
        <f>SUM(Q16:Q19)</f>
        <v>0</v>
      </c>
      <c r="R20" s="246">
        <f>SUM(R16:R19)</f>
        <v>0</v>
      </c>
      <c r="S20" s="250">
        <f>SUM(S16:S19)</f>
        <v>0</v>
      </c>
      <c r="T20" s="248">
        <f>SUM(M20:S20)</f>
        <v>3</v>
      </c>
      <c r="U20" s="251">
        <f>SUM(T20,L20)</f>
        <v>10</v>
      </c>
      <c r="V20" s="252">
        <f>IF(T20&gt;0,T20/U20,)</f>
        <v>0.3</v>
      </c>
    </row>
    <row r="21" spans="1:22" customHeight="1" ht="18">
      <c r="A21" s="410" t="s">
        <v>266</v>
      </c>
      <c r="B21" s="411"/>
      <c r="C21" s="411"/>
      <c r="D21" s="411"/>
      <c r="E21" s="411"/>
      <c r="F21" s="411"/>
      <c r="G21" s="411"/>
      <c r="H21" s="411"/>
      <c r="I21" s="411"/>
      <c r="J21" s="411"/>
      <c r="K21" s="411"/>
      <c r="L21" s="411"/>
      <c r="M21" s="411"/>
      <c r="N21" s="411"/>
      <c r="O21" s="411"/>
      <c r="P21" s="411"/>
      <c r="Q21" s="411"/>
      <c r="R21" s="411"/>
      <c r="S21" s="411"/>
      <c r="T21" s="411"/>
      <c r="U21" s="411"/>
      <c r="V21" s="412"/>
    </row>
    <row r="22" spans="1:22">
      <c r="A22" s="225" t="s">
        <v>267</v>
      </c>
      <c r="B22" s="475" t="s">
        <v>268</v>
      </c>
      <c r="C22" s="475"/>
      <c r="D22" s="476"/>
      <c r="E22" s="227">
        <v>2</v>
      </c>
      <c r="F22" s="227">
        <v>0</v>
      </c>
      <c r="G22" s="227">
        <v>0</v>
      </c>
      <c r="H22" s="227">
        <v>0</v>
      </c>
      <c r="I22" s="227">
        <v>0</v>
      </c>
      <c r="J22" s="227">
        <v>0</v>
      </c>
      <c r="K22" s="228">
        <v>0</v>
      </c>
      <c r="L22" s="229">
        <v>2</v>
      </c>
      <c r="M22" s="236">
        <v>1</v>
      </c>
      <c r="N22" s="237">
        <v>0</v>
      </c>
      <c r="O22" s="237">
        <v>0</v>
      </c>
      <c r="P22" s="237">
        <v>0</v>
      </c>
      <c r="Q22" s="237">
        <v>0</v>
      </c>
      <c r="R22" s="237">
        <v>0</v>
      </c>
      <c r="S22" s="238">
        <v>0</v>
      </c>
      <c r="T22" s="229">
        <v>1</v>
      </c>
      <c r="U22" s="239">
        <v>3</v>
      </c>
      <c r="V22" s="235" t="s">
        <v>269</v>
      </c>
    </row>
    <row r="23" spans="1:22">
      <c r="A23" s="225" t="s">
        <v>99</v>
      </c>
      <c r="B23" s="475" t="s">
        <v>100</v>
      </c>
      <c r="C23" s="475"/>
      <c r="D23" s="476"/>
      <c r="E23" s="227">
        <v>1</v>
      </c>
      <c r="F23" s="227">
        <v>2</v>
      </c>
      <c r="G23" s="227">
        <v>0</v>
      </c>
      <c r="H23" s="227">
        <v>0</v>
      </c>
      <c r="I23" s="227">
        <v>0</v>
      </c>
      <c r="J23" s="227">
        <v>0</v>
      </c>
      <c r="K23" s="228">
        <v>0</v>
      </c>
      <c r="L23" s="229">
        <v>3</v>
      </c>
      <c r="M23" s="236">
        <v>1</v>
      </c>
      <c r="N23" s="237">
        <v>0</v>
      </c>
      <c r="O23" s="237">
        <v>0</v>
      </c>
      <c r="P23" s="237">
        <v>0</v>
      </c>
      <c r="Q23" s="237">
        <v>0</v>
      </c>
      <c r="R23" s="237">
        <v>0</v>
      </c>
      <c r="S23" s="238">
        <v>0</v>
      </c>
      <c r="T23" s="229">
        <v>1</v>
      </c>
      <c r="U23" s="239">
        <v>4</v>
      </c>
      <c r="V23" s="235" t="s">
        <v>237</v>
      </c>
    </row>
    <row r="24" spans="1:22" customHeight="1" ht="15">
      <c r="A24" s="243"/>
      <c r="B24" s="477"/>
      <c r="C24" s="477"/>
      <c r="D24" s="478"/>
      <c r="E24" s="226"/>
      <c r="F24" s="227"/>
      <c r="G24" s="227"/>
      <c r="H24" s="227"/>
      <c r="I24" s="227"/>
      <c r="J24" s="227"/>
      <c r="K24" s="228"/>
      <c r="L24" s="229">
        <f>SUM(E24:K24)</f>
        <v>0</v>
      </c>
      <c r="M24" s="240"/>
      <c r="N24" s="241"/>
      <c r="O24" s="241"/>
      <c r="P24" s="241"/>
      <c r="Q24" s="241"/>
      <c r="R24" s="241"/>
      <c r="S24" s="242"/>
      <c r="T24" s="229">
        <f>SUM(M24:S24)</f>
        <v>0</v>
      </c>
      <c r="U24" s="239">
        <f>SUM(T24,L24)</f>
        <v>0</v>
      </c>
      <c r="V24" s="235" t="b">
        <f>IF(T24&gt;0,T24/U24,)</f>
        <v>0</v>
      </c>
    </row>
    <row r="25" spans="1:22" customHeight="1" ht="15">
      <c r="A25" s="442" t="s">
        <v>265</v>
      </c>
      <c r="B25" s="443"/>
      <c r="C25" s="443"/>
      <c r="D25" s="444"/>
      <c r="E25" s="246">
        <f>SUM(E22:E24)</f>
        <v>3</v>
      </c>
      <c r="F25" s="246">
        <f>SUM(F22:F24)</f>
        <v>2</v>
      </c>
      <c r="G25" s="246">
        <f>SUM(G22:G24)</f>
        <v>0</v>
      </c>
      <c r="H25" s="246">
        <f>SUM(H22:H24)</f>
        <v>0</v>
      </c>
      <c r="I25" s="246">
        <f>SUM(I22:I24)</f>
        <v>0</v>
      </c>
      <c r="J25" s="246">
        <f>SUM(J22:J24)</f>
        <v>0</v>
      </c>
      <c r="K25" s="246">
        <f>SUM(K22:K24)</f>
        <v>0</v>
      </c>
      <c r="L25" s="248">
        <f>SUM(E25:K25)</f>
        <v>5</v>
      </c>
      <c r="M25" s="257">
        <f>SUM(M22:M24)</f>
        <v>2</v>
      </c>
      <c r="N25" s="257">
        <f>SUM(N22:N24)</f>
        <v>0</v>
      </c>
      <c r="O25" s="257">
        <f>SUM(O22:O24)</f>
        <v>0</v>
      </c>
      <c r="P25" s="257">
        <f>SUM(P22:P24)</f>
        <v>0</v>
      </c>
      <c r="Q25" s="257">
        <f>SUM(Q22:Q24)</f>
        <v>0</v>
      </c>
      <c r="R25" s="257">
        <f>SUM(R22:R24)</f>
        <v>0</v>
      </c>
      <c r="S25" s="257">
        <f>SUM(S22:S24)</f>
        <v>0</v>
      </c>
      <c r="T25" s="248">
        <f>SUM(M25:S25)</f>
        <v>2</v>
      </c>
      <c r="U25" s="251">
        <f>SUM(T25,L25)</f>
        <v>7</v>
      </c>
      <c r="V25" s="252">
        <f>IF(T25&gt;0,T25/U25,)</f>
        <v>0.28571428571429</v>
      </c>
    </row>
    <row r="26" spans="1:22" customHeight="1" ht="18">
      <c r="A26" s="410" t="s">
        <v>270</v>
      </c>
      <c r="B26" s="411"/>
      <c r="C26" s="411"/>
      <c r="D26" s="411"/>
      <c r="E26" s="411"/>
      <c r="F26" s="411"/>
      <c r="G26" s="411"/>
      <c r="H26" s="411"/>
      <c r="I26" s="411"/>
      <c r="J26" s="411"/>
      <c r="K26" s="411"/>
      <c r="L26" s="411"/>
      <c r="M26" s="411"/>
      <c r="N26" s="411"/>
      <c r="O26" s="411"/>
      <c r="P26" s="411"/>
      <c r="Q26" s="411"/>
      <c r="R26" s="411"/>
      <c r="S26" s="411"/>
      <c r="T26" s="411"/>
      <c r="U26" s="411"/>
      <c r="V26" s="412"/>
    </row>
    <row r="27" spans="1:22">
      <c r="A27" s="225" t="s">
        <v>271</v>
      </c>
      <c r="B27" s="475" t="s">
        <v>272</v>
      </c>
      <c r="C27" s="475"/>
      <c r="D27" s="476"/>
      <c r="E27" s="226">
        <v>2</v>
      </c>
      <c r="F27" s="227">
        <v>0</v>
      </c>
      <c r="G27" s="227">
        <v>0</v>
      </c>
      <c r="H27" s="227">
        <v>0</v>
      </c>
      <c r="I27" s="227">
        <v>0</v>
      </c>
      <c r="J27" s="227">
        <v>0</v>
      </c>
      <c r="K27" s="228">
        <v>0</v>
      </c>
      <c r="L27" s="255">
        <v>2</v>
      </c>
      <c r="M27" s="236">
        <v>0</v>
      </c>
      <c r="N27" s="237">
        <v>0</v>
      </c>
      <c r="O27" s="237">
        <v>0</v>
      </c>
      <c r="P27" s="237">
        <v>0</v>
      </c>
      <c r="Q27" s="237">
        <v>0</v>
      </c>
      <c r="R27" s="237">
        <v>0</v>
      </c>
      <c r="S27" s="238">
        <v>0</v>
      </c>
      <c r="T27" s="229">
        <v>0</v>
      </c>
      <c r="U27" s="239">
        <v>2</v>
      </c>
      <c r="V27" s="235" t="s">
        <v>220</v>
      </c>
    </row>
    <row r="28" spans="1:22">
      <c r="A28" s="225" t="s">
        <v>139</v>
      </c>
      <c r="B28" s="475" t="s">
        <v>140</v>
      </c>
      <c r="C28" s="475"/>
      <c r="D28" s="476"/>
      <c r="E28" s="226">
        <v>1</v>
      </c>
      <c r="F28" s="227">
        <v>1</v>
      </c>
      <c r="G28" s="227">
        <v>0</v>
      </c>
      <c r="H28" s="227">
        <v>0</v>
      </c>
      <c r="I28" s="227">
        <v>0</v>
      </c>
      <c r="J28" s="227">
        <v>0</v>
      </c>
      <c r="K28" s="228">
        <v>0</v>
      </c>
      <c r="L28" s="255">
        <v>2</v>
      </c>
      <c r="M28" s="236">
        <v>0</v>
      </c>
      <c r="N28" s="237">
        <v>0</v>
      </c>
      <c r="O28" s="237">
        <v>0</v>
      </c>
      <c r="P28" s="237">
        <v>0</v>
      </c>
      <c r="Q28" s="237">
        <v>0</v>
      </c>
      <c r="R28" s="237">
        <v>0</v>
      </c>
      <c r="S28" s="238">
        <v>0</v>
      </c>
      <c r="T28" s="229">
        <v>0</v>
      </c>
      <c r="U28" s="239">
        <v>2</v>
      </c>
      <c r="V28" s="235" t="s">
        <v>220</v>
      </c>
    </row>
    <row r="29" spans="1:22" customHeight="1" ht="15">
      <c r="A29" s="243"/>
      <c r="B29" s="477"/>
      <c r="C29" s="477"/>
      <c r="D29" s="478"/>
      <c r="E29" s="226"/>
      <c r="F29" s="227"/>
      <c r="G29" s="227"/>
      <c r="H29" s="227"/>
      <c r="I29" s="227"/>
      <c r="J29" s="227"/>
      <c r="K29" s="228"/>
      <c r="L29" s="256">
        <f>SUM(E29:K29)</f>
        <v>0</v>
      </c>
      <c r="M29" s="240"/>
      <c r="N29" s="241"/>
      <c r="O29" s="241"/>
      <c r="P29" s="241"/>
      <c r="Q29" s="241"/>
      <c r="R29" s="241"/>
      <c r="S29" s="242"/>
      <c r="T29" s="229">
        <f>SUM(M29:S29)</f>
        <v>0</v>
      </c>
      <c r="U29" s="239">
        <f>SUM(T29,L29)</f>
        <v>0</v>
      </c>
      <c r="V29" s="235" t="b">
        <f>IF(T29&gt;0,T29/U29,)</f>
        <v>0</v>
      </c>
    </row>
    <row r="30" spans="1:22" customHeight="1" ht="15">
      <c r="A30" s="442" t="s">
        <v>265</v>
      </c>
      <c r="B30" s="443"/>
      <c r="C30" s="443"/>
      <c r="D30" s="444"/>
      <c r="E30" s="246">
        <f>SUM(E27:E29)</f>
        <v>3</v>
      </c>
      <c r="F30" s="246">
        <f>SUM(F27:F29)</f>
        <v>1</v>
      </c>
      <c r="G30" s="246">
        <f>SUM(G27:G29)</f>
        <v>0</v>
      </c>
      <c r="H30" s="246">
        <f>SUM(H27:H29)</f>
        <v>0</v>
      </c>
      <c r="I30" s="246">
        <f>SUM(I27:I29)</f>
        <v>0</v>
      </c>
      <c r="J30" s="246">
        <f>SUM(J27:J29)</f>
        <v>0</v>
      </c>
      <c r="K30" s="250">
        <f>SUM(K27:K29)</f>
        <v>0</v>
      </c>
      <c r="L30" s="248">
        <f>SUM(E30:K30)</f>
        <v>4</v>
      </c>
      <c r="M30" s="257">
        <f>SUM(M27:M29)</f>
        <v>0</v>
      </c>
      <c r="N30" s="246">
        <f>SUM(N27:N29)</f>
        <v>0</v>
      </c>
      <c r="O30" s="246">
        <f>SUM(O27:O29)</f>
        <v>0</v>
      </c>
      <c r="P30" s="246">
        <f>SUM(P27:P29)</f>
        <v>0</v>
      </c>
      <c r="Q30" s="246">
        <f>SUM(Q27:Q29)</f>
        <v>0</v>
      </c>
      <c r="R30" s="246">
        <f>SUM(R27:R29)</f>
        <v>0</v>
      </c>
      <c r="S30" s="246">
        <f>SUM(S27:S29)</f>
        <v>0</v>
      </c>
      <c r="T30" s="248">
        <f>SUM(M30:S30)</f>
        <v>0</v>
      </c>
      <c r="U30" s="251">
        <f>SUM(T30,L30)</f>
        <v>4</v>
      </c>
      <c r="V30" s="252" t="b">
        <f>IF(T30&gt;0,T30/U30,)</f>
        <v>0</v>
      </c>
    </row>
    <row r="31" spans="1:22" customHeight="1" ht="18">
      <c r="A31" s="410" t="s">
        <v>273</v>
      </c>
      <c r="B31" s="411"/>
      <c r="C31" s="411"/>
      <c r="D31" s="411"/>
      <c r="E31" s="411"/>
      <c r="F31" s="411"/>
      <c r="G31" s="411"/>
      <c r="H31" s="411"/>
      <c r="I31" s="411"/>
      <c r="J31" s="411"/>
      <c r="K31" s="411"/>
      <c r="L31" s="411"/>
      <c r="M31" s="411"/>
      <c r="N31" s="411"/>
      <c r="O31" s="411"/>
      <c r="P31" s="411"/>
      <c r="Q31" s="411"/>
      <c r="R31" s="411"/>
      <c r="S31" s="411"/>
      <c r="T31" s="411"/>
      <c r="U31" s="411"/>
      <c r="V31" s="412"/>
    </row>
    <row r="32" spans="1:22">
      <c r="A32" s="225" t="s">
        <v>111</v>
      </c>
      <c r="B32" s="475" t="s">
        <v>112</v>
      </c>
      <c r="C32" s="475"/>
      <c r="D32" s="476"/>
      <c r="E32" s="259">
        <v>1</v>
      </c>
      <c r="F32" s="260">
        <v>1</v>
      </c>
      <c r="G32" s="260">
        <v>0</v>
      </c>
      <c r="H32" s="260">
        <v>0</v>
      </c>
      <c r="I32" s="260">
        <v>0</v>
      </c>
      <c r="J32" s="260">
        <v>0</v>
      </c>
      <c r="K32" s="261">
        <v>0</v>
      </c>
      <c r="L32" s="256">
        <v>2</v>
      </c>
      <c r="M32" s="262">
        <v>0</v>
      </c>
      <c r="N32" s="263">
        <v>0</v>
      </c>
      <c r="O32" s="263">
        <v>0</v>
      </c>
      <c r="P32" s="263">
        <v>0</v>
      </c>
      <c r="Q32" s="263">
        <v>0</v>
      </c>
      <c r="R32" s="263">
        <v>0</v>
      </c>
      <c r="S32" s="264">
        <v>0</v>
      </c>
      <c r="T32" s="256">
        <v>0</v>
      </c>
      <c r="U32" s="265">
        <v>2</v>
      </c>
      <c r="V32" s="266" t="s">
        <v>220</v>
      </c>
    </row>
    <row r="33" spans="1:22" customHeight="1" ht="15">
      <c r="A33" s="243"/>
      <c r="B33" s="477"/>
      <c r="C33" s="477"/>
      <c r="D33" s="478"/>
      <c r="E33" s="259"/>
      <c r="F33" s="260"/>
      <c r="G33" s="260"/>
      <c r="H33" s="260"/>
      <c r="I33" s="260"/>
      <c r="J33" s="260"/>
      <c r="K33" s="261"/>
      <c r="L33" s="256">
        <f>SUM(E33:K33)</f>
        <v>0</v>
      </c>
      <c r="M33" s="236"/>
      <c r="N33" s="237"/>
      <c r="O33" s="237"/>
      <c r="P33" s="237"/>
      <c r="Q33" s="237"/>
      <c r="R33" s="237"/>
      <c r="S33" s="271"/>
      <c r="T33" s="256">
        <f>SUM(M33:S33)</f>
        <v>0</v>
      </c>
      <c r="U33" s="265">
        <f>SUM(T33,L33)</f>
        <v>0</v>
      </c>
      <c r="V33" s="266" t="b">
        <f>IF(T33&gt;0,T33/U33,)</f>
        <v>0</v>
      </c>
    </row>
    <row r="34" spans="1:22" customHeight="1" ht="15">
      <c r="A34" s="244" t="s">
        <v>265</v>
      </c>
      <c r="B34" s="245"/>
      <c r="C34" s="245"/>
      <c r="D34" s="245"/>
      <c r="E34" s="246">
        <f>SUM(E32:E33)</f>
        <v>1</v>
      </c>
      <c r="F34" s="246">
        <f>SUM(F32:F33)</f>
        <v>1</v>
      </c>
      <c r="G34" s="246">
        <f>SUM(G32:G33)</f>
        <v>0</v>
      </c>
      <c r="H34" s="246">
        <f>SUM(H32:H33)</f>
        <v>0</v>
      </c>
      <c r="I34" s="246">
        <f>SUM(I32:I33)</f>
        <v>0</v>
      </c>
      <c r="J34" s="246">
        <f>SUM(J32:J33)</f>
        <v>0</v>
      </c>
      <c r="K34" s="246">
        <f>SUM(K32:K33)</f>
        <v>0</v>
      </c>
      <c r="L34" s="248">
        <f>SUM(E34:K34)</f>
        <v>2</v>
      </c>
      <c r="M34" s="257">
        <f>SUM(M32:M33)</f>
        <v>0</v>
      </c>
      <c r="N34" s="257">
        <f>SUM(N32:N33)</f>
        <v>0</v>
      </c>
      <c r="O34" s="257">
        <f>SUM(O32:O33)</f>
        <v>0</v>
      </c>
      <c r="P34" s="257">
        <f>SUM(P32:P33)</f>
        <v>0</v>
      </c>
      <c r="Q34" s="257">
        <f>SUM(Q32:Q33)</f>
        <v>0</v>
      </c>
      <c r="R34" s="257">
        <f>SUM(R32:R33)</f>
        <v>0</v>
      </c>
      <c r="S34" s="257">
        <f>SUM(S32:S33)</f>
        <v>0</v>
      </c>
      <c r="T34" s="248">
        <f>SUM(M34:S34)</f>
        <v>0</v>
      </c>
      <c r="U34" s="251">
        <f>SUM(T34,L34)</f>
        <v>2</v>
      </c>
      <c r="V34" s="252" t="b">
        <f>IF(T34&gt;0,T34/U34,)</f>
        <v>0</v>
      </c>
    </row>
    <row r="35" spans="1:22" customHeight="1" ht="18">
      <c r="A35" s="410" t="s">
        <v>274</v>
      </c>
      <c r="B35" s="411"/>
      <c r="C35" s="411"/>
      <c r="D35" s="411"/>
      <c r="E35" s="411"/>
      <c r="F35" s="411"/>
      <c r="G35" s="411"/>
      <c r="H35" s="411"/>
      <c r="I35" s="411"/>
      <c r="J35" s="411"/>
      <c r="K35" s="411"/>
      <c r="L35" s="411"/>
      <c r="M35" s="411"/>
      <c r="N35" s="411"/>
      <c r="O35" s="411"/>
      <c r="P35" s="411"/>
      <c r="Q35" s="411"/>
      <c r="R35" s="411"/>
      <c r="S35" s="411"/>
      <c r="T35" s="411"/>
      <c r="U35" s="411"/>
      <c r="V35" s="412"/>
    </row>
    <row r="36" spans="1:22">
      <c r="A36" s="225" t="s">
        <v>191</v>
      </c>
      <c r="B36" s="475" t="s">
        <v>192</v>
      </c>
      <c r="C36" s="475"/>
      <c r="D36" s="476"/>
      <c r="E36" s="274">
        <v>1</v>
      </c>
      <c r="F36" s="269">
        <v>0</v>
      </c>
      <c r="G36" s="269">
        <v>0</v>
      </c>
      <c r="H36" s="269">
        <v>0</v>
      </c>
      <c r="I36" s="269">
        <v>0</v>
      </c>
      <c r="J36" s="269">
        <v>0</v>
      </c>
      <c r="K36" s="268">
        <v>0</v>
      </c>
      <c r="L36" s="229">
        <v>1</v>
      </c>
      <c r="M36" s="275">
        <v>1</v>
      </c>
      <c r="N36" s="276">
        <v>1</v>
      </c>
      <c r="O36" s="276">
        <v>0</v>
      </c>
      <c r="P36" s="276">
        <v>0</v>
      </c>
      <c r="Q36" s="276">
        <v>0</v>
      </c>
      <c r="R36" s="276">
        <v>0</v>
      </c>
      <c r="S36" s="277">
        <v>0</v>
      </c>
      <c r="T36" s="229">
        <v>2</v>
      </c>
      <c r="U36" s="239">
        <v>3</v>
      </c>
      <c r="V36" s="235" t="s">
        <v>264</v>
      </c>
    </row>
    <row r="37" spans="1:22" customHeight="1" ht="15">
      <c r="A37" s="243"/>
      <c r="B37" s="477"/>
      <c r="C37" s="477"/>
      <c r="D37" s="478"/>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42" t="s">
        <v>265</v>
      </c>
      <c r="B38" s="443"/>
      <c r="C38" s="443"/>
      <c r="D38" s="444"/>
      <c r="E38" s="246">
        <f>SUM(E36:E37)</f>
        <v>1</v>
      </c>
      <c r="F38" s="246">
        <f>SUM(F36:F37)</f>
        <v>0</v>
      </c>
      <c r="G38" s="246">
        <f>SUM(G36:G37)</f>
        <v>0</v>
      </c>
      <c r="H38" s="246">
        <f>SUM(H36:H37)</f>
        <v>0</v>
      </c>
      <c r="I38" s="246">
        <f>SUM(I36:I37)</f>
        <v>0</v>
      </c>
      <c r="J38" s="246">
        <f>SUM(J36:J37)</f>
        <v>0</v>
      </c>
      <c r="K38" s="250">
        <f>SUM(K36:K37)</f>
        <v>0</v>
      </c>
      <c r="L38" s="248">
        <f>SUM(E38:K38)</f>
        <v>1</v>
      </c>
      <c r="M38" s="246">
        <f>SUM(M36:M37)</f>
        <v>1</v>
      </c>
      <c r="N38" s="246">
        <f>SUM(N36:N37)</f>
        <v>1</v>
      </c>
      <c r="O38" s="246">
        <f>SUM(O36:O37)</f>
        <v>0</v>
      </c>
      <c r="P38" s="246">
        <f>SUM(P36:P37)</f>
        <v>0</v>
      </c>
      <c r="Q38" s="246">
        <f>SUM(Q36:Q37)</f>
        <v>0</v>
      </c>
      <c r="R38" s="246">
        <f>SUM(R36:R37)</f>
        <v>0</v>
      </c>
      <c r="S38" s="250">
        <f>SUM(S36:S37)</f>
        <v>0</v>
      </c>
      <c r="T38" s="248">
        <f>SUM(M38:S38)</f>
        <v>2</v>
      </c>
      <c r="U38" s="251">
        <f>SUM(T38,L38)</f>
        <v>3</v>
      </c>
      <c r="V38" s="252">
        <f>IF(T38&gt;0,T38/U38,)</f>
        <v>0.66666666666667</v>
      </c>
    </row>
    <row r="39" spans="1:22" customHeight="1" ht="18">
      <c r="A39" s="410" t="s">
        <v>275</v>
      </c>
      <c r="B39" s="411"/>
      <c r="C39" s="411"/>
      <c r="D39" s="411"/>
      <c r="E39" s="411"/>
      <c r="F39" s="411"/>
      <c r="G39" s="411"/>
      <c r="H39" s="411"/>
      <c r="I39" s="411"/>
      <c r="J39" s="411"/>
      <c r="K39" s="411"/>
      <c r="L39" s="411"/>
      <c r="M39" s="411"/>
      <c r="N39" s="411"/>
      <c r="O39" s="411"/>
      <c r="P39" s="411"/>
      <c r="Q39" s="411"/>
      <c r="R39" s="411"/>
      <c r="S39" s="411"/>
      <c r="T39" s="411"/>
      <c r="U39" s="411"/>
      <c r="V39" s="412"/>
    </row>
    <row r="40" spans="1:22">
      <c r="A40" s="225" t="s">
        <v>179</v>
      </c>
      <c r="B40" s="475" t="s">
        <v>180</v>
      </c>
      <c r="C40" s="475"/>
      <c r="D40" s="476"/>
      <c r="E40" s="274">
        <v>3</v>
      </c>
      <c r="F40" s="269">
        <v>1</v>
      </c>
      <c r="G40" s="269">
        <v>0</v>
      </c>
      <c r="H40" s="269">
        <v>0</v>
      </c>
      <c r="I40" s="269">
        <v>0</v>
      </c>
      <c r="J40" s="269">
        <v>0</v>
      </c>
      <c r="K40" s="268">
        <v>0</v>
      </c>
      <c r="L40" s="229">
        <v>4</v>
      </c>
      <c r="M40" s="275">
        <v>1</v>
      </c>
      <c r="N40" s="276">
        <v>0</v>
      </c>
      <c r="O40" s="276">
        <v>0</v>
      </c>
      <c r="P40" s="276">
        <v>0</v>
      </c>
      <c r="Q40" s="276">
        <v>0</v>
      </c>
      <c r="R40" s="276">
        <v>0</v>
      </c>
      <c r="S40" s="277">
        <v>0</v>
      </c>
      <c r="T40" s="229">
        <v>1</v>
      </c>
      <c r="U40" s="239">
        <v>5</v>
      </c>
      <c r="V40" s="235" t="s">
        <v>276</v>
      </c>
    </row>
    <row r="41" spans="1:22">
      <c r="A41" s="225" t="s">
        <v>277</v>
      </c>
      <c r="B41" s="475" t="s">
        <v>278</v>
      </c>
      <c r="C41" s="475"/>
      <c r="D41" s="476"/>
      <c r="E41" s="274">
        <v>1</v>
      </c>
      <c r="F41" s="269">
        <v>0</v>
      </c>
      <c r="G41" s="269">
        <v>0</v>
      </c>
      <c r="H41" s="269">
        <v>0</v>
      </c>
      <c r="I41" s="269">
        <v>0</v>
      </c>
      <c r="J41" s="269">
        <v>0</v>
      </c>
      <c r="K41" s="268">
        <v>0</v>
      </c>
      <c r="L41" s="229">
        <v>1</v>
      </c>
      <c r="M41" s="275">
        <v>1</v>
      </c>
      <c r="N41" s="276">
        <v>0</v>
      </c>
      <c r="O41" s="276">
        <v>0</v>
      </c>
      <c r="P41" s="276">
        <v>0</v>
      </c>
      <c r="Q41" s="276">
        <v>0</v>
      </c>
      <c r="R41" s="276">
        <v>0</v>
      </c>
      <c r="S41" s="277">
        <v>0</v>
      </c>
      <c r="T41" s="229">
        <v>1</v>
      </c>
      <c r="U41" s="239">
        <v>2</v>
      </c>
      <c r="V41" s="235" t="s">
        <v>233</v>
      </c>
    </row>
    <row r="42" spans="1:22" customHeight="1" ht="15">
      <c r="A42" s="243"/>
      <c r="B42" s="477"/>
      <c r="C42" s="477"/>
      <c r="D42" s="478"/>
      <c r="E42" s="274"/>
      <c r="F42" s="269"/>
      <c r="G42" s="269"/>
      <c r="H42" s="269"/>
      <c r="I42" s="269"/>
      <c r="J42" s="269"/>
      <c r="K42" s="268"/>
      <c r="L42" s="229">
        <f>SUM(E42:K42)</f>
        <v>0</v>
      </c>
      <c r="M42" s="275"/>
      <c r="N42" s="276"/>
      <c r="O42" s="276"/>
      <c r="P42" s="276"/>
      <c r="Q42" s="276"/>
      <c r="R42" s="276"/>
      <c r="S42" s="277"/>
      <c r="T42" s="229">
        <f>SUM(M42:S42)</f>
        <v>0</v>
      </c>
      <c r="U42" s="239">
        <f>SUM(T42,L42)</f>
        <v>0</v>
      </c>
      <c r="V42" s="235" t="b">
        <f>IF(T42&gt;0,T42/U42,)</f>
        <v>0</v>
      </c>
    </row>
    <row r="43" spans="1:22" customHeight="1" ht="15">
      <c r="A43" s="415" t="s">
        <v>265</v>
      </c>
      <c r="B43" s="416"/>
      <c r="C43" s="416"/>
      <c r="D43" s="417"/>
      <c r="E43" s="246">
        <f>SUM(E40:E42)</f>
        <v>4</v>
      </c>
      <c r="F43" s="246">
        <f>SUM(F40:F42)</f>
        <v>1</v>
      </c>
      <c r="G43" s="246">
        <f>SUM(G40:G42)</f>
        <v>0</v>
      </c>
      <c r="H43" s="246">
        <f>SUM(H40:H42)</f>
        <v>0</v>
      </c>
      <c r="I43" s="246">
        <f>SUM(I40:I42)</f>
        <v>0</v>
      </c>
      <c r="J43" s="246">
        <f>SUM(J40:J42)</f>
        <v>0</v>
      </c>
      <c r="K43" s="250">
        <f>SUM(K40:K42)</f>
        <v>0</v>
      </c>
      <c r="L43" s="248">
        <f>SUM(E43:K43)</f>
        <v>5</v>
      </c>
      <c r="M43" s="249">
        <f>SUM(M40:M42)</f>
        <v>2</v>
      </c>
      <c r="N43" s="246">
        <f>SUM(N40:N42)</f>
        <v>0</v>
      </c>
      <c r="O43" s="246">
        <f>SUM(O40:O42)</f>
        <v>0</v>
      </c>
      <c r="P43" s="246">
        <f>SUM(P40:P42)</f>
        <v>0</v>
      </c>
      <c r="Q43" s="246">
        <f>SUM(Q40:Q42)</f>
        <v>0</v>
      </c>
      <c r="R43" s="246">
        <f>SUM(R40:R42)</f>
        <v>0</v>
      </c>
      <c r="S43" s="250">
        <f>SUM(S40:S42)</f>
        <v>0</v>
      </c>
      <c r="T43" s="248">
        <f>SUM(M43:S43)</f>
        <v>2</v>
      </c>
      <c r="U43" s="251">
        <f>SUM(T43,L43)</f>
        <v>7</v>
      </c>
      <c r="V43" s="252">
        <f>IF(T43&gt;0,T43/U43,)</f>
        <v>0.28571428571429</v>
      </c>
    </row>
    <row r="44" spans="1:22" customHeight="1" ht="18">
      <c r="A44" s="410" t="s">
        <v>279</v>
      </c>
      <c r="B44" s="411"/>
      <c r="C44" s="411"/>
      <c r="D44" s="411"/>
      <c r="E44" s="411"/>
      <c r="F44" s="411"/>
      <c r="G44" s="411"/>
      <c r="H44" s="411"/>
      <c r="I44" s="411"/>
      <c r="J44" s="411"/>
      <c r="K44" s="411"/>
      <c r="L44" s="411"/>
      <c r="M44" s="411"/>
      <c r="N44" s="411"/>
      <c r="O44" s="411"/>
      <c r="P44" s="411"/>
      <c r="Q44" s="411"/>
      <c r="R44" s="411"/>
      <c r="S44" s="411"/>
      <c r="T44" s="411"/>
      <c r="U44" s="411"/>
      <c r="V44" s="412"/>
    </row>
    <row r="45" spans="1:22">
      <c r="A45" s="225" t="s">
        <v>122</v>
      </c>
      <c r="B45" s="475" t="s">
        <v>123</v>
      </c>
      <c r="C45" s="475"/>
      <c r="D45" s="476"/>
      <c r="E45" s="281">
        <v>2</v>
      </c>
      <c r="F45" s="282">
        <v>0</v>
      </c>
      <c r="G45" s="283">
        <v>0</v>
      </c>
      <c r="H45" s="282">
        <v>0</v>
      </c>
      <c r="I45" s="282">
        <v>0</v>
      </c>
      <c r="J45" s="283">
        <v>0</v>
      </c>
      <c r="K45" s="139">
        <v>0</v>
      </c>
      <c r="L45" s="233">
        <v>2</v>
      </c>
      <c r="M45" s="230">
        <v>0</v>
      </c>
      <c r="N45" s="231">
        <v>1</v>
      </c>
      <c r="O45" s="231">
        <v>0</v>
      </c>
      <c r="P45" s="231">
        <v>0</v>
      </c>
      <c r="Q45" s="231">
        <v>0</v>
      </c>
      <c r="R45" s="231">
        <v>0</v>
      </c>
      <c r="S45" s="232">
        <v>0</v>
      </c>
      <c r="T45" s="233">
        <v>1</v>
      </c>
      <c r="U45" s="234">
        <v>3</v>
      </c>
      <c r="V45" s="253" t="s">
        <v>269</v>
      </c>
    </row>
    <row r="46" spans="1:22" customHeight="1" ht="15">
      <c r="A46" s="243"/>
      <c r="B46" s="477"/>
      <c r="C46" s="477"/>
      <c r="D46" s="478"/>
      <c r="E46" s="281"/>
      <c r="F46" s="282"/>
      <c r="G46" s="283"/>
      <c r="H46" s="282"/>
      <c r="I46" s="282"/>
      <c r="J46" s="283"/>
      <c r="K46" s="139"/>
      <c r="L46" s="256">
        <f>SUM(E46:K46)</f>
        <v>0</v>
      </c>
      <c r="M46" s="236"/>
      <c r="N46" s="237"/>
      <c r="O46" s="237"/>
      <c r="P46" s="237"/>
      <c r="Q46" s="237"/>
      <c r="R46" s="237"/>
      <c r="S46" s="238"/>
      <c r="T46" s="256">
        <f>SUM(M46:S46)</f>
        <v>0</v>
      </c>
      <c r="U46" s="265">
        <f>SUM(T46,L46)</f>
        <v>0</v>
      </c>
      <c r="V46" s="266" t="b">
        <f>IF(T46&gt;0,T46/U46,)</f>
        <v>0</v>
      </c>
    </row>
    <row r="47" spans="1:22" customHeight="1" ht="15">
      <c r="A47" s="244" t="s">
        <v>265</v>
      </c>
      <c r="B47" s="245"/>
      <c r="C47" s="245"/>
      <c r="D47" s="245"/>
      <c r="E47" s="246">
        <f>SUM(E45:E46)</f>
        <v>2</v>
      </c>
      <c r="F47" s="246">
        <f>SUM(F45:F46)</f>
        <v>0</v>
      </c>
      <c r="G47" s="246">
        <f>SUM(G45:G46)</f>
        <v>0</v>
      </c>
      <c r="H47" s="246">
        <f>SUM(H45:H46)</f>
        <v>0</v>
      </c>
      <c r="I47" s="246">
        <f>SUM(I45:I46)</f>
        <v>0</v>
      </c>
      <c r="J47" s="246">
        <f>SUM(J45:J46)</f>
        <v>0</v>
      </c>
      <c r="K47" s="246">
        <f>SUM(K45:K46)</f>
        <v>0</v>
      </c>
      <c r="L47" s="248">
        <f>SUM(E47:K47)</f>
        <v>2</v>
      </c>
      <c r="M47" s="322">
        <f>SUM(M45:M46)</f>
        <v>0</v>
      </c>
      <c r="N47" s="322">
        <f>SUM(N45:N46)</f>
        <v>1</v>
      </c>
      <c r="O47" s="322">
        <f>SUM(O45:O46)</f>
        <v>0</v>
      </c>
      <c r="P47" s="322">
        <f>SUM(P45:P46)</f>
        <v>0</v>
      </c>
      <c r="Q47" s="322">
        <f>SUM(Q45:Q46)</f>
        <v>0</v>
      </c>
      <c r="R47" s="322">
        <f>SUM(R45:R46)</f>
        <v>0</v>
      </c>
      <c r="S47" s="322">
        <f>SUM(S45:S46)</f>
        <v>0</v>
      </c>
      <c r="T47" s="248">
        <f>SUM(M47:S47)</f>
        <v>1</v>
      </c>
      <c r="U47" s="251">
        <f>SUM(T47,L47)</f>
        <v>3</v>
      </c>
      <c r="V47" s="252">
        <f>IF(T47&gt;0,T47/U47,)</f>
        <v>0.33333333333333</v>
      </c>
    </row>
    <row r="48" spans="1:22" customHeight="1" ht="18">
      <c r="A48" s="410" t="s">
        <v>280</v>
      </c>
      <c r="B48" s="411"/>
      <c r="C48" s="411"/>
      <c r="D48" s="411"/>
      <c r="E48" s="411"/>
      <c r="F48" s="411"/>
      <c r="G48" s="411"/>
      <c r="H48" s="411"/>
      <c r="I48" s="411"/>
      <c r="J48" s="411"/>
      <c r="K48" s="411"/>
      <c r="L48" s="411"/>
      <c r="M48" s="411"/>
      <c r="N48" s="411"/>
      <c r="O48" s="411"/>
      <c r="P48" s="411"/>
      <c r="Q48" s="411"/>
      <c r="R48" s="411"/>
      <c r="S48" s="411"/>
      <c r="T48" s="411"/>
      <c r="U48" s="411"/>
      <c r="V48" s="412"/>
    </row>
    <row r="49" spans="1:22">
      <c r="A49" s="284" t="s">
        <v>281</v>
      </c>
      <c r="B49" s="440" t="s">
        <v>282</v>
      </c>
      <c r="C49" s="440"/>
      <c r="D49" s="441"/>
      <c r="E49" s="259">
        <v>3</v>
      </c>
      <c r="F49" s="260">
        <v>0</v>
      </c>
      <c r="G49" s="260">
        <v>0</v>
      </c>
      <c r="H49" s="260">
        <v>0</v>
      </c>
      <c r="I49" s="260">
        <v>0</v>
      </c>
      <c r="J49" s="260">
        <v>0</v>
      </c>
      <c r="K49" s="261">
        <v>0</v>
      </c>
      <c r="L49" s="229">
        <v>3</v>
      </c>
      <c r="M49" s="240">
        <v>0</v>
      </c>
      <c r="N49" s="241">
        <v>0</v>
      </c>
      <c r="O49" s="241">
        <v>0</v>
      </c>
      <c r="P49" s="241">
        <v>0</v>
      </c>
      <c r="Q49" s="241">
        <v>0</v>
      </c>
      <c r="R49" s="241">
        <v>0</v>
      </c>
      <c r="S49" s="242">
        <v>0</v>
      </c>
      <c r="T49" s="229">
        <v>0</v>
      </c>
      <c r="U49" s="239">
        <v>3</v>
      </c>
      <c r="V49" s="235" t="s">
        <v>220</v>
      </c>
    </row>
    <row r="50" spans="1:22">
      <c r="A50" s="284" t="s">
        <v>107</v>
      </c>
      <c r="B50" s="440" t="s">
        <v>108</v>
      </c>
      <c r="C50" s="440"/>
      <c r="D50" s="441"/>
      <c r="E50" s="259">
        <v>1</v>
      </c>
      <c r="F50" s="260">
        <v>1</v>
      </c>
      <c r="G50" s="260">
        <v>0</v>
      </c>
      <c r="H50" s="260">
        <v>0</v>
      </c>
      <c r="I50" s="260">
        <v>0</v>
      </c>
      <c r="J50" s="260">
        <v>0</v>
      </c>
      <c r="K50" s="261">
        <v>0</v>
      </c>
      <c r="L50" s="229">
        <v>2</v>
      </c>
      <c r="M50" s="240">
        <v>0</v>
      </c>
      <c r="N50" s="241">
        <v>0</v>
      </c>
      <c r="O50" s="241">
        <v>0</v>
      </c>
      <c r="P50" s="241">
        <v>0</v>
      </c>
      <c r="Q50" s="241">
        <v>0</v>
      </c>
      <c r="R50" s="241">
        <v>0</v>
      </c>
      <c r="S50" s="242">
        <v>0</v>
      </c>
      <c r="T50" s="229">
        <v>0</v>
      </c>
      <c r="U50" s="239">
        <v>2</v>
      </c>
      <c r="V50" s="235" t="s">
        <v>220</v>
      </c>
    </row>
    <row r="51" spans="1:22" customHeight="1" ht="15">
      <c r="A51" s="284"/>
      <c r="B51" s="440"/>
      <c r="C51" s="440"/>
      <c r="D51" s="441"/>
      <c r="E51" s="259"/>
      <c r="F51" s="260"/>
      <c r="G51" s="260"/>
      <c r="H51" s="260"/>
      <c r="I51" s="260"/>
      <c r="J51" s="260"/>
      <c r="K51" s="261"/>
      <c r="L51" s="229">
        <f>SUM(E51:K51)</f>
        <v>0</v>
      </c>
      <c r="M51" s="240"/>
      <c r="N51" s="241"/>
      <c r="O51" s="241"/>
      <c r="P51" s="241"/>
      <c r="Q51" s="241"/>
      <c r="R51" s="241"/>
      <c r="S51" s="242"/>
      <c r="T51" s="229">
        <f>SUM(M51:S51)</f>
        <v>0</v>
      </c>
      <c r="U51" s="239">
        <f>SUM(T51,L51)</f>
        <v>0</v>
      </c>
      <c r="V51" s="235" t="b">
        <f>IF(T51&gt;0,T51/U51,)</f>
        <v>0</v>
      </c>
    </row>
    <row r="52" spans="1:22" customHeight="1" ht="15">
      <c r="A52" s="442" t="s">
        <v>265</v>
      </c>
      <c r="B52" s="443"/>
      <c r="C52" s="443"/>
      <c r="D52" s="444"/>
      <c r="E52" s="246">
        <f>SUM(E49:E51)</f>
        <v>4</v>
      </c>
      <c r="F52" s="246">
        <f>SUM(F49:F51)</f>
        <v>1</v>
      </c>
      <c r="G52" s="246">
        <f>SUM(G49:G51)</f>
        <v>0</v>
      </c>
      <c r="H52" s="246">
        <f>SUM(H49:H51)</f>
        <v>0</v>
      </c>
      <c r="I52" s="246">
        <f>SUM(I49:I51)</f>
        <v>0</v>
      </c>
      <c r="J52" s="246">
        <f>SUM(J49:J51)</f>
        <v>0</v>
      </c>
      <c r="K52" s="246">
        <f>SUM(K49:K51)</f>
        <v>0</v>
      </c>
      <c r="L52" s="248">
        <f>SUM(E52:K52)</f>
        <v>5</v>
      </c>
      <c r="M52" s="246">
        <f>SUM(M49:M51)</f>
        <v>0</v>
      </c>
      <c r="N52" s="246">
        <f>SUM(N49:N51)</f>
        <v>0</v>
      </c>
      <c r="O52" s="246">
        <f>SUM(O49:O51)</f>
        <v>0</v>
      </c>
      <c r="P52" s="246">
        <f>SUM(P49:P51)</f>
        <v>0</v>
      </c>
      <c r="Q52" s="246">
        <f>SUM(Q49:Q51)</f>
        <v>0</v>
      </c>
      <c r="R52" s="246">
        <f>SUM(R49:R51)</f>
        <v>0</v>
      </c>
      <c r="S52" s="246">
        <f>SUM(S49:S51)</f>
        <v>0</v>
      </c>
      <c r="T52" s="248">
        <f>SUM(M52:S52)</f>
        <v>0</v>
      </c>
      <c r="U52" s="251">
        <f>SUM(T52,L52)</f>
        <v>5</v>
      </c>
      <c r="V52" s="252" t="b">
        <f>IF(T52&gt;0,T52/U52,)</f>
        <v>0</v>
      </c>
    </row>
    <row r="53" spans="1:22" customHeight="1" ht="18">
      <c r="A53" s="410" t="s">
        <v>283</v>
      </c>
      <c r="B53" s="411"/>
      <c r="C53" s="411"/>
      <c r="D53" s="411"/>
      <c r="E53" s="411"/>
      <c r="F53" s="411"/>
      <c r="G53" s="411"/>
      <c r="H53" s="411"/>
      <c r="I53" s="411"/>
      <c r="J53" s="411"/>
      <c r="K53" s="411"/>
      <c r="L53" s="411"/>
      <c r="M53" s="411"/>
      <c r="N53" s="411"/>
      <c r="O53" s="411"/>
      <c r="P53" s="411"/>
      <c r="Q53" s="411"/>
      <c r="R53" s="411"/>
      <c r="S53" s="411"/>
      <c r="T53" s="411"/>
      <c r="U53" s="411"/>
      <c r="V53" s="412"/>
    </row>
    <row r="54" spans="1:22">
      <c r="A54" s="284" t="s">
        <v>143</v>
      </c>
      <c r="B54" s="440" t="s">
        <v>144</v>
      </c>
      <c r="C54" s="440"/>
      <c r="D54" s="441"/>
      <c r="E54" s="259">
        <v>0</v>
      </c>
      <c r="F54" s="260">
        <v>0</v>
      </c>
      <c r="G54" s="260">
        <v>0</v>
      </c>
      <c r="H54" s="260">
        <v>0</v>
      </c>
      <c r="I54" s="260">
        <v>0</v>
      </c>
      <c r="J54" s="260">
        <v>0</v>
      </c>
      <c r="K54" s="261">
        <v>0</v>
      </c>
      <c r="L54" s="229">
        <v>0</v>
      </c>
      <c r="M54" s="240">
        <v>0</v>
      </c>
      <c r="N54" s="241">
        <v>1</v>
      </c>
      <c r="O54" s="241">
        <v>0</v>
      </c>
      <c r="P54" s="241">
        <v>0</v>
      </c>
      <c r="Q54" s="241">
        <v>0</v>
      </c>
      <c r="R54" s="241">
        <v>0</v>
      </c>
      <c r="S54" s="242">
        <v>0</v>
      </c>
      <c r="T54" s="229">
        <v>1</v>
      </c>
      <c r="U54" s="239">
        <v>1</v>
      </c>
      <c r="V54" s="235" t="s">
        <v>219</v>
      </c>
    </row>
    <row r="55" spans="1:22" customHeight="1" ht="15">
      <c r="A55" s="284"/>
      <c r="B55" s="440"/>
      <c r="C55" s="440"/>
      <c r="D55" s="441"/>
      <c r="E55" s="259"/>
      <c r="F55" s="260"/>
      <c r="G55" s="260"/>
      <c r="H55" s="260"/>
      <c r="I55" s="260"/>
      <c r="J55" s="260"/>
      <c r="K55" s="261"/>
      <c r="L55" s="229">
        <f>SUM(E55:K55)</f>
        <v>0</v>
      </c>
      <c r="M55" s="240"/>
      <c r="N55" s="241"/>
      <c r="O55" s="241"/>
      <c r="P55" s="241"/>
      <c r="Q55" s="241"/>
      <c r="R55" s="241"/>
      <c r="S55" s="242"/>
      <c r="T55" s="229">
        <f>SUM(M55:S55)</f>
        <v>0</v>
      </c>
      <c r="U55" s="239">
        <f>SUM(T55,L55)</f>
        <v>0</v>
      </c>
      <c r="V55" s="235" t="b">
        <f>IF(T55&gt;0,T55/U55,)</f>
        <v>0</v>
      </c>
    </row>
    <row r="56" spans="1:22" customHeight="1" ht="15">
      <c r="A56" s="244" t="s">
        <v>265</v>
      </c>
      <c r="B56" s="245"/>
      <c r="C56" s="245"/>
      <c r="D56" s="245"/>
      <c r="E56" s="246">
        <f>SUM(E54:E55)</f>
        <v>0</v>
      </c>
      <c r="F56" s="246">
        <f>SUM(F54:F55)</f>
        <v>0</v>
      </c>
      <c r="G56" s="246">
        <f>SUM(G54:G55)</f>
        <v>0</v>
      </c>
      <c r="H56" s="246">
        <f>SUM(H54:H55)</f>
        <v>0</v>
      </c>
      <c r="I56" s="246">
        <f>SUM(I54:I55)</f>
        <v>0</v>
      </c>
      <c r="J56" s="246">
        <f>SUM(J54:J55)</f>
        <v>0</v>
      </c>
      <c r="K56" s="246">
        <f>SUM(K54:K55)</f>
        <v>0</v>
      </c>
      <c r="L56" s="248">
        <f>SUM(E56:K56)</f>
        <v>0</v>
      </c>
      <c r="M56" s="322">
        <f>SUM(M54:M55)</f>
        <v>0</v>
      </c>
      <c r="N56" s="322">
        <f>SUM(N54:N55)</f>
        <v>1</v>
      </c>
      <c r="O56" s="322">
        <f>SUM(O54:O55)</f>
        <v>0</v>
      </c>
      <c r="P56" s="322">
        <f>SUM(P54:P55)</f>
        <v>0</v>
      </c>
      <c r="Q56" s="322">
        <f>SUM(Q54:Q55)</f>
        <v>0</v>
      </c>
      <c r="R56" s="322">
        <f>SUM(R54:R55)</f>
        <v>0</v>
      </c>
      <c r="S56" s="322">
        <f>SUM(S54:S55)</f>
        <v>0</v>
      </c>
      <c r="T56" s="248">
        <f>SUM(M56:S56)</f>
        <v>1</v>
      </c>
      <c r="U56" s="251">
        <f>SUM(T56,L56)</f>
        <v>1</v>
      </c>
      <c r="V56" s="252">
        <f>IF(T56&gt;0,T56/U56,)</f>
        <v>1</v>
      </c>
    </row>
    <row r="57" spans="1:22" customHeight="1" ht="18">
      <c r="A57" s="410" t="s">
        <v>284</v>
      </c>
      <c r="B57" s="411"/>
      <c r="C57" s="411"/>
      <c r="D57" s="411"/>
      <c r="E57" s="411"/>
      <c r="F57" s="411"/>
      <c r="G57" s="411"/>
      <c r="H57" s="411"/>
      <c r="I57" s="411"/>
      <c r="J57" s="411"/>
      <c r="K57" s="411"/>
      <c r="L57" s="411"/>
      <c r="M57" s="411"/>
      <c r="N57" s="411"/>
      <c r="O57" s="411"/>
      <c r="P57" s="411"/>
      <c r="Q57" s="411"/>
      <c r="R57" s="411"/>
      <c r="S57" s="411"/>
      <c r="T57" s="411"/>
      <c r="U57" s="411"/>
      <c r="V57" s="412"/>
    </row>
    <row r="58" spans="1:22">
      <c r="A58" s="284" t="s">
        <v>172</v>
      </c>
      <c r="B58" s="440" t="s">
        <v>173</v>
      </c>
      <c r="C58" s="440"/>
      <c r="D58" s="441"/>
      <c r="E58" s="259">
        <v>0</v>
      </c>
      <c r="F58" s="260">
        <v>1</v>
      </c>
      <c r="G58" s="260">
        <v>0</v>
      </c>
      <c r="H58" s="260">
        <v>0</v>
      </c>
      <c r="I58" s="260">
        <v>0</v>
      </c>
      <c r="J58" s="260">
        <v>0</v>
      </c>
      <c r="K58" s="261">
        <v>0</v>
      </c>
      <c r="L58" s="229">
        <v>1</v>
      </c>
      <c r="M58" s="240">
        <v>0</v>
      </c>
      <c r="N58" s="241">
        <v>0</v>
      </c>
      <c r="O58" s="241">
        <v>0</v>
      </c>
      <c r="P58" s="241">
        <v>0</v>
      </c>
      <c r="Q58" s="241">
        <v>0</v>
      </c>
      <c r="R58" s="241">
        <v>0</v>
      </c>
      <c r="S58" s="242">
        <v>0</v>
      </c>
      <c r="T58" s="229">
        <v>0</v>
      </c>
      <c r="U58" s="239">
        <v>1</v>
      </c>
      <c r="V58" s="235" t="s">
        <v>220</v>
      </c>
    </row>
    <row r="59" spans="1:22" customHeight="1" ht="15">
      <c r="A59" s="284"/>
      <c r="B59" s="440"/>
      <c r="C59" s="440"/>
      <c r="D59" s="441"/>
      <c r="E59" s="259"/>
      <c r="F59" s="260"/>
      <c r="G59" s="260"/>
      <c r="H59" s="260"/>
      <c r="I59" s="260"/>
      <c r="J59" s="260"/>
      <c r="K59" s="261"/>
      <c r="L59" s="229">
        <f>SUM(E59:K59)</f>
        <v>0</v>
      </c>
      <c r="M59" s="240"/>
      <c r="N59" s="241"/>
      <c r="O59" s="241"/>
      <c r="P59" s="241"/>
      <c r="Q59" s="241"/>
      <c r="R59" s="241"/>
      <c r="S59" s="242"/>
      <c r="T59" s="229">
        <f>SUM(M59:S59)</f>
        <v>0</v>
      </c>
      <c r="U59" s="239">
        <f>SUM(T59,L59)</f>
        <v>0</v>
      </c>
      <c r="V59" s="235" t="b">
        <f>IF(T59&gt;0,T59/U59,)</f>
        <v>0</v>
      </c>
    </row>
    <row r="60" spans="1:22" customHeight="1" ht="15">
      <c r="A60" s="244" t="s">
        <v>265</v>
      </c>
      <c r="B60" s="245"/>
      <c r="C60" s="245"/>
      <c r="D60" s="245"/>
      <c r="E60" s="246">
        <f>SUM(E58:E59)</f>
        <v>0</v>
      </c>
      <c r="F60" s="246">
        <f>SUM(F58:F59)</f>
        <v>1</v>
      </c>
      <c r="G60" s="246">
        <f>SUM(G58:G59)</f>
        <v>0</v>
      </c>
      <c r="H60" s="246">
        <f>SUM(H58:H59)</f>
        <v>0</v>
      </c>
      <c r="I60" s="246">
        <f>SUM(I58:I59)</f>
        <v>0</v>
      </c>
      <c r="J60" s="246">
        <f>SUM(J58:J59)</f>
        <v>0</v>
      </c>
      <c r="K60" s="246">
        <f>SUM(K58:K59)</f>
        <v>0</v>
      </c>
      <c r="L60" s="248">
        <f>SUM(E60:K60)</f>
        <v>1</v>
      </c>
      <c r="M60" s="322">
        <f>SUM(M58:M59)</f>
        <v>0</v>
      </c>
      <c r="N60" s="322">
        <f>SUM(N58:N59)</f>
        <v>0</v>
      </c>
      <c r="O60" s="322">
        <f>SUM(O58:O59)</f>
        <v>0</v>
      </c>
      <c r="P60" s="322">
        <f>SUM(P58:P59)</f>
        <v>0</v>
      </c>
      <c r="Q60" s="322">
        <f>SUM(Q58:Q59)</f>
        <v>0</v>
      </c>
      <c r="R60" s="322">
        <f>SUM(R58:R59)</f>
        <v>0</v>
      </c>
      <c r="S60" s="322">
        <f>SUM(S58:S59)</f>
        <v>0</v>
      </c>
      <c r="T60" s="248">
        <f>SUM(M60:S60)</f>
        <v>0</v>
      </c>
      <c r="U60" s="251">
        <f>SUM(T60,L60)</f>
        <v>1</v>
      </c>
      <c r="V60" s="252" t="b">
        <f>IF(T60&gt;0,T60/U60,)</f>
        <v>0</v>
      </c>
    </row>
    <row r="61" spans="1:22" customHeight="1" ht="18">
      <c r="A61" s="410" t="s">
        <v>285</v>
      </c>
      <c r="B61" s="411"/>
      <c r="C61" s="411"/>
      <c r="D61" s="411"/>
      <c r="E61" s="411"/>
      <c r="F61" s="411"/>
      <c r="G61" s="411"/>
      <c r="H61" s="411"/>
      <c r="I61" s="411"/>
      <c r="J61" s="411"/>
      <c r="K61" s="411"/>
      <c r="L61" s="411"/>
      <c r="M61" s="411"/>
      <c r="N61" s="411"/>
      <c r="O61" s="411"/>
      <c r="P61" s="411"/>
      <c r="Q61" s="411"/>
      <c r="R61" s="411"/>
      <c r="S61" s="411"/>
      <c r="T61" s="411"/>
      <c r="U61" s="411"/>
      <c r="V61" s="412"/>
    </row>
    <row r="62" spans="1:22">
      <c r="A62" s="284" t="s">
        <v>146</v>
      </c>
      <c r="B62" s="440" t="s">
        <v>147</v>
      </c>
      <c r="C62" s="440"/>
      <c r="D62" s="441"/>
      <c r="E62" s="259">
        <v>2</v>
      </c>
      <c r="F62" s="260">
        <v>1</v>
      </c>
      <c r="G62" s="260">
        <v>0</v>
      </c>
      <c r="H62" s="260">
        <v>0</v>
      </c>
      <c r="I62" s="260">
        <v>0</v>
      </c>
      <c r="J62" s="260">
        <v>0</v>
      </c>
      <c r="K62" s="261">
        <v>0</v>
      </c>
      <c r="L62" s="229">
        <v>3</v>
      </c>
      <c r="M62" s="240">
        <v>1</v>
      </c>
      <c r="N62" s="241">
        <v>0</v>
      </c>
      <c r="O62" s="241">
        <v>0</v>
      </c>
      <c r="P62" s="241">
        <v>0</v>
      </c>
      <c r="Q62" s="241">
        <v>0</v>
      </c>
      <c r="R62" s="241">
        <v>0</v>
      </c>
      <c r="S62" s="242">
        <v>0</v>
      </c>
      <c r="T62" s="229">
        <v>1</v>
      </c>
      <c r="U62" s="239">
        <v>4</v>
      </c>
      <c r="V62" s="235" t="s">
        <v>237</v>
      </c>
    </row>
    <row r="63" spans="1:22">
      <c r="A63" s="284" t="s">
        <v>155</v>
      </c>
      <c r="B63" s="440" t="s">
        <v>156</v>
      </c>
      <c r="C63" s="440"/>
      <c r="D63" s="441"/>
      <c r="E63" s="259">
        <v>0</v>
      </c>
      <c r="F63" s="260">
        <v>2</v>
      </c>
      <c r="G63" s="260">
        <v>0</v>
      </c>
      <c r="H63" s="260">
        <v>0</v>
      </c>
      <c r="I63" s="260">
        <v>0</v>
      </c>
      <c r="J63" s="260">
        <v>0</v>
      </c>
      <c r="K63" s="261">
        <v>0</v>
      </c>
      <c r="L63" s="229">
        <v>2</v>
      </c>
      <c r="M63" s="240">
        <v>1</v>
      </c>
      <c r="N63" s="241">
        <v>0</v>
      </c>
      <c r="O63" s="241">
        <v>0</v>
      </c>
      <c r="P63" s="241">
        <v>0</v>
      </c>
      <c r="Q63" s="241">
        <v>0</v>
      </c>
      <c r="R63" s="241">
        <v>0</v>
      </c>
      <c r="S63" s="242">
        <v>0</v>
      </c>
      <c r="T63" s="229">
        <v>1</v>
      </c>
      <c r="U63" s="239">
        <v>3</v>
      </c>
      <c r="V63" s="235" t="s">
        <v>269</v>
      </c>
    </row>
    <row r="64" spans="1:22" customHeight="1" ht="15">
      <c r="A64" s="284"/>
      <c r="B64" s="440"/>
      <c r="C64" s="440"/>
      <c r="D64" s="441"/>
      <c r="E64" s="259"/>
      <c r="F64" s="260"/>
      <c r="G64" s="260"/>
      <c r="H64" s="260"/>
      <c r="I64" s="260"/>
      <c r="J64" s="260"/>
      <c r="K64" s="261"/>
      <c r="L64" s="229">
        <f>SUM(E64:K64)</f>
        <v>0</v>
      </c>
      <c r="M64" s="240"/>
      <c r="N64" s="241"/>
      <c r="O64" s="241"/>
      <c r="P64" s="241"/>
      <c r="Q64" s="241"/>
      <c r="R64" s="241"/>
      <c r="S64" s="242"/>
      <c r="T64" s="229">
        <f>SUM(M64:S64)</f>
        <v>0</v>
      </c>
      <c r="U64" s="239">
        <f>SUM(T64,L64)</f>
        <v>0</v>
      </c>
      <c r="V64" s="235" t="b">
        <f>IF(T64&gt;0,T64/U64,)</f>
        <v>0</v>
      </c>
    </row>
    <row r="65" spans="1:22" customHeight="1" ht="15">
      <c r="A65" s="244" t="s">
        <v>265</v>
      </c>
      <c r="B65" s="245"/>
      <c r="C65" s="245"/>
      <c r="D65" s="245"/>
      <c r="E65" s="246">
        <f>SUM(E62:E64)</f>
        <v>2</v>
      </c>
      <c r="F65" s="246">
        <f>SUM(F62:F64)</f>
        <v>3</v>
      </c>
      <c r="G65" s="246">
        <f>SUM(G62:G64)</f>
        <v>0</v>
      </c>
      <c r="H65" s="246">
        <f>SUM(H62:H64)</f>
        <v>0</v>
      </c>
      <c r="I65" s="246">
        <f>SUM(I62:I64)</f>
        <v>0</v>
      </c>
      <c r="J65" s="246">
        <f>SUM(J62:J64)</f>
        <v>0</v>
      </c>
      <c r="K65" s="246">
        <f>SUM(K62:K64)</f>
        <v>0</v>
      </c>
      <c r="L65" s="248">
        <f>SUM(E65:K65)</f>
        <v>5</v>
      </c>
      <c r="M65" s="322">
        <f>SUM(M62:M64)</f>
        <v>2</v>
      </c>
      <c r="N65" s="322">
        <f>SUM(N62:N64)</f>
        <v>0</v>
      </c>
      <c r="O65" s="322">
        <f>SUM(O62:O64)</f>
        <v>0</v>
      </c>
      <c r="P65" s="322">
        <f>SUM(P62:P64)</f>
        <v>0</v>
      </c>
      <c r="Q65" s="322">
        <f>SUM(Q62:Q64)</f>
        <v>0</v>
      </c>
      <c r="R65" s="322">
        <f>SUM(R62:R64)</f>
        <v>0</v>
      </c>
      <c r="S65" s="322">
        <f>SUM(S62:S64)</f>
        <v>0</v>
      </c>
      <c r="T65" s="248">
        <f>SUM(M65:S65)</f>
        <v>2</v>
      </c>
      <c r="U65" s="251">
        <f>SUM(T65,L65)</f>
        <v>7</v>
      </c>
      <c r="V65" s="252">
        <f>IF(T65&gt;0,T65/U65,)</f>
        <v>0.28571428571429</v>
      </c>
    </row>
    <row r="66" spans="1:22" customHeight="1" ht="18">
      <c r="A66" s="410" t="s">
        <v>286</v>
      </c>
      <c r="B66" s="411"/>
      <c r="C66" s="411"/>
      <c r="D66" s="411"/>
      <c r="E66" s="411"/>
      <c r="F66" s="411"/>
      <c r="G66" s="411"/>
      <c r="H66" s="411"/>
      <c r="I66" s="411"/>
      <c r="J66" s="411"/>
      <c r="K66" s="411"/>
      <c r="L66" s="411"/>
      <c r="M66" s="411"/>
      <c r="N66" s="411"/>
      <c r="O66" s="411"/>
      <c r="P66" s="411"/>
      <c r="Q66" s="411"/>
      <c r="R66" s="411"/>
      <c r="S66" s="411"/>
      <c r="T66" s="411"/>
      <c r="U66" s="411"/>
      <c r="V66" s="412"/>
    </row>
    <row r="67" spans="1:22">
      <c r="A67" s="279" t="s">
        <v>200</v>
      </c>
      <c r="B67" s="408" t="s">
        <v>201</v>
      </c>
      <c r="C67" s="408"/>
      <c r="D67" s="409"/>
      <c r="E67" s="259">
        <v>1</v>
      </c>
      <c r="F67" s="260">
        <v>0</v>
      </c>
      <c r="G67" s="260">
        <v>0</v>
      </c>
      <c r="H67" s="260">
        <v>0</v>
      </c>
      <c r="I67" s="260">
        <v>0</v>
      </c>
      <c r="J67" s="260">
        <v>0</v>
      </c>
      <c r="K67" s="261">
        <v>0</v>
      </c>
      <c r="L67" s="229">
        <v>1</v>
      </c>
      <c r="M67" s="240">
        <v>0</v>
      </c>
      <c r="N67" s="241">
        <v>1</v>
      </c>
      <c r="O67" s="241">
        <v>0</v>
      </c>
      <c r="P67" s="241">
        <v>0</v>
      </c>
      <c r="Q67" s="241">
        <v>0</v>
      </c>
      <c r="R67" s="241">
        <v>0</v>
      </c>
      <c r="S67" s="242">
        <v>0</v>
      </c>
      <c r="T67" s="229">
        <v>1</v>
      </c>
      <c r="U67" s="239">
        <v>2</v>
      </c>
      <c r="V67" s="235" t="s">
        <v>233</v>
      </c>
    </row>
    <row r="68" spans="1:22">
      <c r="A68" s="279" t="s">
        <v>195</v>
      </c>
      <c r="B68" s="408" t="s">
        <v>196</v>
      </c>
      <c r="C68" s="408"/>
      <c r="D68" s="409"/>
      <c r="E68" s="259">
        <v>1</v>
      </c>
      <c r="F68" s="260">
        <v>0</v>
      </c>
      <c r="G68" s="260">
        <v>0</v>
      </c>
      <c r="H68" s="260">
        <v>0</v>
      </c>
      <c r="I68" s="260">
        <v>0</v>
      </c>
      <c r="J68" s="260">
        <v>0</v>
      </c>
      <c r="K68" s="261">
        <v>0</v>
      </c>
      <c r="L68" s="229">
        <v>1</v>
      </c>
      <c r="M68" s="240">
        <v>0</v>
      </c>
      <c r="N68" s="241">
        <v>1</v>
      </c>
      <c r="O68" s="241">
        <v>0</v>
      </c>
      <c r="P68" s="241">
        <v>0</v>
      </c>
      <c r="Q68" s="241">
        <v>0</v>
      </c>
      <c r="R68" s="241">
        <v>0</v>
      </c>
      <c r="S68" s="242">
        <v>0</v>
      </c>
      <c r="T68" s="229">
        <v>1</v>
      </c>
      <c r="U68" s="239">
        <v>2</v>
      </c>
      <c r="V68" s="235" t="s">
        <v>233</v>
      </c>
    </row>
    <row r="69" spans="1:22" customHeight="1" ht="15">
      <c r="A69" s="279"/>
      <c r="B69" s="408"/>
      <c r="C69" s="408"/>
      <c r="D69" s="409"/>
      <c r="E69" s="259"/>
      <c r="F69" s="260"/>
      <c r="G69" s="260"/>
      <c r="H69" s="260"/>
      <c r="I69" s="260"/>
      <c r="J69" s="260"/>
      <c r="K69" s="261"/>
      <c r="L69" s="229">
        <f>SUM(E69:K69)</f>
        <v>0</v>
      </c>
      <c r="M69" s="240"/>
      <c r="N69" s="241"/>
      <c r="O69" s="241"/>
      <c r="P69" s="241"/>
      <c r="Q69" s="241"/>
      <c r="R69" s="241"/>
      <c r="S69" s="242"/>
      <c r="T69" s="229">
        <f>SUM(M69:S69)</f>
        <v>0</v>
      </c>
      <c r="U69" s="239">
        <f>SUM(T69,L69)</f>
        <v>0</v>
      </c>
      <c r="V69" s="235" t="b">
        <f>IF(T69&gt;0,T69/U69,)</f>
        <v>0</v>
      </c>
    </row>
    <row r="70" spans="1:22" customHeight="1" ht="15">
      <c r="A70" s="244" t="s">
        <v>265</v>
      </c>
      <c r="B70" s="245"/>
      <c r="C70" s="245"/>
      <c r="D70" s="245"/>
      <c r="E70" s="246">
        <f>SUM(E67:E69)</f>
        <v>2</v>
      </c>
      <c r="F70" s="246">
        <f>SUM(F67:F69)</f>
        <v>0</v>
      </c>
      <c r="G70" s="246">
        <f>SUM(G67:G69)</f>
        <v>0</v>
      </c>
      <c r="H70" s="246">
        <f>SUM(H67:H69)</f>
        <v>0</v>
      </c>
      <c r="I70" s="246">
        <f>SUM(I67:I69)</f>
        <v>0</v>
      </c>
      <c r="J70" s="246">
        <f>SUM(J67:J69)</f>
        <v>0</v>
      </c>
      <c r="K70" s="246">
        <f>SUM(K67:K69)</f>
        <v>0</v>
      </c>
      <c r="L70" s="248">
        <f>SUM(E70:K70)</f>
        <v>2</v>
      </c>
      <c r="M70" s="246">
        <f>SUM(M67:M69)</f>
        <v>0</v>
      </c>
      <c r="N70" s="246">
        <f>SUM(N67:N69)</f>
        <v>2</v>
      </c>
      <c r="O70" s="246">
        <f>SUM(O67:O69)</f>
        <v>0</v>
      </c>
      <c r="P70" s="246">
        <f>SUM(P67:P69)</f>
        <v>0</v>
      </c>
      <c r="Q70" s="246">
        <f>SUM(Q67:Q69)</f>
        <v>0</v>
      </c>
      <c r="R70" s="246">
        <f>SUM(R67:R69)</f>
        <v>0</v>
      </c>
      <c r="S70" s="246">
        <f>SUM(S67:S69)</f>
        <v>0</v>
      </c>
      <c r="T70" s="248">
        <f>SUM(M70:S70)</f>
        <v>2</v>
      </c>
      <c r="U70" s="251">
        <f>SUM(T70,L70)</f>
        <v>4</v>
      </c>
      <c r="V70" s="252">
        <f>IF(T70&gt;0,T70/U70,)</f>
        <v>0.5</v>
      </c>
    </row>
    <row r="71" spans="1:22" customHeight="1" ht="18">
      <c r="A71" s="410" t="s">
        <v>287</v>
      </c>
      <c r="B71" s="411"/>
      <c r="C71" s="411"/>
      <c r="D71" s="411"/>
      <c r="E71" s="411"/>
      <c r="F71" s="411"/>
      <c r="G71" s="411"/>
      <c r="H71" s="411"/>
      <c r="I71" s="411"/>
      <c r="J71" s="411"/>
      <c r="K71" s="411"/>
      <c r="L71" s="411"/>
      <c r="M71" s="411"/>
      <c r="N71" s="411"/>
      <c r="O71" s="411"/>
      <c r="P71" s="411"/>
      <c r="Q71" s="411"/>
      <c r="R71" s="411"/>
      <c r="S71" s="411"/>
      <c r="T71" s="411"/>
      <c r="U71" s="411"/>
      <c r="V71" s="412"/>
    </row>
    <row r="72" spans="1:22">
      <c r="A72" s="272" t="s">
        <v>288</v>
      </c>
      <c r="B72" s="440" t="s">
        <v>289</v>
      </c>
      <c r="C72" s="440"/>
      <c r="D72" s="441"/>
      <c r="E72" s="259">
        <v>1</v>
      </c>
      <c r="F72" s="260">
        <v>0</v>
      </c>
      <c r="G72" s="260">
        <v>0</v>
      </c>
      <c r="H72" s="260">
        <v>0</v>
      </c>
      <c r="I72" s="260">
        <v>0</v>
      </c>
      <c r="J72" s="260">
        <v>0</v>
      </c>
      <c r="K72" s="261">
        <v>0</v>
      </c>
      <c r="L72" s="256">
        <v>1</v>
      </c>
      <c r="M72" s="240">
        <v>0</v>
      </c>
      <c r="N72" s="241">
        <v>0</v>
      </c>
      <c r="O72" s="241">
        <v>0</v>
      </c>
      <c r="P72" s="241">
        <v>0</v>
      </c>
      <c r="Q72" s="241">
        <v>0</v>
      </c>
      <c r="R72" s="241">
        <v>0</v>
      </c>
      <c r="S72" s="242">
        <v>0</v>
      </c>
      <c r="T72" s="256">
        <v>0</v>
      </c>
      <c r="U72" s="239">
        <v>1</v>
      </c>
      <c r="V72" s="235" t="s">
        <v>220</v>
      </c>
    </row>
    <row r="73" spans="1:22">
      <c r="A73" s="272" t="s">
        <v>290</v>
      </c>
      <c r="B73" s="440" t="s">
        <v>291</v>
      </c>
      <c r="C73" s="440"/>
      <c r="D73" s="441"/>
      <c r="E73" s="259">
        <v>2</v>
      </c>
      <c r="F73" s="260">
        <v>0</v>
      </c>
      <c r="G73" s="260">
        <v>0</v>
      </c>
      <c r="H73" s="260">
        <v>0</v>
      </c>
      <c r="I73" s="260">
        <v>0</v>
      </c>
      <c r="J73" s="260">
        <v>0</v>
      </c>
      <c r="K73" s="261">
        <v>0</v>
      </c>
      <c r="L73" s="256">
        <v>2</v>
      </c>
      <c r="M73" s="240">
        <v>0</v>
      </c>
      <c r="N73" s="241">
        <v>0</v>
      </c>
      <c r="O73" s="241">
        <v>0</v>
      </c>
      <c r="P73" s="241">
        <v>0</v>
      </c>
      <c r="Q73" s="241">
        <v>0</v>
      </c>
      <c r="R73" s="241">
        <v>0</v>
      </c>
      <c r="S73" s="242">
        <v>0</v>
      </c>
      <c r="T73" s="256">
        <v>0</v>
      </c>
      <c r="U73" s="239">
        <v>2</v>
      </c>
      <c r="V73" s="235" t="s">
        <v>220</v>
      </c>
    </row>
    <row r="74" spans="1:22" customHeight="1" ht="15">
      <c r="A74" s="272"/>
      <c r="B74" s="440"/>
      <c r="C74" s="440"/>
      <c r="D74" s="441"/>
      <c r="E74" s="259"/>
      <c r="F74" s="260"/>
      <c r="G74" s="260"/>
      <c r="H74" s="260"/>
      <c r="I74" s="260"/>
      <c r="J74" s="260"/>
      <c r="K74" s="261"/>
      <c r="L74" s="229">
        <f>SUM(E74:K74)</f>
        <v>0</v>
      </c>
      <c r="M74" s="240"/>
      <c r="N74" s="241"/>
      <c r="O74" s="241"/>
      <c r="P74" s="241"/>
      <c r="Q74" s="241"/>
      <c r="R74" s="241"/>
      <c r="S74" s="242"/>
      <c r="T74" s="229">
        <f>SUM(M74:S74)</f>
        <v>0</v>
      </c>
      <c r="U74" s="239">
        <f>SUM(T74,L74)</f>
        <v>0</v>
      </c>
      <c r="V74" s="235" t="b">
        <f>IF(T74&gt;0,T74/U74,)</f>
        <v>0</v>
      </c>
    </row>
    <row r="75" spans="1:22" customHeight="1" ht="15">
      <c r="A75" s="244" t="s">
        <v>265</v>
      </c>
      <c r="B75" s="245"/>
      <c r="C75" s="245"/>
      <c r="D75" s="245"/>
      <c r="E75" s="246">
        <f>SUM(E72:E74)</f>
        <v>3</v>
      </c>
      <c r="F75" s="246">
        <f>SUM(F72:F74)</f>
        <v>0</v>
      </c>
      <c r="G75" s="246">
        <f>SUM(G72:G74)</f>
        <v>0</v>
      </c>
      <c r="H75" s="246">
        <f>SUM(H72:H74)</f>
        <v>0</v>
      </c>
      <c r="I75" s="246">
        <f>SUM(I72:I74)</f>
        <v>0</v>
      </c>
      <c r="J75" s="246">
        <f>SUM(J72:J74)</f>
        <v>0</v>
      </c>
      <c r="K75" s="246">
        <f>SUM(K72:K74)</f>
        <v>0</v>
      </c>
      <c r="L75" s="248">
        <f>SUM(E75:K75)</f>
        <v>3</v>
      </c>
      <c r="M75" s="246">
        <f>SUM(M72:M74)</f>
        <v>0</v>
      </c>
      <c r="N75" s="246">
        <f>SUM(N72:N74)</f>
        <v>0</v>
      </c>
      <c r="O75" s="246">
        <f>SUM(O72:O74)</f>
        <v>0</v>
      </c>
      <c r="P75" s="246">
        <f>SUM(P72:P74)</f>
        <v>0</v>
      </c>
      <c r="Q75" s="246">
        <f>SUM(Q72:Q74)</f>
        <v>0</v>
      </c>
      <c r="R75" s="246">
        <f>SUM(R72:R74)</f>
        <v>0</v>
      </c>
      <c r="S75" s="246">
        <f>SUM(S72:S74)</f>
        <v>0</v>
      </c>
      <c r="T75" s="248">
        <f>SUM(M75:S75)</f>
        <v>0</v>
      </c>
      <c r="U75" s="251">
        <f>SUM(T75,L75)</f>
        <v>3</v>
      </c>
      <c r="V75" s="252" t="b">
        <f>IF(T75&gt;0,T75/U75,)</f>
        <v>0</v>
      </c>
    </row>
    <row r="76" spans="1:22" customHeight="1" ht="18">
      <c r="A76" s="410" t="s">
        <v>292</v>
      </c>
      <c r="B76" s="411"/>
      <c r="C76" s="411"/>
      <c r="D76" s="411"/>
      <c r="E76" s="411"/>
      <c r="F76" s="411"/>
      <c r="G76" s="411"/>
      <c r="H76" s="411"/>
      <c r="I76" s="411"/>
      <c r="J76" s="411"/>
      <c r="K76" s="411"/>
      <c r="L76" s="411"/>
      <c r="M76" s="411"/>
      <c r="N76" s="411"/>
      <c r="O76" s="411"/>
      <c r="P76" s="411"/>
      <c r="Q76" s="411"/>
      <c r="R76" s="411"/>
      <c r="S76" s="411"/>
      <c r="T76" s="411"/>
      <c r="U76" s="411"/>
      <c r="V76" s="412"/>
    </row>
    <row r="77" spans="1:22">
      <c r="A77" s="258" t="s">
        <v>293</v>
      </c>
      <c r="B77" s="408" t="s">
        <v>294</v>
      </c>
      <c r="C77" s="408"/>
      <c r="D77" s="409"/>
      <c r="E77" s="259">
        <v>2</v>
      </c>
      <c r="F77" s="260">
        <v>0</v>
      </c>
      <c r="G77" s="260">
        <v>0</v>
      </c>
      <c r="H77" s="260">
        <v>0</v>
      </c>
      <c r="I77" s="260">
        <v>0</v>
      </c>
      <c r="J77" s="260">
        <v>0</v>
      </c>
      <c r="K77" s="261">
        <v>0</v>
      </c>
      <c r="L77" s="256">
        <v>2</v>
      </c>
      <c r="M77" s="236">
        <v>1</v>
      </c>
      <c r="N77" s="237">
        <v>0</v>
      </c>
      <c r="O77" s="237">
        <v>0</v>
      </c>
      <c r="P77" s="237">
        <v>0</v>
      </c>
      <c r="Q77" s="237">
        <v>0</v>
      </c>
      <c r="R77" s="237">
        <v>0</v>
      </c>
      <c r="S77" s="238">
        <v>0</v>
      </c>
      <c r="T77" s="256">
        <v>1</v>
      </c>
      <c r="U77" s="265">
        <v>3</v>
      </c>
      <c r="V77" s="266" t="s">
        <v>269</v>
      </c>
    </row>
    <row r="78" spans="1:22" customHeight="1" ht="15">
      <c r="A78" s="258"/>
      <c r="B78" s="408"/>
      <c r="C78" s="408"/>
      <c r="D78" s="409"/>
      <c r="E78" s="259"/>
      <c r="F78" s="260"/>
      <c r="G78" s="260"/>
      <c r="H78" s="260"/>
      <c r="I78" s="260"/>
      <c r="J78" s="260"/>
      <c r="K78" s="261"/>
      <c r="L78" s="256">
        <f>SUM(E78:K78)</f>
        <v>0</v>
      </c>
      <c r="M78" s="236"/>
      <c r="N78" s="237"/>
      <c r="O78" s="237"/>
      <c r="P78" s="237"/>
      <c r="Q78" s="237"/>
      <c r="R78" s="237"/>
      <c r="S78" s="238"/>
      <c r="T78" s="286">
        <f>SUM(M78:S78)</f>
        <v>0</v>
      </c>
      <c r="U78" s="265">
        <f>SUM(T78,L78)</f>
        <v>0</v>
      </c>
      <c r="V78" s="266" t="b">
        <f>IF(T78&gt;0,T78/U78,)</f>
        <v>0</v>
      </c>
    </row>
    <row r="79" spans="1:22" customHeight="1" ht="15">
      <c r="A79" s="244" t="s">
        <v>265</v>
      </c>
      <c r="B79" s="245"/>
      <c r="C79" s="245"/>
      <c r="D79" s="245"/>
      <c r="E79" s="246">
        <f>SUM(E77:E78)</f>
        <v>2</v>
      </c>
      <c r="F79" s="246">
        <f>SUM(F77:F78)</f>
        <v>0</v>
      </c>
      <c r="G79" s="246">
        <f>SUM(G77:G78)</f>
        <v>0</v>
      </c>
      <c r="H79" s="246">
        <f>SUM(H77:H78)</f>
        <v>0</v>
      </c>
      <c r="I79" s="246">
        <f>SUM(I77:I78)</f>
        <v>0</v>
      </c>
      <c r="J79" s="246">
        <f>SUM(J77:J78)</f>
        <v>0</v>
      </c>
      <c r="K79" s="246">
        <f>SUM(K77:K78)</f>
        <v>0</v>
      </c>
      <c r="L79" s="248">
        <f>SUM(E79:K79)</f>
        <v>2</v>
      </c>
      <c r="M79" s="246">
        <f>SUM(M77:M78)</f>
        <v>1</v>
      </c>
      <c r="N79" s="246">
        <f>SUM(N77:N78)</f>
        <v>0</v>
      </c>
      <c r="O79" s="246">
        <f>SUM(O77:O78)</f>
        <v>0</v>
      </c>
      <c r="P79" s="246">
        <f>SUM(P77:P78)</f>
        <v>0</v>
      </c>
      <c r="Q79" s="246">
        <f>SUM(Q77:Q78)</f>
        <v>0</v>
      </c>
      <c r="R79" s="246">
        <f>SUM(R77:R78)</f>
        <v>0</v>
      </c>
      <c r="S79" s="246">
        <f>SUM(S77:S78)</f>
        <v>0</v>
      </c>
      <c r="T79" s="248">
        <f>SUM(M79:S79)</f>
        <v>1</v>
      </c>
      <c r="U79" s="251">
        <f>SUM(T79,L79)</f>
        <v>3</v>
      </c>
      <c r="V79" s="252">
        <f>IF(T79&gt;0,T79/U79,)</f>
        <v>0.33333333333333</v>
      </c>
    </row>
    <row r="80" spans="1:22" customHeight="1" ht="18">
      <c r="A80" s="410" t="s">
        <v>295</v>
      </c>
      <c r="B80" s="411"/>
      <c r="C80" s="411"/>
      <c r="D80" s="411"/>
      <c r="E80" s="411"/>
      <c r="F80" s="411"/>
      <c r="G80" s="411"/>
      <c r="H80" s="411"/>
      <c r="I80" s="411"/>
      <c r="J80" s="411"/>
      <c r="K80" s="411"/>
      <c r="L80" s="411"/>
      <c r="M80" s="411"/>
      <c r="N80" s="411"/>
      <c r="O80" s="411"/>
      <c r="P80" s="411"/>
      <c r="Q80" s="411"/>
      <c r="R80" s="411"/>
      <c r="S80" s="411"/>
      <c r="T80" s="411"/>
      <c r="U80" s="411"/>
      <c r="V80" s="412"/>
    </row>
    <row r="81" spans="1:22">
      <c r="A81" s="101" t="s">
        <v>119</v>
      </c>
      <c r="B81" s="408" t="s">
        <v>120</v>
      </c>
      <c r="C81" s="408"/>
      <c r="D81" s="409"/>
      <c r="E81" s="259">
        <v>1</v>
      </c>
      <c r="F81" s="260">
        <v>1</v>
      </c>
      <c r="G81" s="260">
        <v>0</v>
      </c>
      <c r="H81" s="260">
        <v>0</v>
      </c>
      <c r="I81" s="260">
        <v>0</v>
      </c>
      <c r="J81" s="260">
        <v>0</v>
      </c>
      <c r="K81" s="261">
        <v>0</v>
      </c>
      <c r="L81" s="229">
        <v>2</v>
      </c>
      <c r="M81" s="236">
        <v>0</v>
      </c>
      <c r="N81" s="237">
        <v>0</v>
      </c>
      <c r="O81" s="237">
        <v>0</v>
      </c>
      <c r="P81" s="237">
        <v>0</v>
      </c>
      <c r="Q81" s="237">
        <v>0</v>
      </c>
      <c r="R81" s="237">
        <v>0</v>
      </c>
      <c r="S81" s="238">
        <v>0</v>
      </c>
      <c r="T81" s="229">
        <v>0</v>
      </c>
      <c r="U81" s="239">
        <v>2</v>
      </c>
      <c r="V81" s="235" t="s">
        <v>220</v>
      </c>
    </row>
    <row r="82" spans="1:22">
      <c r="A82" s="272"/>
      <c r="B82" s="435"/>
      <c r="C82" s="435"/>
      <c r="D82" s="436"/>
      <c r="E82" s="287"/>
      <c r="F82" s="283"/>
      <c r="G82" s="283"/>
      <c r="H82" s="283"/>
      <c r="I82" s="283"/>
      <c r="J82" s="283"/>
      <c r="K82" s="285"/>
      <c r="L82" s="229">
        <f>SUM(E82:K82)</f>
        <v>0</v>
      </c>
      <c r="M82" s="240"/>
      <c r="N82" s="241"/>
      <c r="O82" s="241"/>
      <c r="P82" s="241"/>
      <c r="Q82" s="241"/>
      <c r="R82" s="241"/>
      <c r="S82" s="242"/>
      <c r="T82" s="229">
        <f>SUM(M82:S82)</f>
        <v>0</v>
      </c>
      <c r="U82" s="239">
        <f>SUM(T82,L82)</f>
        <v>0</v>
      </c>
      <c r="V82" s="235" t="b">
        <f>IF(T82&gt;0,T82/U82,)</f>
        <v>0</v>
      </c>
    </row>
    <row r="83" spans="1:22" customHeight="1" ht="15">
      <c r="A83" s="437" t="s">
        <v>265</v>
      </c>
      <c r="B83" s="438"/>
      <c r="C83" s="438"/>
      <c r="D83" s="439"/>
      <c r="E83" s="246">
        <f>SUM(E81:E82)</f>
        <v>1</v>
      </c>
      <c r="F83" s="246">
        <f>SUM(F81:F82)</f>
        <v>1</v>
      </c>
      <c r="G83" s="246">
        <f>SUM(G81:G82)</f>
        <v>0</v>
      </c>
      <c r="H83" s="246">
        <f>SUM(H81:H82)</f>
        <v>0</v>
      </c>
      <c r="I83" s="246">
        <f>SUM(I81:I82)</f>
        <v>0</v>
      </c>
      <c r="J83" s="246">
        <f>SUM(J81:J82)</f>
        <v>0</v>
      </c>
      <c r="K83" s="246">
        <f>SUM(K81:K82)</f>
        <v>0</v>
      </c>
      <c r="L83" s="248">
        <f>SUM(E83:K83)</f>
        <v>2</v>
      </c>
      <c r="M83" s="246">
        <f>SUM(M81:M82)</f>
        <v>0</v>
      </c>
      <c r="N83" s="246">
        <f>SUM(N81:N82)</f>
        <v>0</v>
      </c>
      <c r="O83" s="246">
        <f>SUM(O81:O82)</f>
        <v>0</v>
      </c>
      <c r="P83" s="246">
        <f>SUM(P81:P82)</f>
        <v>0</v>
      </c>
      <c r="Q83" s="246">
        <f>SUM(Q81:Q82)</f>
        <v>0</v>
      </c>
      <c r="R83" s="246">
        <f>SUM(R81:R82)</f>
        <v>0</v>
      </c>
      <c r="S83" s="246">
        <f>SUM(S81:S82)</f>
        <v>0</v>
      </c>
      <c r="T83" s="248">
        <f>SUM(M83:S83)</f>
        <v>0</v>
      </c>
      <c r="U83" s="251">
        <f>SUM(T83,L83)</f>
        <v>2</v>
      </c>
      <c r="V83" s="252" t="b">
        <f>IF(T83&gt;0,T83/U83,)</f>
        <v>0</v>
      </c>
    </row>
    <row r="84" spans="1:22" customHeight="1" ht="18.5">
      <c r="A84" s="288" t="s">
        <v>296</v>
      </c>
      <c r="B84" s="289"/>
      <c r="C84" s="289"/>
      <c r="D84" s="290"/>
      <c r="E84" s="291">
        <f>SUM(E83,E79,E75,E70,E65,E60,E52,E56,E43,E47,E38,E34,E30,E25,E20)</f>
        <v>34</v>
      </c>
      <c r="F84" s="291">
        <f>SUM(F20,F25,F30,F34,F38,F43,F47,F52,F56,F60,F65,F70,F75,F79,F83)</f>
        <v>12</v>
      </c>
      <c r="G84" s="291">
        <f>SUM(G20,G25,G30,G34,G38,G43,G47,G52,G56,G60,G65,G70,G75,G79,G83)</f>
        <v>0</v>
      </c>
      <c r="H84" s="291">
        <f>SUM(H20,H25,H30,H34,H38,H43,H47,H52,H56,H60,H65,H70,H75,H79,H83)</f>
        <v>0</v>
      </c>
      <c r="I84" s="291">
        <f>SUM(I20,I25,I30,I34,I38,I43,I47,I52,I56,I60,I65,I70,I75,I79,I83)</f>
        <v>0</v>
      </c>
      <c r="J84" s="291">
        <f>SUM(J20,J25,J30,J34,J38,J43,J47,J52,J56,J60,J65,J70,J75,J79,J83)</f>
        <v>0</v>
      </c>
      <c r="K84" s="291">
        <f>SUM(K20,K25,K30,K34,K38,K43,K47,K52,K56,K60,K65,K70,K75,K79,K83)</f>
        <v>0</v>
      </c>
      <c r="L84" s="248">
        <f>SUM(L20,L25,L30,L34,L38,L43,L47,L52,L56,L60,L65,L70,L75,L79,L83)</f>
        <v>46</v>
      </c>
      <c r="M84" s="291">
        <f>SUM(M83,M79,M75,M70,M65,M60,M56,M52,M47,M43,M38,M34,M30,M25,M20)</f>
        <v>8</v>
      </c>
      <c r="N84" s="291">
        <f>SUM(N83,N79,N75,N70,N65,N60,N56,N52,N47,N43,N38,N34,N30,N25,N20)</f>
        <v>8</v>
      </c>
      <c r="O84" s="291">
        <f>SUM(O83,O79,O75,O70,O65,O60,O56,O52,O47,O43,O38,O34,O30,O25,O20)</f>
        <v>0</v>
      </c>
      <c r="P84" s="291">
        <f>SUM(P83,P79,P75,P70,P65,P60,P56,P52,P47,P43,P38,P34,P30,P25,P20)</f>
        <v>0</v>
      </c>
      <c r="Q84" s="291">
        <f>SUM(Q83,Q79,Q75,Q70,Q65,Q60,Q56,Q52,Q47,Q43,Q38,Q34,Q30,Q25,Q20)</f>
        <v>0</v>
      </c>
      <c r="R84" s="291">
        <f>SUM(R83,R79,R75,R70,R65,R60,R56,R52,R47,R43,R38,R34,R30,R25,R20)</f>
        <v>0</v>
      </c>
      <c r="S84" s="291">
        <f>SUM(S83,S79,S75,S70,S65,S60,S56,S52,S47,S43,S38,S34,S30,S25,S20)</f>
        <v>0</v>
      </c>
      <c r="T84" s="248">
        <f>SUM(M84:S84)</f>
        <v>16</v>
      </c>
      <c r="U84" s="251">
        <f>SUM(T84,L84)</f>
        <v>62</v>
      </c>
      <c r="V84" s="252">
        <f>IF(T84&gt;0,T84/U84,)</f>
        <v>0.25806451612903</v>
      </c>
    </row>
    <row r="85" spans="1:22">
      <c r="A85" s="210"/>
      <c r="B85" s="210"/>
      <c r="C85" s="210"/>
      <c r="D85" s="210"/>
      <c r="E85" s="210"/>
      <c r="F85" s="210"/>
      <c r="G85" s="210"/>
      <c r="H85" s="210"/>
      <c r="I85" s="210"/>
      <c r="J85" s="210"/>
      <c r="K85" s="210"/>
      <c r="L85" s="292"/>
      <c r="M85" s="293"/>
      <c r="N85" s="293"/>
      <c r="O85" s="293"/>
      <c r="P85" s="293"/>
      <c r="Q85" s="293"/>
      <c r="R85" s="293"/>
      <c r="S85" s="293"/>
      <c r="T85" s="292"/>
      <c r="U85" s="294"/>
      <c r="V85" s="295"/>
    </row>
    <row r="86" spans="1:22">
      <c r="A86" s="210"/>
      <c r="B86" s="210"/>
      <c r="C86" s="210"/>
      <c r="D86" s="210"/>
      <c r="E86" s="210"/>
      <c r="F86" s="210"/>
      <c r="G86" s="210"/>
      <c r="H86" s="210"/>
      <c r="I86" s="210"/>
      <c r="J86" s="210"/>
      <c r="K86" s="210"/>
      <c r="L86" s="292"/>
      <c r="M86" s="293"/>
      <c r="N86" s="293"/>
      <c r="O86" s="293"/>
      <c r="P86" s="293"/>
      <c r="Q86" s="293"/>
      <c r="R86" s="293"/>
      <c r="S86" s="293"/>
      <c r="T86" s="292"/>
      <c r="U86" s="294"/>
      <c r="V86" s="295"/>
    </row>
    <row r="87" spans="1:22">
      <c r="A87" s="210"/>
      <c r="B87" s="210"/>
      <c r="C87" s="210"/>
      <c r="D87" s="210"/>
      <c r="E87" s="210"/>
      <c r="F87" s="210"/>
      <c r="G87" s="210"/>
      <c r="H87" s="210"/>
      <c r="I87" s="210"/>
      <c r="J87" s="210"/>
      <c r="K87" s="210"/>
      <c r="L87" s="292"/>
      <c r="M87" s="293"/>
      <c r="N87" s="293"/>
      <c r="O87" s="293"/>
      <c r="P87" s="293"/>
      <c r="Q87" s="293"/>
      <c r="R87" s="293"/>
      <c r="S87" s="293"/>
      <c r="T87" s="292"/>
      <c r="U87" s="294"/>
      <c r="V87" s="295"/>
    </row>
    <row r="88" spans="1:22">
      <c r="A88" s="210"/>
      <c r="B88" s="210"/>
      <c r="C88" s="210"/>
      <c r="D88" s="210"/>
      <c r="E88" s="210"/>
      <c r="F88" s="210"/>
      <c r="G88" s="210"/>
      <c r="H88" s="210"/>
      <c r="I88" s="210"/>
      <c r="J88" s="210"/>
      <c r="K88" s="210"/>
      <c r="L88" s="292"/>
      <c r="M88" s="293"/>
      <c r="N88" s="293"/>
      <c r="O88" s="293"/>
      <c r="P88" s="293"/>
      <c r="Q88" s="293"/>
      <c r="R88" s="293"/>
      <c r="S88" s="293"/>
      <c r="T88" s="292"/>
      <c r="U88" s="294"/>
      <c r="V88" s="295"/>
    </row>
    <row r="89" spans="1:22" customHeight="1" ht="15">
      <c r="A89" s="210"/>
      <c r="B89" s="210"/>
      <c r="C89" s="210"/>
      <c r="D89" s="210"/>
      <c r="E89" s="210"/>
      <c r="F89" s="210"/>
      <c r="G89" s="210"/>
      <c r="H89" s="210"/>
      <c r="I89" s="210"/>
      <c r="J89" s="210"/>
      <c r="K89" s="210"/>
      <c r="L89" s="292"/>
      <c r="M89" s="293"/>
      <c r="N89" s="293"/>
      <c r="O89" s="293"/>
      <c r="P89" s="293"/>
      <c r="Q89" s="293"/>
      <c r="R89" s="293"/>
      <c r="S89" s="293"/>
      <c r="T89" s="292"/>
      <c r="U89" s="294"/>
      <c r="V89" s="295"/>
    </row>
    <row r="90" spans="1:22" customHeight="1" ht="20.5">
      <c r="A90" s="426" t="s">
        <v>297</v>
      </c>
      <c r="B90" s="427"/>
      <c r="C90" s="427"/>
      <c r="D90" s="427"/>
      <c r="E90" s="427"/>
      <c r="F90" s="427"/>
      <c r="G90" s="427"/>
      <c r="H90" s="427"/>
      <c r="I90" s="427"/>
      <c r="J90" s="427"/>
      <c r="K90" s="427"/>
      <c r="L90" s="427"/>
      <c r="M90" s="427"/>
      <c r="N90" s="427"/>
      <c r="O90" s="427"/>
      <c r="P90" s="427"/>
      <c r="Q90" s="427"/>
      <c r="R90" s="427"/>
      <c r="S90" s="427"/>
      <c r="T90" s="427"/>
      <c r="U90" s="427"/>
      <c r="V90" s="428"/>
    </row>
    <row r="91" spans="1:22">
      <c r="A91" s="296"/>
      <c r="B91" s="297"/>
      <c r="C91" s="297"/>
      <c r="D91" s="298"/>
      <c r="E91" s="429" t="s">
        <v>259</v>
      </c>
      <c r="F91" s="430"/>
      <c r="G91" s="430"/>
      <c r="H91" s="430"/>
      <c r="I91" s="430"/>
      <c r="J91" s="430"/>
      <c r="K91" s="431"/>
      <c r="L91" s="299"/>
      <c r="M91" s="432" t="s">
        <v>259</v>
      </c>
      <c r="N91" s="433"/>
      <c r="O91" s="433"/>
      <c r="P91" s="433"/>
      <c r="Q91" s="433"/>
      <c r="R91" s="433"/>
      <c r="S91" s="434"/>
      <c r="T91" s="300"/>
      <c r="U91" s="300"/>
      <c r="V91" s="300"/>
    </row>
    <row r="92" spans="1:22" customHeight="1" ht="15">
      <c r="A92" s="299"/>
      <c r="B92" s="301"/>
      <c r="C92" s="301"/>
      <c r="D92" s="302"/>
      <c r="E92" s="303">
        <v>1</v>
      </c>
      <c r="F92" s="304">
        <v>2</v>
      </c>
      <c r="G92" s="304">
        <v>3</v>
      </c>
      <c r="H92" s="304">
        <v>4</v>
      </c>
      <c r="I92" s="304">
        <v>5</v>
      </c>
      <c r="J92" s="304">
        <v>6</v>
      </c>
      <c r="K92" s="304">
        <v>7</v>
      </c>
      <c r="L92" s="305"/>
      <c r="M92" s="306">
        <v>1</v>
      </c>
      <c r="N92" s="307">
        <v>2</v>
      </c>
      <c r="O92" s="307">
        <v>3</v>
      </c>
      <c r="P92" s="307">
        <v>4</v>
      </c>
      <c r="Q92" s="307">
        <v>5</v>
      </c>
      <c r="R92" s="307">
        <v>6</v>
      </c>
      <c r="S92" s="307">
        <v>7</v>
      </c>
      <c r="T92" s="305"/>
      <c r="U92" s="305"/>
      <c r="V92" s="305"/>
    </row>
    <row r="93" spans="1:22" customHeight="1" ht="15">
      <c r="A93" s="467" t="s">
        <v>260</v>
      </c>
      <c r="B93" s="468"/>
      <c r="C93" s="468"/>
      <c r="D93" s="469"/>
      <c r="E93" s="470" t="s">
        <v>91</v>
      </c>
      <c r="F93" s="471"/>
      <c r="G93" s="471"/>
      <c r="H93" s="471"/>
      <c r="I93" s="471"/>
      <c r="J93" s="471"/>
      <c r="K93" s="472"/>
      <c r="L93" s="216" t="s">
        <v>261</v>
      </c>
      <c r="M93" s="470" t="s">
        <v>93</v>
      </c>
      <c r="N93" s="473"/>
      <c r="O93" s="473"/>
      <c r="P93" s="473"/>
      <c r="Q93" s="473"/>
      <c r="R93" s="473"/>
      <c r="S93" s="474"/>
      <c r="T93" s="216" t="s">
        <v>261</v>
      </c>
      <c r="U93" s="217" t="s">
        <v>262</v>
      </c>
      <c r="V93" s="217" t="s">
        <v>213</v>
      </c>
    </row>
    <row r="94" spans="1:22" customHeight="1" ht="18">
      <c r="A94" s="410" t="s">
        <v>263</v>
      </c>
      <c r="B94" s="411"/>
      <c r="C94" s="411"/>
      <c r="D94" s="411"/>
      <c r="E94" s="411"/>
      <c r="F94" s="411"/>
      <c r="G94" s="411"/>
      <c r="H94" s="411"/>
      <c r="I94" s="411"/>
      <c r="J94" s="411"/>
      <c r="K94" s="411"/>
      <c r="L94" s="411"/>
      <c r="M94" s="411"/>
      <c r="N94" s="411"/>
      <c r="O94" s="411"/>
      <c r="P94" s="411"/>
      <c r="Q94" s="411"/>
      <c r="R94" s="411"/>
      <c r="S94" s="411"/>
      <c r="T94" s="411"/>
      <c r="U94" s="411"/>
      <c r="V94" s="412"/>
    </row>
    <row r="95" spans="1:22">
      <c r="A95" s="225"/>
      <c r="B95" s="459"/>
      <c r="C95" s="459"/>
      <c r="D95" s="460"/>
      <c r="E95" s="226"/>
      <c r="F95" s="227"/>
      <c r="G95" s="227"/>
      <c r="H95" s="227"/>
      <c r="I95" s="227"/>
      <c r="J95" s="227"/>
      <c r="K95" s="228"/>
      <c r="L95" s="229">
        <f>SUM(E95:K95)</f>
        <v>0</v>
      </c>
      <c r="M95" s="230"/>
      <c r="N95" s="231"/>
      <c r="O95" s="231"/>
      <c r="P95" s="231"/>
      <c r="Q95" s="231"/>
      <c r="R95" s="231"/>
      <c r="S95" s="232"/>
      <c r="T95" s="233">
        <f>SUM(M95:S95)</f>
        <v>0</v>
      </c>
      <c r="U95" s="234">
        <f>SUM(T95,L95)</f>
        <v>0</v>
      </c>
      <c r="V95" s="235" t="b">
        <f>IF(T95&gt;0,T95/U95,)</f>
        <v>0</v>
      </c>
    </row>
    <row r="96" spans="1:22" customHeight="1" ht="15">
      <c r="A96" s="316"/>
      <c r="B96" s="457"/>
      <c r="C96" s="457"/>
      <c r="D96" s="458"/>
      <c r="E96" s="317"/>
      <c r="F96" s="318"/>
      <c r="G96" s="318"/>
      <c r="H96" s="318"/>
      <c r="I96" s="318"/>
      <c r="J96" s="318"/>
      <c r="K96" s="319"/>
      <c r="L96" s="311">
        <f>SUM(E96:K96)</f>
        <v>0</v>
      </c>
      <c r="M96" s="262"/>
      <c r="N96" s="263"/>
      <c r="O96" s="263"/>
      <c r="P96" s="263"/>
      <c r="Q96" s="263"/>
      <c r="R96" s="263"/>
      <c r="S96" s="310"/>
      <c r="T96" s="311">
        <f>SUM(M96:S96)</f>
        <v>0</v>
      </c>
      <c r="U96" s="320">
        <f>SUM(T96,L96)</f>
        <v>0</v>
      </c>
      <c r="V96" s="321" t="b">
        <f>IF(T96&gt;0,T96/U96,)</f>
        <v>0</v>
      </c>
    </row>
    <row r="97" spans="1:22" customHeight="1" ht="15">
      <c r="A97" s="244" t="s">
        <v>265</v>
      </c>
      <c r="B97" s="245"/>
      <c r="C97" s="245"/>
      <c r="D97" s="245"/>
      <c r="E97" s="246">
        <f>SUM(E95:E96)</f>
        <v>0</v>
      </c>
      <c r="F97" s="246">
        <f>SUM(F95:F96)</f>
        <v>0</v>
      </c>
      <c r="G97" s="246">
        <f>SUM(G95:G96)</f>
        <v>0</v>
      </c>
      <c r="H97" s="246">
        <f>SUM(H95:H96)</f>
        <v>0</v>
      </c>
      <c r="I97" s="246">
        <f>SUM(I95:I96)</f>
        <v>0</v>
      </c>
      <c r="J97" s="246">
        <f>SUM(J95:J96)</f>
        <v>0</v>
      </c>
      <c r="K97" s="246">
        <f>SUM(K95:K96)</f>
        <v>0</v>
      </c>
      <c r="L97" s="248">
        <f>SUM(E97:K97)</f>
        <v>0</v>
      </c>
      <c r="M97" s="249">
        <f>SUM(M95:M96)</f>
        <v>0</v>
      </c>
      <c r="N97" s="249">
        <f>SUM(N95:N96)</f>
        <v>0</v>
      </c>
      <c r="O97" s="249">
        <f>SUM(O95:O96)</f>
        <v>0</v>
      </c>
      <c r="P97" s="249">
        <f>SUM(P95:P96)</f>
        <v>0</v>
      </c>
      <c r="Q97" s="249">
        <f>SUM(Q95:Q96)</f>
        <v>0</v>
      </c>
      <c r="R97" s="249">
        <f>SUM(R95:R96)</f>
        <v>0</v>
      </c>
      <c r="S97" s="249">
        <f>SUM(S95:S96)</f>
        <v>0</v>
      </c>
      <c r="T97" s="248">
        <f>SUM(M97:S97)</f>
        <v>0</v>
      </c>
      <c r="U97" s="251">
        <f>SUM(T97,L97)</f>
        <v>0</v>
      </c>
      <c r="V97" s="252" t="b">
        <f>IF(T97&gt;0,T97/U97,)</f>
        <v>0</v>
      </c>
    </row>
    <row r="98" spans="1:22" customHeight="1" ht="18">
      <c r="A98" s="410" t="s">
        <v>266</v>
      </c>
      <c r="B98" s="411"/>
      <c r="C98" s="411"/>
      <c r="D98" s="411"/>
      <c r="E98" s="411"/>
      <c r="F98" s="411"/>
      <c r="G98" s="411"/>
      <c r="H98" s="411"/>
      <c r="I98" s="411"/>
      <c r="J98" s="411"/>
      <c r="K98" s="411"/>
      <c r="L98" s="411"/>
      <c r="M98" s="411"/>
      <c r="N98" s="411"/>
      <c r="O98" s="411"/>
      <c r="P98" s="411"/>
      <c r="Q98" s="411"/>
      <c r="R98" s="411"/>
      <c r="S98" s="411"/>
      <c r="T98" s="411"/>
      <c r="U98" s="411"/>
      <c r="V98" s="412"/>
    </row>
    <row r="99" spans="1:22">
      <c r="A99" s="225" t="s">
        <v>103</v>
      </c>
      <c r="B99" s="459" t="s">
        <v>104</v>
      </c>
      <c r="C99" s="459"/>
      <c r="D99" s="460"/>
      <c r="E99" s="227">
        <v>0</v>
      </c>
      <c r="F99" s="227">
        <v>1</v>
      </c>
      <c r="G99" s="227">
        <v>0</v>
      </c>
      <c r="H99" s="227">
        <v>0</v>
      </c>
      <c r="I99" s="227">
        <v>0</v>
      </c>
      <c r="J99" s="227">
        <v>0</v>
      </c>
      <c r="K99" s="228">
        <v>0</v>
      </c>
      <c r="L99" s="229">
        <v>1</v>
      </c>
      <c r="M99" s="236">
        <v>0</v>
      </c>
      <c r="N99" s="237">
        <v>1</v>
      </c>
      <c r="O99" s="237">
        <v>0</v>
      </c>
      <c r="P99" s="237">
        <v>0</v>
      </c>
      <c r="Q99" s="237">
        <v>0</v>
      </c>
      <c r="R99" s="237">
        <v>0</v>
      </c>
      <c r="S99" s="238">
        <v>0</v>
      </c>
      <c r="T99" s="229">
        <v>1</v>
      </c>
      <c r="U99" s="239">
        <v>2</v>
      </c>
      <c r="V99" s="235" t="s">
        <v>233</v>
      </c>
    </row>
    <row r="100" spans="1:22" customHeight="1" ht="15">
      <c r="A100" s="243"/>
      <c r="B100" s="461"/>
      <c r="C100" s="461"/>
      <c r="D100" s="462"/>
      <c r="E100" s="226"/>
      <c r="F100" s="227"/>
      <c r="G100" s="227"/>
      <c r="H100" s="227"/>
      <c r="I100" s="227"/>
      <c r="J100" s="227"/>
      <c r="K100" s="228"/>
      <c r="L100" s="229">
        <f>SUM(E100:K100)</f>
        <v>0</v>
      </c>
      <c r="M100" s="240"/>
      <c r="N100" s="241"/>
      <c r="O100" s="241"/>
      <c r="P100" s="241"/>
      <c r="Q100" s="241"/>
      <c r="R100" s="241"/>
      <c r="S100" s="242"/>
      <c r="T100" s="229">
        <f>SUM(M100:S100)</f>
        <v>0</v>
      </c>
      <c r="U100" s="239">
        <f>SUM(T100,L100)</f>
        <v>0</v>
      </c>
      <c r="V100" s="235" t="b">
        <f>IF(T100&gt;0,T100/U100,)</f>
        <v>0</v>
      </c>
    </row>
    <row r="101" spans="1:22" customHeight="1" ht="15">
      <c r="A101" s="442" t="s">
        <v>265</v>
      </c>
      <c r="B101" s="443"/>
      <c r="C101" s="443"/>
      <c r="D101" s="444"/>
      <c r="E101" s="246">
        <f>SUM(E99:E100)</f>
        <v>0</v>
      </c>
      <c r="F101" s="246">
        <f>SUM(F99:F100)</f>
        <v>1</v>
      </c>
      <c r="G101" s="246">
        <f>SUM(G99:G100)</f>
        <v>0</v>
      </c>
      <c r="H101" s="246">
        <f>SUM(H99:H100)</f>
        <v>0</v>
      </c>
      <c r="I101" s="246">
        <f>SUM(I99:I100)</f>
        <v>0</v>
      </c>
      <c r="J101" s="246">
        <f>SUM(J99:J100)</f>
        <v>0</v>
      </c>
      <c r="K101" s="246">
        <f>SUM(K99:K100)</f>
        <v>0</v>
      </c>
      <c r="L101" s="248">
        <f>SUM(E101:K101)</f>
        <v>1</v>
      </c>
      <c r="M101" s="257">
        <f>SUM(M99:M100)</f>
        <v>0</v>
      </c>
      <c r="N101" s="257">
        <f>SUM(N99:N100)</f>
        <v>1</v>
      </c>
      <c r="O101" s="257">
        <f>SUM(O99:O100)</f>
        <v>0</v>
      </c>
      <c r="P101" s="257">
        <f>SUM(P99:P100)</f>
        <v>0</v>
      </c>
      <c r="Q101" s="257">
        <f>SUM(Q99:Q100)</f>
        <v>0</v>
      </c>
      <c r="R101" s="257">
        <f>SUM(R99:R100)</f>
        <v>0</v>
      </c>
      <c r="S101" s="257">
        <f>SUM(S99:S100)</f>
        <v>0</v>
      </c>
      <c r="T101" s="248">
        <f>SUM(M101:S101)</f>
        <v>1</v>
      </c>
      <c r="U101" s="251">
        <f>SUM(T101,L101)</f>
        <v>2</v>
      </c>
      <c r="V101" s="252">
        <f>IF(T101&gt;0,T101/U101,)</f>
        <v>0.5</v>
      </c>
    </row>
    <row r="102" spans="1:22" customHeight="1" ht="18">
      <c r="A102" s="410" t="s">
        <v>270</v>
      </c>
      <c r="B102" s="411"/>
      <c r="C102" s="411"/>
      <c r="D102" s="411"/>
      <c r="E102" s="411"/>
      <c r="F102" s="411"/>
      <c r="G102" s="411"/>
      <c r="H102" s="411"/>
      <c r="I102" s="411"/>
      <c r="J102" s="411"/>
      <c r="K102" s="411"/>
      <c r="L102" s="411"/>
      <c r="M102" s="411"/>
      <c r="N102" s="411"/>
      <c r="O102" s="411"/>
      <c r="P102" s="411"/>
      <c r="Q102" s="411"/>
      <c r="R102" s="411"/>
      <c r="S102" s="411"/>
      <c r="T102" s="411"/>
      <c r="U102" s="411"/>
      <c r="V102" s="412"/>
    </row>
    <row r="103" spans="1:22">
      <c r="A103" s="254" t="s">
        <v>133</v>
      </c>
      <c r="B103" s="463" t="s">
        <v>134</v>
      </c>
      <c r="C103" s="463"/>
      <c r="D103" s="464"/>
      <c r="E103" s="226">
        <v>1</v>
      </c>
      <c r="F103" s="227">
        <v>1</v>
      </c>
      <c r="G103" s="227">
        <v>0</v>
      </c>
      <c r="H103" s="227">
        <v>0</v>
      </c>
      <c r="I103" s="227">
        <v>0</v>
      </c>
      <c r="J103" s="227">
        <v>0</v>
      </c>
      <c r="K103" s="228">
        <v>0</v>
      </c>
      <c r="L103" s="255">
        <v>2</v>
      </c>
      <c r="M103" s="236">
        <v>0</v>
      </c>
      <c r="N103" s="237">
        <v>0</v>
      </c>
      <c r="O103" s="237">
        <v>0</v>
      </c>
      <c r="P103" s="237">
        <v>0</v>
      </c>
      <c r="Q103" s="237">
        <v>0</v>
      </c>
      <c r="R103" s="237">
        <v>0</v>
      </c>
      <c r="S103" s="238">
        <v>0</v>
      </c>
      <c r="T103" s="229">
        <v>0</v>
      </c>
      <c r="U103" s="239">
        <v>2</v>
      </c>
      <c r="V103" s="235" t="s">
        <v>220</v>
      </c>
    </row>
    <row r="104" spans="1:22" customHeight="1" ht="15">
      <c r="A104" s="243"/>
      <c r="B104" s="465"/>
      <c r="C104" s="465"/>
      <c r="D104" s="466"/>
      <c r="E104" s="226"/>
      <c r="F104" s="227"/>
      <c r="G104" s="227"/>
      <c r="H104" s="227"/>
      <c r="I104" s="227"/>
      <c r="J104" s="227"/>
      <c r="K104" s="228"/>
      <c r="L104" s="256">
        <f>SUM(E104:K104)</f>
        <v>0</v>
      </c>
      <c r="M104" s="240"/>
      <c r="N104" s="241"/>
      <c r="O104" s="241"/>
      <c r="P104" s="241"/>
      <c r="Q104" s="241"/>
      <c r="R104" s="241"/>
      <c r="S104" s="242"/>
      <c r="T104" s="229">
        <f>SUM(M104:S104)</f>
        <v>0</v>
      </c>
      <c r="U104" s="239">
        <f>SUM(T104,L104)</f>
        <v>0</v>
      </c>
      <c r="V104" s="235" t="b">
        <f>IF(T104&gt;0,T104/U104,)</f>
        <v>0</v>
      </c>
    </row>
    <row r="105" spans="1:22" customHeight="1" ht="15">
      <c r="A105" s="442" t="s">
        <v>265</v>
      </c>
      <c r="B105" s="443"/>
      <c r="C105" s="443"/>
      <c r="D105" s="444"/>
      <c r="E105" s="246">
        <f>SUM(E103:E104)</f>
        <v>1</v>
      </c>
      <c r="F105" s="246">
        <f>SUM(F103:F104)</f>
        <v>1</v>
      </c>
      <c r="G105" s="246">
        <f>SUM(G103:G104)</f>
        <v>0</v>
      </c>
      <c r="H105" s="246">
        <f>SUM(H103:H104)</f>
        <v>0</v>
      </c>
      <c r="I105" s="246">
        <f>SUM(I103:I104)</f>
        <v>0</v>
      </c>
      <c r="J105" s="246">
        <f>SUM(J103:J104)</f>
        <v>0</v>
      </c>
      <c r="K105" s="246">
        <f>SUM(K103:K104)</f>
        <v>0</v>
      </c>
      <c r="L105" s="248">
        <f>SUM(E105:K105)</f>
        <v>2</v>
      </c>
      <c r="M105" s="257">
        <f>SUM(M103:M104)</f>
        <v>0</v>
      </c>
      <c r="N105" s="257">
        <f>SUM(N103:N104)</f>
        <v>0</v>
      </c>
      <c r="O105" s="257">
        <f>SUM(O103:O104)</f>
        <v>0</v>
      </c>
      <c r="P105" s="257">
        <f>SUM(P103:P104)</f>
        <v>0</v>
      </c>
      <c r="Q105" s="257">
        <f>SUM(Q103:Q104)</f>
        <v>0</v>
      </c>
      <c r="R105" s="257">
        <f>SUM(R103:R104)</f>
        <v>0</v>
      </c>
      <c r="S105" s="257">
        <f>SUM(S103:S104)</f>
        <v>0</v>
      </c>
      <c r="T105" s="248">
        <f>SUM(M105:S105)</f>
        <v>0</v>
      </c>
      <c r="U105" s="251">
        <f>SUM(T105,L105)</f>
        <v>2</v>
      </c>
      <c r="V105" s="252" t="b">
        <f>IF(T105&gt;0,T105/U105,)</f>
        <v>0</v>
      </c>
    </row>
    <row r="106" spans="1:22" customHeight="1" ht="18">
      <c r="A106" s="410" t="s">
        <v>273</v>
      </c>
      <c r="B106" s="411"/>
      <c r="C106" s="411"/>
      <c r="D106" s="411"/>
      <c r="E106" s="411"/>
      <c r="F106" s="411"/>
      <c r="G106" s="411"/>
      <c r="H106" s="411"/>
      <c r="I106" s="411"/>
      <c r="J106" s="411"/>
      <c r="K106" s="411"/>
      <c r="L106" s="411"/>
      <c r="M106" s="411"/>
      <c r="N106" s="411"/>
      <c r="O106" s="411"/>
      <c r="P106" s="411"/>
      <c r="Q106" s="411"/>
      <c r="R106" s="411"/>
      <c r="S106" s="411"/>
      <c r="T106" s="411"/>
      <c r="U106" s="411"/>
      <c r="V106" s="412"/>
    </row>
    <row r="107" spans="1:22">
      <c r="A107" s="267"/>
      <c r="B107" s="453"/>
      <c r="C107" s="453"/>
      <c r="D107" s="454"/>
      <c r="E107" s="259"/>
      <c r="F107" s="260"/>
      <c r="G107" s="260"/>
      <c r="H107" s="260"/>
      <c r="I107" s="260"/>
      <c r="J107" s="260"/>
      <c r="K107" s="261"/>
      <c r="L107" s="256">
        <f>SUM(E107:K107)</f>
        <v>0</v>
      </c>
      <c r="M107" s="262"/>
      <c r="N107" s="263"/>
      <c r="O107" s="263"/>
      <c r="P107" s="263"/>
      <c r="Q107" s="263"/>
      <c r="R107" s="263"/>
      <c r="S107" s="264"/>
      <c r="T107" s="256">
        <f>SUM(M107:S107)</f>
        <v>0</v>
      </c>
      <c r="U107" s="265">
        <f>SUM(T107,L107)</f>
        <v>0</v>
      </c>
      <c r="V107" s="266" t="b">
        <f>IF(T107&gt;0,T107/U107,)</f>
        <v>0</v>
      </c>
    </row>
    <row r="108" spans="1:22" customHeight="1" ht="15">
      <c r="A108" s="270"/>
      <c r="B108" s="455"/>
      <c r="C108" s="455"/>
      <c r="D108" s="456"/>
      <c r="E108" s="259"/>
      <c r="F108" s="260"/>
      <c r="G108" s="260"/>
      <c r="H108" s="260"/>
      <c r="I108" s="260"/>
      <c r="J108" s="260"/>
      <c r="K108" s="261"/>
      <c r="L108" s="256">
        <f>SUM(E108:K108)</f>
        <v>0</v>
      </c>
      <c r="M108" s="236"/>
      <c r="N108" s="237"/>
      <c r="O108" s="237"/>
      <c r="P108" s="237"/>
      <c r="Q108" s="237"/>
      <c r="R108" s="237"/>
      <c r="S108" s="271"/>
      <c r="T108" s="256">
        <f>SUM(M108:S108)</f>
        <v>0</v>
      </c>
      <c r="U108" s="265">
        <f>SUM(T108,L108)</f>
        <v>0</v>
      </c>
      <c r="V108" s="266" t="b">
        <f>IF(T108&gt;0,T108/U108,)</f>
        <v>0</v>
      </c>
    </row>
    <row r="109" spans="1:22" customHeight="1" ht="15">
      <c r="A109" s="244" t="s">
        <v>265</v>
      </c>
      <c r="B109" s="245"/>
      <c r="C109" s="245"/>
      <c r="D109" s="245"/>
      <c r="E109" s="246">
        <f>SUM(E107:E108)</f>
        <v>0</v>
      </c>
      <c r="F109" s="246">
        <f>SUM(F107:F108)</f>
        <v>0</v>
      </c>
      <c r="G109" s="246">
        <f>SUM(G107:G108)</f>
        <v>0</v>
      </c>
      <c r="H109" s="246">
        <f>SUM(H107:H108)</f>
        <v>0</v>
      </c>
      <c r="I109" s="246">
        <f>SUM(I107:I108)</f>
        <v>0</v>
      </c>
      <c r="J109" s="246">
        <f>SUM(J107:J108)</f>
        <v>0</v>
      </c>
      <c r="K109" s="246">
        <f>SUM(K107:K108)</f>
        <v>0</v>
      </c>
      <c r="L109" s="248">
        <f>SUM(E109:K109)</f>
        <v>0</v>
      </c>
      <c r="M109" s="257">
        <f>SUM(M107:M108)</f>
        <v>0</v>
      </c>
      <c r="N109" s="257">
        <f>SUM(N107:N108)</f>
        <v>0</v>
      </c>
      <c r="O109" s="257">
        <f>SUM(O107:O108)</f>
        <v>0</v>
      </c>
      <c r="P109" s="257">
        <f>SUM(P107:P108)</f>
        <v>0</v>
      </c>
      <c r="Q109" s="257">
        <f>SUM(Q107:Q108)</f>
        <v>0</v>
      </c>
      <c r="R109" s="257">
        <f>SUM(R107:R108)</f>
        <v>0</v>
      </c>
      <c r="S109" s="257">
        <f>SUM(S107:S108)</f>
        <v>0</v>
      </c>
      <c r="T109" s="248">
        <f>SUM(M109:S109)</f>
        <v>0</v>
      </c>
      <c r="U109" s="251">
        <f>SUM(T109,L109)</f>
        <v>0</v>
      </c>
      <c r="V109" s="252" t="b">
        <f>IF(T109&gt;0,T109/U109,)</f>
        <v>0</v>
      </c>
    </row>
    <row r="110" spans="1:22" customHeight="1" ht="18">
      <c r="A110" s="410" t="s">
        <v>274</v>
      </c>
      <c r="B110" s="411"/>
      <c r="C110" s="411"/>
      <c r="D110" s="411"/>
      <c r="E110" s="411"/>
      <c r="F110" s="411"/>
      <c r="G110" s="411"/>
      <c r="H110" s="411"/>
      <c r="I110" s="411"/>
      <c r="J110" s="411"/>
      <c r="K110" s="411"/>
      <c r="L110" s="411"/>
      <c r="M110" s="411"/>
      <c r="N110" s="411"/>
      <c r="O110" s="411"/>
      <c r="P110" s="411"/>
      <c r="Q110" s="411"/>
      <c r="R110" s="411"/>
      <c r="S110" s="411"/>
      <c r="T110" s="411"/>
      <c r="U110" s="411"/>
      <c r="V110" s="412"/>
    </row>
    <row r="111" spans="1:22">
      <c r="A111" s="273" t="s">
        <v>298</v>
      </c>
      <c r="B111" s="440" t="s">
        <v>299</v>
      </c>
      <c r="C111" s="440"/>
      <c r="D111" s="441"/>
      <c r="E111" s="274">
        <v>1</v>
      </c>
      <c r="F111" s="269">
        <v>0</v>
      </c>
      <c r="G111" s="269">
        <v>0</v>
      </c>
      <c r="H111" s="269">
        <v>0</v>
      </c>
      <c r="I111" s="269">
        <v>0</v>
      </c>
      <c r="J111" s="269">
        <v>0</v>
      </c>
      <c r="K111" s="268">
        <v>0</v>
      </c>
      <c r="L111" s="229">
        <v>1</v>
      </c>
      <c r="M111" s="275">
        <v>0</v>
      </c>
      <c r="N111" s="276">
        <v>0</v>
      </c>
      <c r="O111" s="276">
        <v>0</v>
      </c>
      <c r="P111" s="276">
        <v>0</v>
      </c>
      <c r="Q111" s="276">
        <v>0</v>
      </c>
      <c r="R111" s="276">
        <v>0</v>
      </c>
      <c r="S111" s="277">
        <v>0</v>
      </c>
      <c r="T111" s="229">
        <v>0</v>
      </c>
      <c r="U111" s="239">
        <v>1</v>
      </c>
      <c r="V111" s="235" t="s">
        <v>220</v>
      </c>
    </row>
    <row r="112" spans="1:22" customHeight="1" ht="15">
      <c r="A112" s="278"/>
      <c r="B112" s="451"/>
      <c r="C112" s="451"/>
      <c r="D112" s="452"/>
      <c r="E112" s="274"/>
      <c r="F112" s="269"/>
      <c r="G112" s="269"/>
      <c r="H112" s="269"/>
      <c r="I112" s="269"/>
      <c r="J112" s="269"/>
      <c r="K112" s="268"/>
      <c r="L112" s="229">
        <f>SUM(E112:K112)</f>
        <v>0</v>
      </c>
      <c r="M112" s="275"/>
      <c r="N112" s="276"/>
      <c r="O112" s="276"/>
      <c r="P112" s="276"/>
      <c r="Q112" s="276"/>
      <c r="R112" s="276"/>
      <c r="S112" s="277"/>
      <c r="T112" s="229">
        <f>SUM(M112:S112)</f>
        <v>0</v>
      </c>
      <c r="U112" s="239">
        <f>SUM(T112,L112)</f>
        <v>0</v>
      </c>
      <c r="V112" s="235" t="b">
        <f>IF(T112&gt;0,T112/U112,)</f>
        <v>0</v>
      </c>
    </row>
    <row r="113" spans="1:22" customHeight="1" ht="15">
      <c r="A113" s="442" t="s">
        <v>265</v>
      </c>
      <c r="B113" s="443"/>
      <c r="C113" s="443"/>
      <c r="D113" s="444"/>
      <c r="E113" s="246">
        <f>SUM(E111:E112)</f>
        <v>1</v>
      </c>
      <c r="F113" s="246">
        <f>SUM(F111:F112)</f>
        <v>0</v>
      </c>
      <c r="G113" s="246">
        <f>SUM(G111:G112)</f>
        <v>0</v>
      </c>
      <c r="H113" s="246">
        <f>SUM(H111:H112)</f>
        <v>0</v>
      </c>
      <c r="I113" s="246">
        <f>SUM(I111:I112)</f>
        <v>0</v>
      </c>
      <c r="J113" s="246">
        <f>SUM(J111:J112)</f>
        <v>0</v>
      </c>
      <c r="K113" s="246">
        <f>SUM(K111:K112)</f>
        <v>0</v>
      </c>
      <c r="L113" s="248">
        <f>SUM(E113:K113)</f>
        <v>1</v>
      </c>
      <c r="M113" s="246">
        <f>SUM(M111:M112)</f>
        <v>0</v>
      </c>
      <c r="N113" s="246">
        <f>SUM(N111:N112)</f>
        <v>0</v>
      </c>
      <c r="O113" s="246">
        <f>SUM(O111:O112)</f>
        <v>0</v>
      </c>
      <c r="P113" s="246">
        <f>SUM(P111:P112)</f>
        <v>0</v>
      </c>
      <c r="Q113" s="246">
        <f>SUM(Q111:Q112)</f>
        <v>0</v>
      </c>
      <c r="R113" s="246">
        <f>SUM(R111:R112)</f>
        <v>0</v>
      </c>
      <c r="S113" s="250">
        <f>SUM(S111:S112)</f>
        <v>0</v>
      </c>
      <c r="T113" s="248">
        <f>SUM(M113:S113)</f>
        <v>0</v>
      </c>
      <c r="U113" s="251">
        <f>SUM(T113,L113)</f>
        <v>1</v>
      </c>
      <c r="V113" s="252" t="b">
        <f>IF(T113&gt;0,T113/U113,)</f>
        <v>0</v>
      </c>
    </row>
    <row r="114" spans="1:22" customHeight="1" ht="18">
      <c r="A114" s="410" t="s">
        <v>275</v>
      </c>
      <c r="B114" s="411"/>
      <c r="C114" s="411"/>
      <c r="D114" s="411"/>
      <c r="E114" s="411"/>
      <c r="F114" s="411"/>
      <c r="G114" s="411"/>
      <c r="H114" s="411"/>
      <c r="I114" s="411"/>
      <c r="J114" s="411"/>
      <c r="K114" s="411"/>
      <c r="L114" s="411"/>
      <c r="M114" s="411"/>
      <c r="N114" s="411"/>
      <c r="O114" s="411"/>
      <c r="P114" s="411"/>
      <c r="Q114" s="411"/>
      <c r="R114" s="411"/>
      <c r="S114" s="411"/>
      <c r="T114" s="411"/>
      <c r="U114" s="411"/>
      <c r="V114" s="412"/>
    </row>
    <row r="115" spans="1:22">
      <c r="A115" s="280" t="s">
        <v>162</v>
      </c>
      <c r="B115" s="440" t="s">
        <v>163</v>
      </c>
      <c r="C115" s="440"/>
      <c r="D115" s="441"/>
      <c r="E115" s="274">
        <v>3</v>
      </c>
      <c r="F115" s="269">
        <v>2</v>
      </c>
      <c r="G115" s="269">
        <v>0</v>
      </c>
      <c r="H115" s="269">
        <v>0</v>
      </c>
      <c r="I115" s="269">
        <v>0</v>
      </c>
      <c r="J115" s="269">
        <v>0</v>
      </c>
      <c r="K115" s="268">
        <v>0</v>
      </c>
      <c r="L115" s="229">
        <v>5</v>
      </c>
      <c r="M115" s="275">
        <v>1</v>
      </c>
      <c r="N115" s="276">
        <v>0</v>
      </c>
      <c r="O115" s="276">
        <v>0</v>
      </c>
      <c r="P115" s="276">
        <v>0</v>
      </c>
      <c r="Q115" s="276">
        <v>0</v>
      </c>
      <c r="R115" s="276">
        <v>0</v>
      </c>
      <c r="S115" s="277">
        <v>0</v>
      </c>
      <c r="T115" s="229">
        <v>1</v>
      </c>
      <c r="U115" s="239">
        <v>6</v>
      </c>
      <c r="V115" s="235" t="s">
        <v>300</v>
      </c>
    </row>
    <row r="116" spans="1:22" customHeight="1" ht="15">
      <c r="A116" s="280"/>
      <c r="B116" s="449"/>
      <c r="C116" s="449"/>
      <c r="D116" s="450"/>
      <c r="E116" s="274"/>
      <c r="F116" s="269"/>
      <c r="G116" s="269"/>
      <c r="H116" s="269"/>
      <c r="I116" s="269"/>
      <c r="J116" s="269"/>
      <c r="K116" s="268"/>
      <c r="L116" s="229">
        <f>SUM(E116:K116)</f>
        <v>0</v>
      </c>
      <c r="M116" s="275"/>
      <c r="N116" s="276"/>
      <c r="O116" s="276"/>
      <c r="P116" s="276"/>
      <c r="Q116" s="276"/>
      <c r="R116" s="276"/>
      <c r="S116" s="277"/>
      <c r="T116" s="229">
        <f>SUM(M116:S116)</f>
        <v>0</v>
      </c>
      <c r="U116" s="239">
        <f>SUM(T116,L116)</f>
        <v>0</v>
      </c>
      <c r="V116" s="235" t="b">
        <f>IF(T116&gt;0,T116/U116,)</f>
        <v>0</v>
      </c>
    </row>
    <row r="117" spans="1:22" customHeight="1" ht="15">
      <c r="A117" s="415" t="s">
        <v>265</v>
      </c>
      <c r="B117" s="416"/>
      <c r="C117" s="416"/>
      <c r="D117" s="417"/>
      <c r="E117" s="246">
        <f>SUM(E115:E116)</f>
        <v>3</v>
      </c>
      <c r="F117" s="246">
        <f>SUM(F115:F116)</f>
        <v>2</v>
      </c>
      <c r="G117" s="246">
        <f>SUM(G115:G116)</f>
        <v>0</v>
      </c>
      <c r="H117" s="246">
        <f>SUM(H115:H116)</f>
        <v>0</v>
      </c>
      <c r="I117" s="246">
        <f>SUM(I115:I116)</f>
        <v>0</v>
      </c>
      <c r="J117" s="246">
        <f>SUM(J115:J116)</f>
        <v>0</v>
      </c>
      <c r="K117" s="246">
        <f>SUM(K115:K116)</f>
        <v>0</v>
      </c>
      <c r="L117" s="248">
        <f>SUM(E117:K117)</f>
        <v>5</v>
      </c>
      <c r="M117" s="249">
        <f>SUM(M115:M116)</f>
        <v>1</v>
      </c>
      <c r="N117" s="246">
        <f>SUM(N115:N116)</f>
        <v>0</v>
      </c>
      <c r="O117" s="246">
        <f>SUM(O115:O116)</f>
        <v>0</v>
      </c>
      <c r="P117" s="246">
        <f>SUM(P115:P116)</f>
        <v>0</v>
      </c>
      <c r="Q117" s="246">
        <f>SUM(Q115:Q116)</f>
        <v>0</v>
      </c>
      <c r="R117" s="246">
        <f>SUM(R115:R116)</f>
        <v>0</v>
      </c>
      <c r="S117" s="250">
        <f>SUM(S115:S116)</f>
        <v>0</v>
      </c>
      <c r="T117" s="248">
        <f>SUM(M117:S117)</f>
        <v>1</v>
      </c>
      <c r="U117" s="251">
        <f>SUM(T117,L117)</f>
        <v>6</v>
      </c>
      <c r="V117" s="252">
        <f>IF(T117&gt;0,T117/U117,)</f>
        <v>0.16666666666667</v>
      </c>
    </row>
    <row r="118" spans="1:22" customHeight="1" ht="18">
      <c r="A118" s="410" t="s">
        <v>279</v>
      </c>
      <c r="B118" s="411"/>
      <c r="C118" s="411"/>
      <c r="D118" s="411"/>
      <c r="E118" s="411"/>
      <c r="F118" s="411"/>
      <c r="G118" s="411"/>
      <c r="H118" s="411"/>
      <c r="I118" s="411"/>
      <c r="J118" s="411"/>
      <c r="K118" s="411"/>
      <c r="L118" s="411"/>
      <c r="M118" s="411"/>
      <c r="N118" s="411"/>
      <c r="O118" s="411"/>
      <c r="P118" s="411"/>
      <c r="Q118" s="411"/>
      <c r="R118" s="411"/>
      <c r="S118" s="411"/>
      <c r="T118" s="411"/>
      <c r="U118" s="411"/>
      <c r="V118" s="412"/>
    </row>
    <row r="119" spans="1:22">
      <c r="A119" s="267"/>
      <c r="B119" s="447"/>
      <c r="C119" s="447"/>
      <c r="D119" s="448"/>
      <c r="E119" s="281"/>
      <c r="F119" s="282"/>
      <c r="G119" s="283"/>
      <c r="H119" s="282"/>
      <c r="I119" s="282"/>
      <c r="J119" s="283"/>
      <c r="K119" s="139"/>
      <c r="L119" s="233">
        <f>SUM(E119:K119)</f>
        <v>0</v>
      </c>
      <c r="M119" s="230"/>
      <c r="N119" s="231"/>
      <c r="O119" s="231"/>
      <c r="P119" s="231"/>
      <c r="Q119" s="231"/>
      <c r="R119" s="231"/>
      <c r="S119" s="232"/>
      <c r="T119" s="233">
        <f>SUM(M119:S119)</f>
        <v>0</v>
      </c>
      <c r="U119" s="234">
        <f>SUM(T119,L119)</f>
        <v>0</v>
      </c>
      <c r="V119" s="253" t="b">
        <f>IF(T119&gt;0,T119/U119,)</f>
        <v>0</v>
      </c>
    </row>
    <row r="120" spans="1:22" customHeight="1" ht="15">
      <c r="A120" s="267"/>
      <c r="B120" s="445"/>
      <c r="C120" s="445"/>
      <c r="D120" s="446"/>
      <c r="E120" s="281"/>
      <c r="F120" s="282"/>
      <c r="G120" s="283"/>
      <c r="H120" s="282"/>
      <c r="I120" s="282"/>
      <c r="J120" s="283"/>
      <c r="K120" s="139"/>
      <c r="L120" s="256">
        <f>SUM(E120:K120)</f>
        <v>0</v>
      </c>
      <c r="M120" s="236"/>
      <c r="N120" s="237"/>
      <c r="O120" s="237"/>
      <c r="P120" s="237"/>
      <c r="Q120" s="237"/>
      <c r="R120" s="237"/>
      <c r="S120" s="238"/>
      <c r="T120" s="256">
        <f>SUM(M120:S120)</f>
        <v>0</v>
      </c>
      <c r="U120" s="265">
        <f>SUM(T120,L120)</f>
        <v>0</v>
      </c>
      <c r="V120" s="266" t="b">
        <f>IF(T120&gt;0,T120/U120,)</f>
        <v>0</v>
      </c>
    </row>
    <row r="121" spans="1:22" customHeight="1" ht="15">
      <c r="A121" s="244" t="s">
        <v>265</v>
      </c>
      <c r="B121" s="245"/>
      <c r="C121" s="245"/>
      <c r="D121" s="245"/>
      <c r="E121" s="246">
        <f>SUM(E119:E120)</f>
        <v>0</v>
      </c>
      <c r="F121" s="246">
        <f>SUM(F119:F120)</f>
        <v>0</v>
      </c>
      <c r="G121" s="246">
        <f>SUM(G119:G120)</f>
        <v>0</v>
      </c>
      <c r="H121" s="246">
        <f>SUM(H119:H120)</f>
        <v>0</v>
      </c>
      <c r="I121" s="246">
        <f>SUM(I119:I120)</f>
        <v>0</v>
      </c>
      <c r="J121" s="246">
        <f>SUM(J119:J120)</f>
        <v>0</v>
      </c>
      <c r="K121" s="246">
        <f>SUM(K119:K120)</f>
        <v>0</v>
      </c>
      <c r="L121" s="248">
        <f>SUM(E121:K121)</f>
        <v>0</v>
      </c>
      <c r="M121" s="322">
        <f>SUM(M119:M120)</f>
        <v>0</v>
      </c>
      <c r="N121" s="322">
        <f>SUM(N119:N120)</f>
        <v>0</v>
      </c>
      <c r="O121" s="322">
        <f>SUM(O119:O120)</f>
        <v>0</v>
      </c>
      <c r="P121" s="322">
        <f>SUM(P119:P120)</f>
        <v>0</v>
      </c>
      <c r="Q121" s="322">
        <f>SUM(Q119:Q120)</f>
        <v>0</v>
      </c>
      <c r="R121" s="322">
        <f>SUM(R119:R120)</f>
        <v>0</v>
      </c>
      <c r="S121" s="322">
        <f>SUM(S119:S120)</f>
        <v>0</v>
      </c>
      <c r="T121" s="248">
        <f>SUM(M121:S121)</f>
        <v>0</v>
      </c>
      <c r="U121" s="251">
        <f>SUM(T121,L121)</f>
        <v>0</v>
      </c>
      <c r="V121" s="252" t="b">
        <f>IF(T121&gt;0,T121/U121,)</f>
        <v>0</v>
      </c>
    </row>
    <row r="122" spans="1:22" customHeight="1" ht="18">
      <c r="A122" s="410" t="s">
        <v>280</v>
      </c>
      <c r="B122" s="411"/>
      <c r="C122" s="411"/>
      <c r="D122" s="411"/>
      <c r="E122" s="411"/>
      <c r="F122" s="411"/>
      <c r="G122" s="411"/>
      <c r="H122" s="411"/>
      <c r="I122" s="411"/>
      <c r="J122" s="411"/>
      <c r="K122" s="411"/>
      <c r="L122" s="411"/>
      <c r="M122" s="411"/>
      <c r="N122" s="411"/>
      <c r="O122" s="411"/>
      <c r="P122" s="411"/>
      <c r="Q122" s="411"/>
      <c r="R122" s="411"/>
      <c r="S122" s="411"/>
      <c r="T122" s="411"/>
      <c r="U122" s="411"/>
      <c r="V122" s="412"/>
    </row>
    <row r="123" spans="1:22">
      <c r="A123" s="284"/>
      <c r="B123" s="440"/>
      <c r="C123" s="440"/>
      <c r="D123" s="441"/>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84"/>
      <c r="B124" s="440"/>
      <c r="C124" s="440"/>
      <c r="D124" s="441"/>
      <c r="E124" s="259"/>
      <c r="F124" s="260"/>
      <c r="G124" s="260"/>
      <c r="H124" s="260"/>
      <c r="I124" s="260"/>
      <c r="J124" s="260"/>
      <c r="K124" s="261"/>
      <c r="L124" s="229">
        <f>SUM(E124:K124)</f>
        <v>0</v>
      </c>
      <c r="M124" s="240"/>
      <c r="N124" s="241"/>
      <c r="O124" s="241"/>
      <c r="P124" s="241"/>
      <c r="Q124" s="241"/>
      <c r="R124" s="241"/>
      <c r="S124" s="242"/>
      <c r="T124" s="229">
        <f>SUM(M124:S124)</f>
        <v>0</v>
      </c>
      <c r="U124" s="239">
        <f>SUM(T124,L124)</f>
        <v>0</v>
      </c>
      <c r="V124" s="235" t="b">
        <f>IF(T124&gt;0,T124/U124,)</f>
        <v>0</v>
      </c>
    </row>
    <row r="125" spans="1:22" customHeight="1" ht="15">
      <c r="A125" s="442" t="s">
        <v>265</v>
      </c>
      <c r="B125" s="443"/>
      <c r="C125" s="443"/>
      <c r="D125" s="444"/>
      <c r="E125" s="246">
        <f>SUM(E123:E124)</f>
        <v>0</v>
      </c>
      <c r="F125" s="246">
        <f>SUM(F123:F124)</f>
        <v>0</v>
      </c>
      <c r="G125" s="246">
        <f>SUM(G123:G124)</f>
        <v>0</v>
      </c>
      <c r="H125" s="246">
        <f>SUM(H123:H124)</f>
        <v>0</v>
      </c>
      <c r="I125" s="246">
        <f>SUM(I123:I124)</f>
        <v>0</v>
      </c>
      <c r="J125" s="246">
        <f>SUM(J123:J124)</f>
        <v>0</v>
      </c>
      <c r="K125" s="246">
        <f>SUM(K123:K124)</f>
        <v>0</v>
      </c>
      <c r="L125" s="248">
        <f>SUM(E125:K125)</f>
        <v>0</v>
      </c>
      <c r="M125" s="246">
        <f>SUM(M123:M124)</f>
        <v>0</v>
      </c>
      <c r="N125" s="246">
        <f>SUM(N123:N124)</f>
        <v>0</v>
      </c>
      <c r="O125" s="246">
        <f>SUM(O123:O124)</f>
        <v>0</v>
      </c>
      <c r="P125" s="246">
        <f>SUM(P123:P124)</f>
        <v>0</v>
      </c>
      <c r="Q125" s="246">
        <f>SUM(Q123:Q124)</f>
        <v>0</v>
      </c>
      <c r="R125" s="246">
        <f>SUM(R123:R124)</f>
        <v>0</v>
      </c>
      <c r="S125" s="246">
        <f>SUM(S123:S124)</f>
        <v>0</v>
      </c>
      <c r="T125" s="248">
        <f>SUM(M125:S125)</f>
        <v>0</v>
      </c>
      <c r="U125" s="251">
        <f>SUM(T125,L125)</f>
        <v>0</v>
      </c>
      <c r="V125" s="252" t="b">
        <f>IF(T125&gt;0,T125/U125,)</f>
        <v>0</v>
      </c>
    </row>
    <row r="126" spans="1:22" customHeight="1" ht="18">
      <c r="A126" s="410" t="s">
        <v>283</v>
      </c>
      <c r="B126" s="411"/>
      <c r="C126" s="411"/>
      <c r="D126" s="411"/>
      <c r="E126" s="411"/>
      <c r="F126" s="411"/>
      <c r="G126" s="411"/>
      <c r="H126" s="411"/>
      <c r="I126" s="411"/>
      <c r="J126" s="411"/>
      <c r="K126" s="411"/>
      <c r="L126" s="411"/>
      <c r="M126" s="411"/>
      <c r="N126" s="411"/>
      <c r="O126" s="411"/>
      <c r="P126" s="411"/>
      <c r="Q126" s="411"/>
      <c r="R126" s="411"/>
      <c r="S126" s="411"/>
      <c r="T126" s="411"/>
      <c r="U126" s="411"/>
      <c r="V126" s="412"/>
    </row>
    <row r="127" spans="1:22">
      <c r="A127" s="284"/>
      <c r="B127" s="440"/>
      <c r="C127" s="440"/>
      <c r="D127" s="441"/>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84"/>
      <c r="B128" s="440"/>
      <c r="C128" s="440"/>
      <c r="D128" s="441"/>
      <c r="E128" s="259"/>
      <c r="F128" s="260"/>
      <c r="G128" s="260"/>
      <c r="H128" s="260"/>
      <c r="I128" s="260"/>
      <c r="J128" s="260"/>
      <c r="K128" s="261"/>
      <c r="L128" s="229">
        <f>SUM(E128:K128)</f>
        <v>0</v>
      </c>
      <c r="M128" s="240"/>
      <c r="N128" s="241"/>
      <c r="O128" s="241"/>
      <c r="P128" s="241"/>
      <c r="Q128" s="241"/>
      <c r="R128" s="241"/>
      <c r="S128" s="242"/>
      <c r="T128" s="229">
        <f>SUM(M128:S128)</f>
        <v>0</v>
      </c>
      <c r="U128" s="239">
        <f>SUM(T128,L128)</f>
        <v>0</v>
      </c>
      <c r="V128" s="235" t="b">
        <f>IF(T128&gt;0,T128/U128,)</f>
        <v>0</v>
      </c>
    </row>
    <row r="129" spans="1:22" customHeight="1" ht="15">
      <c r="A129" s="244" t="s">
        <v>265</v>
      </c>
      <c r="B129" s="245"/>
      <c r="C129" s="245"/>
      <c r="D129" s="245"/>
      <c r="E129" s="246">
        <f>SUM(E127:E128)</f>
        <v>0</v>
      </c>
      <c r="F129" s="246">
        <f>SUM(F127:F128)</f>
        <v>0</v>
      </c>
      <c r="G129" s="246">
        <f>SUM(G127:G128)</f>
        <v>0</v>
      </c>
      <c r="H129" s="246">
        <f>SUM(H127:H128)</f>
        <v>0</v>
      </c>
      <c r="I129" s="246">
        <f>SUM(I127:I128)</f>
        <v>0</v>
      </c>
      <c r="J129" s="246">
        <f>SUM(J127:J128)</f>
        <v>0</v>
      </c>
      <c r="K129" s="246">
        <f>SUM(K127:K128)</f>
        <v>0</v>
      </c>
      <c r="L129" s="248">
        <f>SUM(E129:K129)</f>
        <v>0</v>
      </c>
      <c r="M129" s="322">
        <f>SUM(M127:M128)</f>
        <v>0</v>
      </c>
      <c r="N129" s="322">
        <f>SUM(N127:N128)</f>
        <v>0</v>
      </c>
      <c r="O129" s="322">
        <f>SUM(O127:O128)</f>
        <v>0</v>
      </c>
      <c r="P129" s="322">
        <f>SUM(P127:P128)</f>
        <v>0</v>
      </c>
      <c r="Q129" s="322">
        <f>SUM(Q127:Q128)</f>
        <v>0</v>
      </c>
      <c r="R129" s="322">
        <f>SUM(R127:R128)</f>
        <v>0</v>
      </c>
      <c r="S129" s="322">
        <f>SUM(S127:S128)</f>
        <v>0</v>
      </c>
      <c r="T129" s="248">
        <f>SUM(M129:S129)</f>
        <v>0</v>
      </c>
      <c r="U129" s="251">
        <f>SUM(T129,L129)</f>
        <v>0</v>
      </c>
      <c r="V129" s="252" t="b">
        <f>IF(T129&gt;0,T129/U129,)</f>
        <v>0</v>
      </c>
    </row>
    <row r="130" spans="1:22" customHeight="1" ht="18">
      <c r="A130" s="410" t="s">
        <v>284</v>
      </c>
      <c r="B130" s="411"/>
      <c r="C130" s="411"/>
      <c r="D130" s="411"/>
      <c r="E130" s="411"/>
      <c r="F130" s="411"/>
      <c r="G130" s="411"/>
      <c r="H130" s="411"/>
      <c r="I130" s="411"/>
      <c r="J130" s="411"/>
      <c r="K130" s="411"/>
      <c r="L130" s="411"/>
      <c r="M130" s="411"/>
      <c r="N130" s="411"/>
      <c r="O130" s="411"/>
      <c r="P130" s="411"/>
      <c r="Q130" s="411"/>
      <c r="R130" s="411"/>
      <c r="S130" s="411"/>
      <c r="T130" s="411"/>
      <c r="U130" s="411"/>
      <c r="V130" s="412"/>
    </row>
    <row r="131" spans="1:22">
      <c r="A131" s="284"/>
      <c r="B131" s="440"/>
      <c r="C131" s="440"/>
      <c r="D131" s="441"/>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84"/>
      <c r="B132" s="440"/>
      <c r="C132" s="440"/>
      <c r="D132" s="441"/>
      <c r="E132" s="259"/>
      <c r="F132" s="260"/>
      <c r="G132" s="260"/>
      <c r="H132" s="260"/>
      <c r="I132" s="260"/>
      <c r="J132" s="260"/>
      <c r="K132" s="261"/>
      <c r="L132" s="229">
        <f>SUM(E132:K132)</f>
        <v>0</v>
      </c>
      <c r="M132" s="240"/>
      <c r="N132" s="241"/>
      <c r="O132" s="241"/>
      <c r="P132" s="241"/>
      <c r="Q132" s="241"/>
      <c r="R132" s="241"/>
      <c r="S132" s="242"/>
      <c r="T132" s="229">
        <f>SUM(M132:S132)</f>
        <v>0</v>
      </c>
      <c r="U132" s="239">
        <f>SUM(T132,L132)</f>
        <v>0</v>
      </c>
      <c r="V132" s="235" t="b">
        <f>IF(T132&gt;0,T132/U132,)</f>
        <v>0</v>
      </c>
    </row>
    <row r="133" spans="1:22" customHeight="1" ht="15">
      <c r="A133" s="244" t="s">
        <v>265</v>
      </c>
      <c r="B133" s="245"/>
      <c r="C133" s="245"/>
      <c r="D133" s="245"/>
      <c r="E133" s="246">
        <f>SUM(E131:E132)</f>
        <v>0</v>
      </c>
      <c r="F133" s="246">
        <f>SUM(F131:F132)</f>
        <v>0</v>
      </c>
      <c r="G133" s="246">
        <f>SUM(G131:G132)</f>
        <v>0</v>
      </c>
      <c r="H133" s="246">
        <f>SUM(H131:H132)</f>
        <v>0</v>
      </c>
      <c r="I133" s="246">
        <f>SUM(I131:I132)</f>
        <v>0</v>
      </c>
      <c r="J133" s="246">
        <f>SUM(J131:J132)</f>
        <v>0</v>
      </c>
      <c r="K133" s="246">
        <f>SUM(K131:K132)</f>
        <v>0</v>
      </c>
      <c r="L133" s="248">
        <f>SUM(E133:K133)</f>
        <v>0</v>
      </c>
      <c r="M133" s="322">
        <f>SUM(M131:M132)</f>
        <v>0</v>
      </c>
      <c r="N133" s="322">
        <f>SUM(N131:N132)</f>
        <v>0</v>
      </c>
      <c r="O133" s="322">
        <f>SUM(O131:O132)</f>
        <v>0</v>
      </c>
      <c r="P133" s="322">
        <f>SUM(P131:P132)</f>
        <v>0</v>
      </c>
      <c r="Q133" s="322">
        <f>SUM(Q131:Q132)</f>
        <v>0</v>
      </c>
      <c r="R133" s="322">
        <f>SUM(R131:R132)</f>
        <v>0</v>
      </c>
      <c r="S133" s="322">
        <f>SUM(S131:S132)</f>
        <v>0</v>
      </c>
      <c r="T133" s="248">
        <f>SUM(M133:S133)</f>
        <v>0</v>
      </c>
      <c r="U133" s="251">
        <f>SUM(T133,L133)</f>
        <v>0</v>
      </c>
      <c r="V133" s="252" t="b">
        <f>IF(T133&gt;0,T133/U133,)</f>
        <v>0</v>
      </c>
    </row>
    <row r="134" spans="1:22" customHeight="1" ht="18">
      <c r="A134" s="410" t="s">
        <v>285</v>
      </c>
      <c r="B134" s="411"/>
      <c r="C134" s="411"/>
      <c r="D134" s="411"/>
      <c r="E134" s="411"/>
      <c r="F134" s="411"/>
      <c r="G134" s="411"/>
      <c r="H134" s="411"/>
      <c r="I134" s="411"/>
      <c r="J134" s="411"/>
      <c r="K134" s="411"/>
      <c r="L134" s="411"/>
      <c r="M134" s="411"/>
      <c r="N134" s="411"/>
      <c r="O134" s="411"/>
      <c r="P134" s="411"/>
      <c r="Q134" s="411"/>
      <c r="R134" s="411"/>
      <c r="S134" s="411"/>
      <c r="T134" s="411"/>
      <c r="U134" s="411"/>
      <c r="V134" s="412"/>
    </row>
    <row r="135" spans="1:22">
      <c r="A135" s="284" t="s">
        <v>125</v>
      </c>
      <c r="B135" s="440" t="s">
        <v>126</v>
      </c>
      <c r="C135" s="440"/>
      <c r="D135" s="441"/>
      <c r="E135" s="259">
        <v>0</v>
      </c>
      <c r="F135" s="260">
        <v>0</v>
      </c>
      <c r="G135" s="260">
        <v>0</v>
      </c>
      <c r="H135" s="260">
        <v>0</v>
      </c>
      <c r="I135" s="260">
        <v>0</v>
      </c>
      <c r="J135" s="260">
        <v>0</v>
      </c>
      <c r="K135" s="261">
        <v>0</v>
      </c>
      <c r="L135" s="229">
        <v>0</v>
      </c>
      <c r="M135" s="240">
        <v>0</v>
      </c>
      <c r="N135" s="241">
        <v>1</v>
      </c>
      <c r="O135" s="241">
        <v>0</v>
      </c>
      <c r="P135" s="241">
        <v>0</v>
      </c>
      <c r="Q135" s="241">
        <v>0</v>
      </c>
      <c r="R135" s="241">
        <v>0</v>
      </c>
      <c r="S135" s="242">
        <v>0</v>
      </c>
      <c r="T135" s="229">
        <v>1</v>
      </c>
      <c r="U135" s="239">
        <v>1</v>
      </c>
      <c r="V135" s="235" t="s">
        <v>219</v>
      </c>
    </row>
    <row r="136" spans="1:22" customHeight="1" ht="15">
      <c r="A136" s="284"/>
      <c r="B136" s="440"/>
      <c r="C136" s="440"/>
      <c r="D136" s="441"/>
      <c r="E136" s="259"/>
      <c r="F136" s="260"/>
      <c r="G136" s="260"/>
      <c r="H136" s="260"/>
      <c r="I136" s="260"/>
      <c r="J136" s="260"/>
      <c r="K136" s="261"/>
      <c r="L136" s="229">
        <f>SUM(E136:K136)</f>
        <v>0</v>
      </c>
      <c r="M136" s="240"/>
      <c r="N136" s="241"/>
      <c r="O136" s="241"/>
      <c r="P136" s="241"/>
      <c r="Q136" s="241"/>
      <c r="R136" s="241"/>
      <c r="S136" s="242"/>
      <c r="T136" s="229">
        <f>SUM(M136:S136)</f>
        <v>0</v>
      </c>
      <c r="U136" s="239">
        <f>SUM(T136,L136)</f>
        <v>0</v>
      </c>
      <c r="V136" s="235" t="b">
        <f>IF(T136&gt;0,T136/U136,)</f>
        <v>0</v>
      </c>
    </row>
    <row r="137" spans="1:22" customHeight="1" ht="15">
      <c r="A137" s="244" t="s">
        <v>265</v>
      </c>
      <c r="B137" s="245"/>
      <c r="C137" s="245"/>
      <c r="D137" s="245"/>
      <c r="E137" s="246">
        <f>SUM(E135:E136)</f>
        <v>0</v>
      </c>
      <c r="F137" s="246">
        <f>SUM(F135:F136)</f>
        <v>0</v>
      </c>
      <c r="G137" s="246">
        <f>SUM(G135:G136)</f>
        <v>0</v>
      </c>
      <c r="H137" s="246">
        <f>SUM(H135:H136)</f>
        <v>0</v>
      </c>
      <c r="I137" s="246">
        <f>SUM(I135:I136)</f>
        <v>0</v>
      </c>
      <c r="J137" s="246">
        <f>SUM(J135:J136)</f>
        <v>0</v>
      </c>
      <c r="K137" s="246">
        <f>SUM(K135:K136)</f>
        <v>0</v>
      </c>
      <c r="L137" s="248">
        <f>SUM(E137:K137)</f>
        <v>0</v>
      </c>
      <c r="M137" s="322">
        <f>SUM(M135:M136)</f>
        <v>0</v>
      </c>
      <c r="N137" s="322">
        <f>SUM(N135:N136)</f>
        <v>1</v>
      </c>
      <c r="O137" s="322">
        <f>SUM(O135:O136)</f>
        <v>0</v>
      </c>
      <c r="P137" s="322">
        <f>SUM(P135:P136)</f>
        <v>0</v>
      </c>
      <c r="Q137" s="322">
        <f>SUM(Q135:Q136)</f>
        <v>0</v>
      </c>
      <c r="R137" s="322">
        <f>SUM(R135:R136)</f>
        <v>0</v>
      </c>
      <c r="S137" s="322">
        <f>SUM(S135:S136)</f>
        <v>0</v>
      </c>
      <c r="T137" s="248">
        <f>SUM(M137:S137)</f>
        <v>1</v>
      </c>
      <c r="U137" s="251">
        <f>SUM(T137,L137)</f>
        <v>1</v>
      </c>
      <c r="V137" s="252">
        <f>IF(T137&gt;0,T137/U137,)</f>
        <v>1</v>
      </c>
    </row>
    <row r="138" spans="1:22" customHeight="1" ht="18">
      <c r="A138" s="410" t="s">
        <v>286</v>
      </c>
      <c r="B138" s="411"/>
      <c r="C138" s="411"/>
      <c r="D138" s="411"/>
      <c r="E138" s="411"/>
      <c r="F138" s="411"/>
      <c r="G138" s="411"/>
      <c r="H138" s="411"/>
      <c r="I138" s="411"/>
      <c r="J138" s="411"/>
      <c r="K138" s="411"/>
      <c r="L138" s="411"/>
      <c r="M138" s="411"/>
      <c r="N138" s="411"/>
      <c r="O138" s="411"/>
      <c r="P138" s="411"/>
      <c r="Q138" s="411"/>
      <c r="R138" s="411"/>
      <c r="S138" s="411"/>
      <c r="T138" s="411"/>
      <c r="U138" s="411"/>
      <c r="V138" s="412"/>
    </row>
    <row r="139" spans="1:22">
      <c r="A139" s="279" t="s">
        <v>129</v>
      </c>
      <c r="B139" s="408" t="s">
        <v>130</v>
      </c>
      <c r="C139" s="408"/>
      <c r="D139" s="409"/>
      <c r="E139" s="259">
        <v>2</v>
      </c>
      <c r="F139" s="260">
        <v>1</v>
      </c>
      <c r="G139" s="260">
        <v>0</v>
      </c>
      <c r="H139" s="260">
        <v>0</v>
      </c>
      <c r="I139" s="260">
        <v>0</v>
      </c>
      <c r="J139" s="260">
        <v>0</v>
      </c>
      <c r="K139" s="261">
        <v>0</v>
      </c>
      <c r="L139" s="229">
        <v>3</v>
      </c>
      <c r="M139" s="240">
        <v>0</v>
      </c>
      <c r="N139" s="241">
        <v>0</v>
      </c>
      <c r="O139" s="241">
        <v>0</v>
      </c>
      <c r="P139" s="241">
        <v>0</v>
      </c>
      <c r="Q139" s="241">
        <v>0</v>
      </c>
      <c r="R139" s="241">
        <v>0</v>
      </c>
      <c r="S139" s="242">
        <v>0</v>
      </c>
      <c r="T139" s="229">
        <v>0</v>
      </c>
      <c r="U139" s="239">
        <v>3</v>
      </c>
      <c r="V139" s="235" t="s">
        <v>220</v>
      </c>
    </row>
    <row r="140" spans="1:22" customHeight="1" ht="15">
      <c r="A140" s="279"/>
      <c r="B140" s="408"/>
      <c r="C140" s="408"/>
      <c r="D140" s="409"/>
      <c r="E140" s="259"/>
      <c r="F140" s="260"/>
      <c r="G140" s="260"/>
      <c r="H140" s="260"/>
      <c r="I140" s="260"/>
      <c r="J140" s="260"/>
      <c r="K140" s="261"/>
      <c r="L140" s="229">
        <f>SUM(E140:K140)</f>
        <v>0</v>
      </c>
      <c r="M140" s="240"/>
      <c r="N140" s="241"/>
      <c r="O140" s="241"/>
      <c r="P140" s="241"/>
      <c r="Q140" s="241"/>
      <c r="R140" s="241"/>
      <c r="S140" s="242"/>
      <c r="T140" s="229">
        <f>SUM(M140:S140)</f>
        <v>0</v>
      </c>
      <c r="U140" s="239">
        <f>SUM(T140,L140)</f>
        <v>0</v>
      </c>
      <c r="V140" s="235" t="b">
        <f>IF(T140&gt;0,T140/U140,)</f>
        <v>0</v>
      </c>
    </row>
    <row r="141" spans="1:22" customHeight="1" ht="15">
      <c r="A141" s="244" t="s">
        <v>265</v>
      </c>
      <c r="B141" s="245"/>
      <c r="C141" s="245"/>
      <c r="D141" s="245"/>
      <c r="E141" s="246">
        <f>SUM(E139:E140)</f>
        <v>2</v>
      </c>
      <c r="F141" s="246">
        <f>SUM(F139:F140)</f>
        <v>1</v>
      </c>
      <c r="G141" s="246">
        <f>SUM(G139:G140)</f>
        <v>0</v>
      </c>
      <c r="H141" s="246">
        <f>SUM(H139:H140)</f>
        <v>0</v>
      </c>
      <c r="I141" s="246">
        <f>SUM(I139:I140)</f>
        <v>0</v>
      </c>
      <c r="J141" s="246">
        <f>SUM(J139:J140)</f>
        <v>0</v>
      </c>
      <c r="K141" s="246">
        <f>SUM(K139:K140)</f>
        <v>0</v>
      </c>
      <c r="L141" s="248">
        <f>SUM(E141:K141)</f>
        <v>3</v>
      </c>
      <c r="M141" s="246">
        <f>SUM(M139:M140)</f>
        <v>0</v>
      </c>
      <c r="N141" s="246">
        <f>SUM(N139:N140)</f>
        <v>0</v>
      </c>
      <c r="O141" s="246">
        <f>SUM(O139:O140)</f>
        <v>0</v>
      </c>
      <c r="P141" s="246">
        <f>SUM(P139:P140)</f>
        <v>0</v>
      </c>
      <c r="Q141" s="246">
        <f>SUM(Q139:Q140)</f>
        <v>0</v>
      </c>
      <c r="R141" s="246">
        <f>SUM(R139:R140)</f>
        <v>0</v>
      </c>
      <c r="S141" s="246">
        <f>SUM(S139:S140)</f>
        <v>0</v>
      </c>
      <c r="T141" s="248">
        <f>SUM(M141:S141)</f>
        <v>0</v>
      </c>
      <c r="U141" s="251">
        <f>SUM(T141,L141)</f>
        <v>3</v>
      </c>
      <c r="V141" s="252" t="b">
        <f>IF(T141&gt;0,T141/U141,)</f>
        <v>0</v>
      </c>
    </row>
    <row r="142" spans="1:22" customHeight="1" ht="18">
      <c r="A142" s="410" t="s">
        <v>287</v>
      </c>
      <c r="B142" s="411"/>
      <c r="C142" s="411"/>
      <c r="D142" s="411"/>
      <c r="E142" s="411"/>
      <c r="F142" s="411"/>
      <c r="G142" s="411"/>
      <c r="H142" s="411"/>
      <c r="I142" s="411"/>
      <c r="J142" s="411"/>
      <c r="K142" s="411"/>
      <c r="L142" s="411"/>
      <c r="M142" s="411"/>
      <c r="N142" s="411"/>
      <c r="O142" s="411"/>
      <c r="P142" s="411"/>
      <c r="Q142" s="411"/>
      <c r="R142" s="411"/>
      <c r="S142" s="411"/>
      <c r="T142" s="411"/>
      <c r="U142" s="411"/>
      <c r="V142" s="412"/>
    </row>
    <row r="143" spans="1:22">
      <c r="A143" s="272"/>
      <c r="B143" s="440"/>
      <c r="C143" s="440"/>
      <c r="D143" s="441"/>
      <c r="E143" s="259"/>
      <c r="F143" s="260"/>
      <c r="G143" s="260"/>
      <c r="H143" s="260"/>
      <c r="I143" s="260"/>
      <c r="J143" s="260"/>
      <c r="K143" s="261"/>
      <c r="L143" s="256">
        <f>SUM(E143:K143)</f>
        <v>0</v>
      </c>
      <c r="M143" s="240"/>
      <c r="N143" s="241"/>
      <c r="O143" s="241"/>
      <c r="P143" s="241"/>
      <c r="Q143" s="241"/>
      <c r="R143" s="241"/>
      <c r="S143" s="242"/>
      <c r="T143" s="256">
        <f>SUM(M143:S143)</f>
        <v>0</v>
      </c>
      <c r="U143" s="239">
        <f>SUM(T143,L143)</f>
        <v>0</v>
      </c>
      <c r="V143" s="235" t="b">
        <f>IF(T143&gt;0,T143/U143,)</f>
        <v>0</v>
      </c>
    </row>
    <row r="144" spans="1:22" customHeight="1" ht="15">
      <c r="A144" s="272"/>
      <c r="B144" s="440"/>
      <c r="C144" s="440"/>
      <c r="D144" s="441"/>
      <c r="E144" s="259"/>
      <c r="F144" s="260"/>
      <c r="G144" s="260"/>
      <c r="H144" s="260"/>
      <c r="I144" s="260"/>
      <c r="J144" s="260"/>
      <c r="K144" s="261"/>
      <c r="L144" s="229">
        <f>SUM(E144:K144)</f>
        <v>0</v>
      </c>
      <c r="M144" s="240"/>
      <c r="N144" s="241"/>
      <c r="O144" s="241"/>
      <c r="P144" s="241"/>
      <c r="Q144" s="241"/>
      <c r="R144" s="241"/>
      <c r="S144" s="242"/>
      <c r="T144" s="229">
        <f>SUM(M144:S144)</f>
        <v>0</v>
      </c>
      <c r="U144" s="239">
        <f>SUM(T144,L144)</f>
        <v>0</v>
      </c>
      <c r="V144" s="235" t="b">
        <f>IF(T144&gt;0,T144/U144,)</f>
        <v>0</v>
      </c>
    </row>
    <row r="145" spans="1:22" customHeight="1" ht="15">
      <c r="A145" s="244" t="s">
        <v>265</v>
      </c>
      <c r="B145" s="245"/>
      <c r="C145" s="245"/>
      <c r="D145" s="245"/>
      <c r="E145" s="246">
        <f>SUM(E143:E144)</f>
        <v>0</v>
      </c>
      <c r="F145" s="246">
        <f>SUM(F143:F144)</f>
        <v>0</v>
      </c>
      <c r="G145" s="246">
        <f>SUM(G143:G144)</f>
        <v>0</v>
      </c>
      <c r="H145" s="246">
        <f>SUM(H143:H144)</f>
        <v>0</v>
      </c>
      <c r="I145" s="246">
        <f>SUM(I143:I144)</f>
        <v>0</v>
      </c>
      <c r="J145" s="246">
        <f>SUM(J143:J144)</f>
        <v>0</v>
      </c>
      <c r="K145" s="246">
        <f>SUM(K143:K144)</f>
        <v>0</v>
      </c>
      <c r="L145" s="248">
        <f>SUM(E145:K145)</f>
        <v>0</v>
      </c>
      <c r="M145" s="246">
        <f>SUM(M143:M144)</f>
        <v>0</v>
      </c>
      <c r="N145" s="246">
        <f>SUM(N143:N144)</f>
        <v>0</v>
      </c>
      <c r="O145" s="246">
        <f>SUM(O143:O144)</f>
        <v>0</v>
      </c>
      <c r="P145" s="246">
        <f>SUM(P143:P144)</f>
        <v>0</v>
      </c>
      <c r="Q145" s="246">
        <f>SUM(Q143:Q144)</f>
        <v>0</v>
      </c>
      <c r="R145" s="246">
        <f>SUM(R143:R144)</f>
        <v>0</v>
      </c>
      <c r="S145" s="246">
        <f>SUM(S143:S144)</f>
        <v>0</v>
      </c>
      <c r="T145" s="248">
        <f>SUM(M145:S145)</f>
        <v>0</v>
      </c>
      <c r="U145" s="251">
        <f>SUM(T145,L145)</f>
        <v>0</v>
      </c>
      <c r="V145" s="252" t="b">
        <f>IF(T145&gt;0,T145/U145,)</f>
        <v>0</v>
      </c>
    </row>
    <row r="146" spans="1:22" customHeight="1" ht="18">
      <c r="A146" s="410" t="s">
        <v>292</v>
      </c>
      <c r="B146" s="411"/>
      <c r="C146" s="411"/>
      <c r="D146" s="411"/>
      <c r="E146" s="411"/>
      <c r="F146" s="411"/>
      <c r="G146" s="411"/>
      <c r="H146" s="411"/>
      <c r="I146" s="411"/>
      <c r="J146" s="411"/>
      <c r="K146" s="411"/>
      <c r="L146" s="411"/>
      <c r="M146" s="411"/>
      <c r="N146" s="411"/>
      <c r="O146" s="411"/>
      <c r="P146" s="411"/>
      <c r="Q146" s="411"/>
      <c r="R146" s="411"/>
      <c r="S146" s="411"/>
      <c r="T146" s="411"/>
      <c r="U146" s="411"/>
      <c r="V146" s="412"/>
    </row>
    <row r="147" spans="1:22">
      <c r="A147" s="258" t="s">
        <v>188</v>
      </c>
      <c r="B147" s="408" t="s">
        <v>189</v>
      </c>
      <c r="C147" s="408"/>
      <c r="D147" s="409"/>
      <c r="E147" s="259">
        <v>0</v>
      </c>
      <c r="F147" s="260">
        <v>1</v>
      </c>
      <c r="G147" s="260">
        <v>0</v>
      </c>
      <c r="H147" s="260">
        <v>0</v>
      </c>
      <c r="I147" s="260">
        <v>0</v>
      </c>
      <c r="J147" s="260">
        <v>0</v>
      </c>
      <c r="K147" s="261">
        <v>0</v>
      </c>
      <c r="L147" s="256">
        <v>1</v>
      </c>
      <c r="M147" s="236">
        <v>0</v>
      </c>
      <c r="N147" s="237">
        <v>0</v>
      </c>
      <c r="O147" s="237">
        <v>0</v>
      </c>
      <c r="P147" s="237">
        <v>0</v>
      </c>
      <c r="Q147" s="237">
        <v>0</v>
      </c>
      <c r="R147" s="237">
        <v>0</v>
      </c>
      <c r="S147" s="238">
        <v>0</v>
      </c>
      <c r="T147" s="256">
        <v>0</v>
      </c>
      <c r="U147" s="265">
        <v>1</v>
      </c>
      <c r="V147" s="266" t="s">
        <v>220</v>
      </c>
    </row>
    <row r="148" spans="1:22" customHeight="1" ht="15">
      <c r="A148" s="258"/>
      <c r="B148" s="408"/>
      <c r="C148" s="408"/>
      <c r="D148" s="409"/>
      <c r="E148" s="259"/>
      <c r="F148" s="260"/>
      <c r="G148" s="260"/>
      <c r="H148" s="260"/>
      <c r="I148" s="260"/>
      <c r="J148" s="260"/>
      <c r="K148" s="261"/>
      <c r="L148" s="256">
        <f>SUM(E148:K148)</f>
        <v>0</v>
      </c>
      <c r="M148" s="236"/>
      <c r="N148" s="237"/>
      <c r="O148" s="237"/>
      <c r="P148" s="237"/>
      <c r="Q148" s="237"/>
      <c r="R148" s="237"/>
      <c r="S148" s="238"/>
      <c r="T148" s="286">
        <f>SUM(M148:S148)</f>
        <v>0</v>
      </c>
      <c r="U148" s="265">
        <f>SUM(T148,L148)</f>
        <v>0</v>
      </c>
      <c r="V148" s="266" t="b">
        <f>IF(T148&gt;0,T148/U148,)</f>
        <v>0</v>
      </c>
    </row>
    <row r="149" spans="1:22" customHeight="1" ht="15">
      <c r="A149" s="244" t="s">
        <v>265</v>
      </c>
      <c r="B149" s="245"/>
      <c r="C149" s="245"/>
      <c r="D149" s="245"/>
      <c r="E149" s="246">
        <f>SUM(E147:E148)</f>
        <v>0</v>
      </c>
      <c r="F149" s="246">
        <f>SUM(F147:F148)</f>
        <v>1</v>
      </c>
      <c r="G149" s="246">
        <f>SUM(G147:G148)</f>
        <v>0</v>
      </c>
      <c r="H149" s="246">
        <f>SUM(H147:H148)</f>
        <v>0</v>
      </c>
      <c r="I149" s="246">
        <f>SUM(I147:I148)</f>
        <v>0</v>
      </c>
      <c r="J149" s="246">
        <f>SUM(J147:J148)</f>
        <v>0</v>
      </c>
      <c r="K149" s="246">
        <f>SUM(K147:K148)</f>
        <v>0</v>
      </c>
      <c r="L149" s="248">
        <f>SUM(E149:K149)</f>
        <v>1</v>
      </c>
      <c r="M149" s="246">
        <f>SUM(M147:M148)</f>
        <v>0</v>
      </c>
      <c r="N149" s="246">
        <f>SUM(N147:N148)</f>
        <v>0</v>
      </c>
      <c r="O149" s="246">
        <f>SUM(O147:O148)</f>
        <v>0</v>
      </c>
      <c r="P149" s="246">
        <f>SUM(P147:P148)</f>
        <v>0</v>
      </c>
      <c r="Q149" s="246">
        <f>SUM(Q147:Q148)</f>
        <v>0</v>
      </c>
      <c r="R149" s="246">
        <f>SUM(R147:R148)</f>
        <v>0</v>
      </c>
      <c r="S149" s="246">
        <f>SUM(S147:S148)</f>
        <v>0</v>
      </c>
      <c r="T149" s="248">
        <f>SUM(M149:S149)</f>
        <v>0</v>
      </c>
      <c r="U149" s="251">
        <f>SUM(T149,L149)</f>
        <v>1</v>
      </c>
      <c r="V149" s="252" t="b">
        <f>IF(T149&gt;0,T149/U149,)</f>
        <v>0</v>
      </c>
    </row>
    <row r="150" spans="1:22" customHeight="1" ht="18">
      <c r="A150" s="410" t="s">
        <v>295</v>
      </c>
      <c r="B150" s="411"/>
      <c r="C150" s="411"/>
      <c r="D150" s="411"/>
      <c r="E150" s="411"/>
      <c r="F150" s="411"/>
      <c r="G150" s="411"/>
      <c r="H150" s="411"/>
      <c r="I150" s="411"/>
      <c r="J150" s="411"/>
      <c r="K150" s="411"/>
      <c r="L150" s="411"/>
      <c r="M150" s="411"/>
      <c r="N150" s="411"/>
      <c r="O150" s="411"/>
      <c r="P150" s="411"/>
      <c r="Q150" s="411"/>
      <c r="R150" s="411"/>
      <c r="S150" s="411"/>
      <c r="T150" s="411"/>
      <c r="U150" s="411"/>
      <c r="V150" s="412"/>
    </row>
    <row r="151" spans="1:22">
      <c r="A151" s="101" t="s">
        <v>175</v>
      </c>
      <c r="B151" s="408" t="s">
        <v>176</v>
      </c>
      <c r="C151" s="408"/>
      <c r="D151" s="409"/>
      <c r="E151" s="259">
        <v>0</v>
      </c>
      <c r="F151" s="260">
        <v>0</v>
      </c>
      <c r="G151" s="260">
        <v>0</v>
      </c>
      <c r="H151" s="260">
        <v>0</v>
      </c>
      <c r="I151" s="260">
        <v>0</v>
      </c>
      <c r="J151" s="260">
        <v>0</v>
      </c>
      <c r="K151" s="261">
        <v>0</v>
      </c>
      <c r="L151" s="229">
        <v>0</v>
      </c>
      <c r="M151" s="236">
        <v>0</v>
      </c>
      <c r="N151" s="237">
        <v>1</v>
      </c>
      <c r="O151" s="237">
        <v>0</v>
      </c>
      <c r="P151" s="237">
        <v>0</v>
      </c>
      <c r="Q151" s="237">
        <v>0</v>
      </c>
      <c r="R151" s="237">
        <v>0</v>
      </c>
      <c r="S151" s="238">
        <v>0</v>
      </c>
      <c r="T151" s="229">
        <v>1</v>
      </c>
      <c r="U151" s="239">
        <v>1</v>
      </c>
      <c r="V151" s="235" t="s">
        <v>219</v>
      </c>
    </row>
    <row r="152" spans="1:22" customHeight="1" ht="15">
      <c r="A152" s="272"/>
      <c r="B152" s="435"/>
      <c r="C152" s="435"/>
      <c r="D152" s="436"/>
      <c r="E152" s="287"/>
      <c r="F152" s="283"/>
      <c r="G152" s="283"/>
      <c r="H152" s="283"/>
      <c r="I152" s="283"/>
      <c r="J152" s="283"/>
      <c r="K152" s="285"/>
      <c r="L152" s="229">
        <f>SUM(E152:K152)</f>
        <v>0</v>
      </c>
      <c r="M152" s="240"/>
      <c r="N152" s="241"/>
      <c r="O152" s="241"/>
      <c r="P152" s="241"/>
      <c r="Q152" s="241"/>
      <c r="R152" s="241"/>
      <c r="S152" s="242"/>
      <c r="T152" s="229">
        <f>SUM(M152:S152)</f>
        <v>0</v>
      </c>
      <c r="U152" s="239">
        <f>SUM(T152,L152)</f>
        <v>0</v>
      </c>
      <c r="V152" s="235" t="b">
        <f>IF(T152&gt;0,T152/U152,)</f>
        <v>0</v>
      </c>
    </row>
    <row r="153" spans="1:22" customHeight="1" ht="15">
      <c r="A153" s="437" t="s">
        <v>265</v>
      </c>
      <c r="B153" s="438"/>
      <c r="C153" s="438"/>
      <c r="D153" s="439"/>
      <c r="E153" s="246">
        <f>SUM(E151:E152)</f>
        <v>0</v>
      </c>
      <c r="F153" s="246">
        <f>SUM(F151:F152)</f>
        <v>0</v>
      </c>
      <c r="G153" s="246">
        <f>SUM(G151:G152)</f>
        <v>0</v>
      </c>
      <c r="H153" s="246">
        <f>SUM(H151:H152)</f>
        <v>0</v>
      </c>
      <c r="I153" s="246">
        <f>SUM(I151:I152)</f>
        <v>0</v>
      </c>
      <c r="J153" s="246">
        <f>SUM(J151:J152)</f>
        <v>0</v>
      </c>
      <c r="K153" s="246">
        <f>SUM(K151:K152)</f>
        <v>0</v>
      </c>
      <c r="L153" s="248">
        <f>SUM(E153:K153)</f>
        <v>0</v>
      </c>
      <c r="M153" s="246">
        <f>SUM(M151:M152)</f>
        <v>0</v>
      </c>
      <c r="N153" s="246">
        <f>SUM(N151:N152)</f>
        <v>1</v>
      </c>
      <c r="O153" s="246">
        <f>SUM(O151:O152)</f>
        <v>0</v>
      </c>
      <c r="P153" s="246">
        <f>SUM(P151:P152)</f>
        <v>0</v>
      </c>
      <c r="Q153" s="246">
        <f>SUM(Q151:Q152)</f>
        <v>0</v>
      </c>
      <c r="R153" s="246">
        <f>SUM(R151:R152)</f>
        <v>0</v>
      </c>
      <c r="S153" s="246">
        <f>SUM(S151:S152)</f>
        <v>0</v>
      </c>
      <c r="T153" s="248">
        <f>SUM(M153:S153)</f>
        <v>1</v>
      </c>
      <c r="U153" s="251">
        <f>SUM(T153,L153)</f>
        <v>1</v>
      </c>
      <c r="V153" s="252">
        <f>IF(T153&gt;0,T153/U153,)</f>
        <v>1</v>
      </c>
    </row>
    <row r="154" spans="1:22" customHeight="1" ht="18.5">
      <c r="A154" s="288" t="s">
        <v>296</v>
      </c>
      <c r="B154" s="289"/>
      <c r="C154" s="289"/>
      <c r="D154" s="290"/>
      <c r="E154" s="291">
        <f>SUM(E153,E149,E145,E141,E137,E133,E125,E129,E117,E121,E113,E109,E105,E101,E97)</f>
        <v>7</v>
      </c>
      <c r="F154" s="291">
        <f>SUM(F97,F101,F105,F109,F113,F117,F121,F125,F129,F133,F137,F141,F145,F149,F153)</f>
        <v>6</v>
      </c>
      <c r="G154" s="291">
        <f>SUM(G97,G101,G105,G109,G113,G117,G121,G125,G129,G133,G137,G141,G145,G149,G153)</f>
        <v>0</v>
      </c>
      <c r="H154" s="291">
        <f>SUM(H97,H101,H105,H109,H113,H117,H121,H125,H129,H133,H137,H141,H145,H149,H153)</f>
        <v>0</v>
      </c>
      <c r="I154" s="291">
        <f>SUM(I97,I101,I105,I109,I113,I117,I121,I125,I129,I133,I137,I141,I145,I149,I153)</f>
        <v>0</v>
      </c>
      <c r="J154" s="291">
        <f>SUM(J97,J101,J105,J109,J113,J117,J121,J125,J129,J133,J137,J141,J145,J149,J153)</f>
        <v>0</v>
      </c>
      <c r="K154" s="291">
        <f>SUM(K97,K101,K105,K109,K113,K117,K121,K125,K129,K133,K137,K141,K145,K149,K153)</f>
        <v>0</v>
      </c>
      <c r="L154" s="248">
        <f>SUM(L97,L101,L105,L109,L113,L117,L121,L125,L129,L133,L137,L141,L145,L149,L153)</f>
        <v>13</v>
      </c>
      <c r="M154" s="291">
        <f>SUM(M153,M149,M145,M141,M137,M133,M129,M125,M121,M117,M113,M109,M105,M101,M97)</f>
        <v>1</v>
      </c>
      <c r="N154" s="291">
        <f>SUM(N153,N149,N145,N141,N137,N133,N129,N125,N121,N117,N113,N109,N105,N101,N97)</f>
        <v>3</v>
      </c>
      <c r="O154" s="291">
        <f>SUM(O153,O149,O145,O141,O137,O133,O129,O125,O121,O117,O113,O109,O105,O101,O97)</f>
        <v>0</v>
      </c>
      <c r="P154" s="291">
        <f>SUM(P153,P149,P145,P141,P137,P133,P129,P125,P121,P117,P113,P109,P105,P101,P97)</f>
        <v>0</v>
      </c>
      <c r="Q154" s="291">
        <f>SUM(Q153,Q149,Q145,Q141,Q137,Q133,Q129,Q125,Q121,Q117,Q113,Q109,Q105,Q101,Q97)</f>
        <v>0</v>
      </c>
      <c r="R154" s="291">
        <f>SUM(R153,R149,R145,R141,R137,R133,R129,R125,R121,R117,R113,R109,R105,R101,R97)</f>
        <v>0</v>
      </c>
      <c r="S154" s="291">
        <f>SUM(S153,S149,S145,S141,S137,S133,S129,S125,S121,S117,S113,S109,S105,S101,S97)</f>
        <v>0</v>
      </c>
      <c r="T154" s="248">
        <f>SUM(M154:S154)</f>
        <v>4</v>
      </c>
      <c r="U154" s="251">
        <f>SUM(T154,L154)</f>
        <v>17</v>
      </c>
      <c r="V154" s="252">
        <f>IF(T154&gt;0,T154/U154,)</f>
        <v>0.23529411764706</v>
      </c>
    </row>
    <row r="155" spans="1:22">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row>
    <row r="156" spans="1:22">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row>
    <row r="157" spans="1:22">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row>
    <row r="158" spans="1:22">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row>
    <row r="159" spans="1:22" customHeight="1" ht="15">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row>
    <row r="160" spans="1:22" customHeight="1" ht="20.5">
      <c r="A160" s="426" t="s">
        <v>301</v>
      </c>
      <c r="B160" s="427"/>
      <c r="C160" s="427"/>
      <c r="D160" s="427"/>
      <c r="E160" s="427"/>
      <c r="F160" s="427"/>
      <c r="G160" s="427"/>
      <c r="H160" s="427"/>
      <c r="I160" s="427"/>
      <c r="J160" s="427"/>
      <c r="K160" s="427"/>
      <c r="L160" s="427"/>
      <c r="M160" s="427"/>
      <c r="N160" s="427"/>
      <c r="O160" s="427"/>
      <c r="P160" s="427"/>
      <c r="Q160" s="427"/>
      <c r="R160" s="427"/>
      <c r="S160" s="427"/>
      <c r="T160" s="427"/>
      <c r="U160" s="427"/>
      <c r="V160" s="428"/>
    </row>
    <row r="161" spans="1:22" customHeight="1" ht="15">
      <c r="A161" s="296"/>
      <c r="B161" s="297"/>
      <c r="C161" s="297"/>
      <c r="D161" s="298"/>
      <c r="E161" s="429" t="s">
        <v>259</v>
      </c>
      <c r="F161" s="430"/>
      <c r="G161" s="430"/>
      <c r="H161" s="430"/>
      <c r="I161" s="430"/>
      <c r="J161" s="430"/>
      <c r="K161" s="431"/>
      <c r="L161" s="299"/>
      <c r="M161" s="432" t="s">
        <v>259</v>
      </c>
      <c r="N161" s="433"/>
      <c r="O161" s="433"/>
      <c r="P161" s="433"/>
      <c r="Q161" s="433"/>
      <c r="R161" s="433"/>
      <c r="S161" s="434"/>
      <c r="T161" s="300"/>
      <c r="U161" s="300"/>
      <c r="V161" s="300"/>
    </row>
    <row r="162" spans="1:22" customHeight="1" ht="15">
      <c r="A162" s="299"/>
      <c r="B162" s="301"/>
      <c r="C162" s="301"/>
      <c r="D162" s="302"/>
      <c r="E162" s="303">
        <v>1</v>
      </c>
      <c r="F162" s="304">
        <v>2</v>
      </c>
      <c r="G162" s="304">
        <v>3</v>
      </c>
      <c r="H162" s="304">
        <v>4</v>
      </c>
      <c r="I162" s="304">
        <v>5</v>
      </c>
      <c r="J162" s="304">
        <v>6</v>
      </c>
      <c r="K162" s="304">
        <v>7</v>
      </c>
      <c r="L162" s="305"/>
      <c r="M162" s="306">
        <v>1</v>
      </c>
      <c r="N162" s="307">
        <v>2</v>
      </c>
      <c r="O162" s="307">
        <v>3</v>
      </c>
      <c r="P162" s="307">
        <v>4</v>
      </c>
      <c r="Q162" s="307">
        <v>5</v>
      </c>
      <c r="R162" s="307">
        <v>6</v>
      </c>
      <c r="S162" s="307">
        <v>7</v>
      </c>
      <c r="T162" s="305"/>
      <c r="U162" s="305"/>
      <c r="V162" s="305"/>
    </row>
    <row r="163" spans="1:22" customHeight="1" ht="15">
      <c r="A163" s="418" t="s">
        <v>302</v>
      </c>
      <c r="B163" s="419"/>
      <c r="C163" s="419"/>
      <c r="D163" s="420"/>
      <c r="E163" s="421" t="s">
        <v>91</v>
      </c>
      <c r="F163" s="422"/>
      <c r="G163" s="422"/>
      <c r="H163" s="422"/>
      <c r="I163" s="422"/>
      <c r="J163" s="422"/>
      <c r="K163" s="423"/>
      <c r="L163" s="308" t="s">
        <v>261</v>
      </c>
      <c r="M163" s="421" t="s">
        <v>93</v>
      </c>
      <c r="N163" s="424"/>
      <c r="O163" s="424"/>
      <c r="P163" s="424"/>
      <c r="Q163" s="424"/>
      <c r="R163" s="424"/>
      <c r="S163" s="425"/>
      <c r="T163" s="308" t="s">
        <v>261</v>
      </c>
      <c r="U163" s="309" t="s">
        <v>262</v>
      </c>
      <c r="V163" s="309" t="s">
        <v>213</v>
      </c>
    </row>
    <row r="164" spans="1:22" customHeight="1" ht="18">
      <c r="A164" s="410" t="s">
        <v>303</v>
      </c>
      <c r="B164" s="411"/>
      <c r="C164" s="411"/>
      <c r="D164" s="411"/>
      <c r="E164" s="411"/>
      <c r="F164" s="411"/>
      <c r="G164" s="411"/>
      <c r="H164" s="411"/>
      <c r="I164" s="411"/>
      <c r="J164" s="411"/>
      <c r="K164" s="411"/>
      <c r="L164" s="411"/>
      <c r="M164" s="411"/>
      <c r="N164" s="411"/>
      <c r="O164" s="411"/>
      <c r="P164" s="411"/>
      <c r="Q164" s="411"/>
      <c r="R164" s="411"/>
      <c r="S164" s="411"/>
      <c r="T164" s="411"/>
      <c r="U164" s="411"/>
      <c r="V164" s="412"/>
    </row>
    <row r="165" spans="1:22">
      <c r="A165" s="272" t="s">
        <v>115</v>
      </c>
      <c r="B165" s="413" t="s">
        <v>116</v>
      </c>
      <c r="C165" s="413"/>
      <c r="D165" s="414"/>
      <c r="E165" s="259">
        <v>1</v>
      </c>
      <c r="F165" s="260">
        <v>1</v>
      </c>
      <c r="G165" s="260">
        <v>0</v>
      </c>
      <c r="H165" s="260">
        <v>0</v>
      </c>
      <c r="I165" s="260">
        <v>0</v>
      </c>
      <c r="J165" s="260">
        <v>0</v>
      </c>
      <c r="K165" s="261">
        <v>0</v>
      </c>
      <c r="L165" s="256">
        <v>2</v>
      </c>
      <c r="M165" s="236">
        <v>0</v>
      </c>
      <c r="N165" s="237">
        <v>0</v>
      </c>
      <c r="O165" s="237">
        <v>0</v>
      </c>
      <c r="P165" s="237">
        <v>0</v>
      </c>
      <c r="Q165" s="237">
        <v>0</v>
      </c>
      <c r="R165" s="237">
        <v>0</v>
      </c>
      <c r="S165" s="238">
        <v>0</v>
      </c>
      <c r="T165" s="256">
        <v>0</v>
      </c>
      <c r="U165" s="265">
        <v>2</v>
      </c>
      <c r="V165" s="266" t="s">
        <v>220</v>
      </c>
    </row>
    <row r="166" spans="1:22" customHeight="1" ht="15">
      <c r="A166" s="272"/>
      <c r="B166" s="408"/>
      <c r="C166" s="408"/>
      <c r="D166" s="409"/>
      <c r="E166" s="259"/>
      <c r="F166" s="260"/>
      <c r="G166" s="260"/>
      <c r="H166" s="260"/>
      <c r="I166" s="260"/>
      <c r="J166" s="260"/>
      <c r="K166" s="261"/>
      <c r="L166" s="229">
        <f>SUM(E166:K166)</f>
        <v>0</v>
      </c>
      <c r="M166" s="240"/>
      <c r="N166" s="241"/>
      <c r="O166" s="241"/>
      <c r="P166" s="241"/>
      <c r="Q166" s="241"/>
      <c r="R166" s="241"/>
      <c r="S166" s="242"/>
      <c r="T166" s="229">
        <f>SUM(M166:S166)</f>
        <v>0</v>
      </c>
      <c r="U166" s="239">
        <f>SUM(T166,L166)</f>
        <v>0</v>
      </c>
      <c r="V166" s="235" t="b">
        <f>IF(T166&gt;0,T166/U166,)</f>
        <v>0</v>
      </c>
    </row>
    <row r="167" spans="1:22" customHeight="1" ht="15">
      <c r="A167" s="244" t="s">
        <v>265</v>
      </c>
      <c r="B167" s="245"/>
      <c r="C167" s="245"/>
      <c r="D167" s="245"/>
      <c r="E167" s="246">
        <f>SUM(E165:E166)</f>
        <v>1</v>
      </c>
      <c r="F167" s="246">
        <f>SUM(F165:F166)</f>
        <v>1</v>
      </c>
      <c r="G167" s="247">
        <f>SUM(G165:G166)</f>
        <v>0</v>
      </c>
      <c r="H167" s="246">
        <f>SUM(H165:H166)</f>
        <v>0</v>
      </c>
      <c r="I167" s="246">
        <f>SUM(I165:I166)</f>
        <v>0</v>
      </c>
      <c r="J167" s="247">
        <f>SUM(H167:I167)</f>
        <v>0</v>
      </c>
      <c r="K167" s="247">
        <f>SUM(I167:J167)</f>
        <v>0</v>
      </c>
      <c r="L167" s="248">
        <f>SUM(E167:K167)</f>
        <v>2</v>
      </c>
      <c r="M167" s="249">
        <f>SUM(M165:M166)</f>
        <v>0</v>
      </c>
      <c r="N167" s="246">
        <f>SUM(N165:N166)</f>
        <v>0</v>
      </c>
      <c r="O167" s="246">
        <f>SUM(O165:O166)</f>
        <v>0</v>
      </c>
      <c r="P167" s="246">
        <f>SUM(P165:P166)</f>
        <v>0</v>
      </c>
      <c r="Q167" s="246">
        <f>SUM(Q165:Q166)</f>
        <v>0</v>
      </c>
      <c r="R167" s="246">
        <f>SUM(R165:R166)</f>
        <v>0</v>
      </c>
      <c r="S167" s="250">
        <f>SUM(S165:S166)</f>
        <v>0</v>
      </c>
      <c r="T167" s="248">
        <f>SUM(M167:S167)</f>
        <v>0</v>
      </c>
      <c r="U167" s="251">
        <f>SUM(T167,L167)</f>
        <v>2</v>
      </c>
      <c r="V167" s="252" t="b">
        <f>IF(T167&gt;0,T167/U167,)</f>
        <v>0</v>
      </c>
    </row>
    <row r="168" spans="1:22" customHeight="1" ht="18">
      <c r="A168" s="410" t="s">
        <v>304</v>
      </c>
      <c r="B168" s="411"/>
      <c r="C168" s="411"/>
      <c r="D168" s="411"/>
      <c r="E168" s="411"/>
      <c r="F168" s="411"/>
      <c r="G168" s="411"/>
      <c r="H168" s="411"/>
      <c r="I168" s="411"/>
      <c r="J168" s="411"/>
      <c r="K168" s="411"/>
      <c r="L168" s="411"/>
      <c r="M168" s="411"/>
      <c r="N168" s="411"/>
      <c r="O168" s="411"/>
      <c r="P168" s="411"/>
      <c r="Q168" s="411"/>
      <c r="R168" s="411"/>
      <c r="S168" s="411"/>
      <c r="T168" s="411"/>
      <c r="U168" s="411"/>
      <c r="V168" s="412"/>
    </row>
    <row r="169" spans="1:22">
      <c r="A169" s="272" t="s">
        <v>305</v>
      </c>
      <c r="B169" s="413" t="s">
        <v>306</v>
      </c>
      <c r="C169" s="413"/>
      <c r="D169" s="414"/>
      <c r="E169" s="259">
        <v>2</v>
      </c>
      <c r="F169" s="260">
        <v>0</v>
      </c>
      <c r="G169" s="260">
        <v>0</v>
      </c>
      <c r="H169" s="260">
        <v>0</v>
      </c>
      <c r="I169" s="260">
        <v>0</v>
      </c>
      <c r="J169" s="260">
        <v>0</v>
      </c>
      <c r="K169" s="261">
        <v>0</v>
      </c>
      <c r="L169" s="256">
        <v>2</v>
      </c>
      <c r="M169" s="236">
        <v>0</v>
      </c>
      <c r="N169" s="237">
        <v>0</v>
      </c>
      <c r="O169" s="237">
        <v>0</v>
      </c>
      <c r="P169" s="237">
        <v>0</v>
      </c>
      <c r="Q169" s="237">
        <v>0</v>
      </c>
      <c r="R169" s="237">
        <v>0</v>
      </c>
      <c r="S169" s="238">
        <v>0</v>
      </c>
      <c r="T169" s="256">
        <v>0</v>
      </c>
      <c r="U169" s="265">
        <v>2</v>
      </c>
      <c r="V169" s="266" t="s">
        <v>220</v>
      </c>
    </row>
    <row r="170" spans="1:22" customHeight="1" ht="15">
      <c r="A170" s="272"/>
      <c r="B170" s="408"/>
      <c r="C170" s="408"/>
      <c r="D170" s="409"/>
      <c r="E170" s="259"/>
      <c r="F170" s="260"/>
      <c r="G170" s="260"/>
      <c r="H170" s="260"/>
      <c r="I170" s="260"/>
      <c r="J170" s="260"/>
      <c r="K170" s="261"/>
      <c r="L170" s="229">
        <f>SUM(E170:K170)</f>
        <v>0</v>
      </c>
      <c r="M170" s="240"/>
      <c r="N170" s="241"/>
      <c r="O170" s="241"/>
      <c r="P170" s="241"/>
      <c r="Q170" s="241"/>
      <c r="R170" s="241"/>
      <c r="S170" s="242"/>
      <c r="T170" s="229">
        <f>SUM(M170:S170)</f>
        <v>0</v>
      </c>
      <c r="U170" s="239">
        <f>SUM(T170,L170)</f>
        <v>0</v>
      </c>
      <c r="V170" s="235" t="b">
        <f>IF(T170&gt;0,T170/U170,)</f>
        <v>0</v>
      </c>
    </row>
    <row r="171" spans="1:22" customHeight="1" ht="15">
      <c r="A171" s="244" t="s">
        <v>265</v>
      </c>
      <c r="B171" s="245"/>
      <c r="C171" s="245"/>
      <c r="D171" s="245"/>
      <c r="E171" s="246">
        <f>SUM(E169:E170)</f>
        <v>2</v>
      </c>
      <c r="F171" s="246">
        <f>SUM(F169:F170)</f>
        <v>0</v>
      </c>
      <c r="G171" s="247">
        <f>SUM(G169:G170)</f>
        <v>0</v>
      </c>
      <c r="H171" s="246">
        <f>SUM(H169:H170)</f>
        <v>0</v>
      </c>
      <c r="I171" s="246">
        <f>SUM(I169:I170)</f>
        <v>0</v>
      </c>
      <c r="J171" s="247">
        <f>SUM(H171:I171)</f>
        <v>0</v>
      </c>
      <c r="K171" s="247">
        <f>SUM(I171:J171)</f>
        <v>0</v>
      </c>
      <c r="L171" s="248">
        <f>SUM(E171:K171)</f>
        <v>2</v>
      </c>
      <c r="M171" s="249">
        <f>SUM(M169:M170)</f>
        <v>0</v>
      </c>
      <c r="N171" s="246">
        <f>SUM(N169:N170)</f>
        <v>0</v>
      </c>
      <c r="O171" s="246">
        <f>SUM(O169:O170)</f>
        <v>0</v>
      </c>
      <c r="P171" s="246">
        <f>SUM(P169:P170)</f>
        <v>0</v>
      </c>
      <c r="Q171" s="246">
        <f>SUM(Q169:Q170)</f>
        <v>0</v>
      </c>
      <c r="R171" s="246">
        <f>SUM(R169:R170)</f>
        <v>0</v>
      </c>
      <c r="S171" s="250">
        <f>SUM(S169:S170)</f>
        <v>0</v>
      </c>
      <c r="T171" s="248">
        <f>SUM(M171:S171)</f>
        <v>0</v>
      </c>
      <c r="U171" s="251">
        <f>SUM(T171,L171)</f>
        <v>2</v>
      </c>
      <c r="V171" s="252" t="b">
        <f>IF(T171&gt;0,T171/U171,)</f>
        <v>0</v>
      </c>
    </row>
    <row r="172" spans="1:22" customHeight="1" ht="18">
      <c r="A172" s="410" t="s">
        <v>307</v>
      </c>
      <c r="B172" s="411"/>
      <c r="C172" s="411"/>
      <c r="D172" s="411"/>
      <c r="E172" s="411"/>
      <c r="F172" s="411"/>
      <c r="G172" s="411"/>
      <c r="H172" s="411"/>
      <c r="I172" s="411"/>
      <c r="J172" s="411"/>
      <c r="K172" s="411"/>
      <c r="L172" s="411"/>
      <c r="M172" s="411"/>
      <c r="N172" s="411"/>
      <c r="O172" s="411"/>
      <c r="P172" s="411"/>
      <c r="Q172" s="411"/>
      <c r="R172" s="411"/>
      <c r="S172" s="411"/>
      <c r="T172" s="411"/>
      <c r="U172" s="411"/>
      <c r="V172" s="412"/>
    </row>
    <row r="173" spans="1:22">
      <c r="A173" s="272" t="s">
        <v>159</v>
      </c>
      <c r="B173" s="413" t="s">
        <v>160</v>
      </c>
      <c r="C173" s="413"/>
      <c r="D173" s="414"/>
      <c r="E173" s="259">
        <v>0</v>
      </c>
      <c r="F173" s="260">
        <v>1</v>
      </c>
      <c r="G173" s="260">
        <v>0</v>
      </c>
      <c r="H173" s="260">
        <v>0</v>
      </c>
      <c r="I173" s="260">
        <v>0</v>
      </c>
      <c r="J173" s="260">
        <v>0</v>
      </c>
      <c r="K173" s="261">
        <v>0</v>
      </c>
      <c r="L173" s="256">
        <v>1</v>
      </c>
      <c r="M173" s="236">
        <v>0</v>
      </c>
      <c r="N173" s="237">
        <v>0</v>
      </c>
      <c r="O173" s="237">
        <v>0</v>
      </c>
      <c r="P173" s="237">
        <v>0</v>
      </c>
      <c r="Q173" s="237">
        <v>0</v>
      </c>
      <c r="R173" s="237">
        <v>0</v>
      </c>
      <c r="S173" s="238">
        <v>0</v>
      </c>
      <c r="T173" s="256">
        <v>0</v>
      </c>
      <c r="U173" s="265">
        <v>1</v>
      </c>
      <c r="V173" s="266" t="s">
        <v>220</v>
      </c>
    </row>
    <row r="174" spans="1:22" customHeight="1" ht="15">
      <c r="A174" s="272"/>
      <c r="B174" s="408"/>
      <c r="C174" s="408"/>
      <c r="D174" s="409"/>
      <c r="E174" s="259"/>
      <c r="F174" s="260"/>
      <c r="G174" s="260"/>
      <c r="H174" s="260"/>
      <c r="I174" s="260"/>
      <c r="J174" s="260"/>
      <c r="K174" s="261"/>
      <c r="L174" s="229">
        <f>SUM(E174:K174)</f>
        <v>0</v>
      </c>
      <c r="M174" s="240"/>
      <c r="N174" s="241"/>
      <c r="O174" s="241"/>
      <c r="P174" s="241"/>
      <c r="Q174" s="241"/>
      <c r="R174" s="241"/>
      <c r="S174" s="242"/>
      <c r="T174" s="229">
        <f>SUM(M174:S174)</f>
        <v>0</v>
      </c>
      <c r="U174" s="239">
        <f>SUM(T174,L174)</f>
        <v>0</v>
      </c>
      <c r="V174" s="235" t="b">
        <f>IF(T174&gt;0,T174/U174,)</f>
        <v>0</v>
      </c>
    </row>
    <row r="175" spans="1:22" customHeight="1" ht="15">
      <c r="A175" s="244" t="s">
        <v>265</v>
      </c>
      <c r="B175" s="245"/>
      <c r="C175" s="245"/>
      <c r="D175" s="245"/>
      <c r="E175" s="246">
        <f>SUM(E173:E174)</f>
        <v>0</v>
      </c>
      <c r="F175" s="246">
        <f>SUM(F173:F174)</f>
        <v>1</v>
      </c>
      <c r="G175" s="247">
        <f>SUM(G173:G174)</f>
        <v>0</v>
      </c>
      <c r="H175" s="246">
        <f>SUM(H173:H174)</f>
        <v>0</v>
      </c>
      <c r="I175" s="246">
        <f>SUM(I173:I174)</f>
        <v>0</v>
      </c>
      <c r="J175" s="247">
        <f>SUM(H175:I175)</f>
        <v>0</v>
      </c>
      <c r="K175" s="247">
        <f>SUM(I175:J175)</f>
        <v>0</v>
      </c>
      <c r="L175" s="248">
        <f>SUM(E175:K175)</f>
        <v>1</v>
      </c>
      <c r="M175" s="249">
        <f>SUM(M173:M174)</f>
        <v>0</v>
      </c>
      <c r="N175" s="246">
        <f>SUM(N173:N174)</f>
        <v>0</v>
      </c>
      <c r="O175" s="246">
        <f>SUM(O173:O174)</f>
        <v>0</v>
      </c>
      <c r="P175" s="246">
        <f>SUM(P173:P174)</f>
        <v>0</v>
      </c>
      <c r="Q175" s="246">
        <f>SUM(Q173:Q174)</f>
        <v>0</v>
      </c>
      <c r="R175" s="246">
        <f>SUM(R173:R174)</f>
        <v>0</v>
      </c>
      <c r="S175" s="250">
        <f>SUM(S173:S174)</f>
        <v>0</v>
      </c>
      <c r="T175" s="248">
        <f>SUM(M175:S175)</f>
        <v>0</v>
      </c>
      <c r="U175" s="251">
        <f>SUM(T175,L175)</f>
        <v>1</v>
      </c>
      <c r="V175" s="252" t="b">
        <f>IF(T175&gt;0,T175/U175,)</f>
        <v>0</v>
      </c>
    </row>
    <row r="176" spans="1:22" customHeight="1" ht="18">
      <c r="A176" s="410" t="s">
        <v>308</v>
      </c>
      <c r="B176" s="411"/>
      <c r="C176" s="411"/>
      <c r="D176" s="411"/>
      <c r="E176" s="411"/>
      <c r="F176" s="411"/>
      <c r="G176" s="411"/>
      <c r="H176" s="411"/>
      <c r="I176" s="411"/>
      <c r="J176" s="411"/>
      <c r="K176" s="411"/>
      <c r="L176" s="411"/>
      <c r="M176" s="411"/>
      <c r="N176" s="411"/>
      <c r="O176" s="411"/>
      <c r="P176" s="411"/>
      <c r="Q176" s="411"/>
      <c r="R176" s="411"/>
      <c r="S176" s="411"/>
      <c r="T176" s="411"/>
      <c r="U176" s="411"/>
      <c r="V176" s="412"/>
    </row>
    <row r="177" spans="1:22">
      <c r="A177" s="272" t="s">
        <v>165</v>
      </c>
      <c r="B177" s="413" t="s">
        <v>166</v>
      </c>
      <c r="C177" s="413"/>
      <c r="D177" s="414"/>
      <c r="E177" s="259">
        <v>0</v>
      </c>
      <c r="F177" s="260">
        <v>2</v>
      </c>
      <c r="G177" s="260">
        <v>0</v>
      </c>
      <c r="H177" s="260">
        <v>0</v>
      </c>
      <c r="I177" s="260">
        <v>0</v>
      </c>
      <c r="J177" s="260">
        <v>0</v>
      </c>
      <c r="K177" s="261">
        <v>0</v>
      </c>
      <c r="L177" s="256">
        <v>2</v>
      </c>
      <c r="M177" s="236">
        <v>1</v>
      </c>
      <c r="N177" s="237">
        <v>0</v>
      </c>
      <c r="O177" s="237">
        <v>0</v>
      </c>
      <c r="P177" s="237">
        <v>0</v>
      </c>
      <c r="Q177" s="237">
        <v>0</v>
      </c>
      <c r="R177" s="237">
        <v>0</v>
      </c>
      <c r="S177" s="238">
        <v>0</v>
      </c>
      <c r="T177" s="256">
        <v>1</v>
      </c>
      <c r="U177" s="265">
        <v>3</v>
      </c>
      <c r="V177" s="266" t="s">
        <v>269</v>
      </c>
    </row>
    <row r="178" spans="1:22" customHeight="1" ht="15">
      <c r="A178" s="272"/>
      <c r="B178" s="408"/>
      <c r="C178" s="408"/>
      <c r="D178" s="409"/>
      <c r="E178" s="259"/>
      <c r="F178" s="260"/>
      <c r="G178" s="260"/>
      <c r="H178" s="260"/>
      <c r="I178" s="260"/>
      <c r="J178" s="260"/>
      <c r="K178" s="261"/>
      <c r="L178" s="229">
        <f>SUM(E178:K178)</f>
        <v>0</v>
      </c>
      <c r="M178" s="240"/>
      <c r="N178" s="241"/>
      <c r="O178" s="241"/>
      <c r="P178" s="241"/>
      <c r="Q178" s="241"/>
      <c r="R178" s="241"/>
      <c r="S178" s="242"/>
      <c r="T178" s="229">
        <f>SUM(M178:S178)</f>
        <v>0</v>
      </c>
      <c r="U178" s="239">
        <f>SUM(T178,L178)</f>
        <v>0</v>
      </c>
      <c r="V178" s="235" t="b">
        <f>IF(T178&gt;0,T178/U178,)</f>
        <v>0</v>
      </c>
    </row>
    <row r="179" spans="1:22" customHeight="1" ht="15">
      <c r="A179" s="244" t="s">
        <v>265</v>
      </c>
      <c r="B179" s="245"/>
      <c r="C179" s="245"/>
      <c r="D179" s="245"/>
      <c r="E179" s="246">
        <f>SUM(E177:E178)</f>
        <v>0</v>
      </c>
      <c r="F179" s="246">
        <f>SUM(F177:F178)</f>
        <v>2</v>
      </c>
      <c r="G179" s="247">
        <f>SUM(G177:G178)</f>
        <v>0</v>
      </c>
      <c r="H179" s="246">
        <f>SUM(H177:H178)</f>
        <v>0</v>
      </c>
      <c r="I179" s="246">
        <f>SUM(I177:I178)</f>
        <v>0</v>
      </c>
      <c r="J179" s="247">
        <f>SUM(H179:I179)</f>
        <v>0</v>
      </c>
      <c r="K179" s="247">
        <f>SUM(I179:J179)</f>
        <v>0</v>
      </c>
      <c r="L179" s="248">
        <f>SUM(E179:K179)</f>
        <v>2</v>
      </c>
      <c r="M179" s="249">
        <f>SUM(M177:M178)</f>
        <v>1</v>
      </c>
      <c r="N179" s="246">
        <f>SUM(N177:N178)</f>
        <v>0</v>
      </c>
      <c r="O179" s="246">
        <f>SUM(O177:O178)</f>
        <v>0</v>
      </c>
      <c r="P179" s="246">
        <f>SUM(P177:P178)</f>
        <v>0</v>
      </c>
      <c r="Q179" s="246">
        <f>SUM(Q177:Q178)</f>
        <v>0</v>
      </c>
      <c r="R179" s="246">
        <f>SUM(R177:R178)</f>
        <v>0</v>
      </c>
      <c r="S179" s="250">
        <f>SUM(S177:S178)</f>
        <v>0</v>
      </c>
      <c r="T179" s="248">
        <f>SUM(M179:S179)</f>
        <v>1</v>
      </c>
      <c r="U179" s="251">
        <f>SUM(T179,L179)</f>
        <v>3</v>
      </c>
      <c r="V179" s="252">
        <f>IF(T179&gt;0,T179/U179,)</f>
        <v>0.33333333333333</v>
      </c>
    </row>
    <row r="180" spans="1:22" customHeight="1" ht="18">
      <c r="A180" s="410" t="s">
        <v>309</v>
      </c>
      <c r="B180" s="411"/>
      <c r="C180" s="411"/>
      <c r="D180" s="411"/>
      <c r="E180" s="411"/>
      <c r="F180" s="411"/>
      <c r="G180" s="411"/>
      <c r="H180" s="411"/>
      <c r="I180" s="411"/>
      <c r="J180" s="411"/>
      <c r="K180" s="411"/>
      <c r="L180" s="411"/>
      <c r="M180" s="411"/>
      <c r="N180" s="411"/>
      <c r="O180" s="411"/>
      <c r="P180" s="411"/>
      <c r="Q180" s="411"/>
      <c r="R180" s="411"/>
      <c r="S180" s="411"/>
      <c r="T180" s="411"/>
      <c r="U180" s="411"/>
      <c r="V180" s="412"/>
    </row>
    <row r="181" spans="1:22">
      <c r="A181" s="272" t="s">
        <v>149</v>
      </c>
      <c r="B181" s="413" t="s">
        <v>150</v>
      </c>
      <c r="C181" s="413"/>
      <c r="D181" s="414"/>
      <c r="E181" s="259">
        <v>1</v>
      </c>
      <c r="F181" s="260">
        <v>1</v>
      </c>
      <c r="G181" s="260">
        <v>0</v>
      </c>
      <c r="H181" s="260">
        <v>0</v>
      </c>
      <c r="I181" s="260">
        <v>0</v>
      </c>
      <c r="J181" s="260">
        <v>0</v>
      </c>
      <c r="K181" s="261">
        <v>0</v>
      </c>
      <c r="L181" s="256">
        <v>2</v>
      </c>
      <c r="M181" s="236">
        <v>0</v>
      </c>
      <c r="N181" s="237">
        <v>0</v>
      </c>
      <c r="O181" s="237">
        <v>0</v>
      </c>
      <c r="P181" s="237">
        <v>0</v>
      </c>
      <c r="Q181" s="237">
        <v>0</v>
      </c>
      <c r="R181" s="237">
        <v>0</v>
      </c>
      <c r="S181" s="238">
        <v>0</v>
      </c>
      <c r="T181" s="256">
        <v>0</v>
      </c>
      <c r="U181" s="265">
        <v>2</v>
      </c>
      <c r="V181" s="266" t="s">
        <v>220</v>
      </c>
    </row>
    <row r="182" spans="1:22" customHeight="1" ht="15">
      <c r="A182" s="272"/>
      <c r="B182" s="408"/>
      <c r="C182" s="408"/>
      <c r="D182" s="409"/>
      <c r="E182" s="259"/>
      <c r="F182" s="260"/>
      <c r="G182" s="260"/>
      <c r="H182" s="260"/>
      <c r="I182" s="260"/>
      <c r="J182" s="260"/>
      <c r="K182" s="261"/>
      <c r="L182" s="229">
        <f>SUM(E182:K182)</f>
        <v>0</v>
      </c>
      <c r="M182" s="240"/>
      <c r="N182" s="241"/>
      <c r="O182" s="241"/>
      <c r="P182" s="241"/>
      <c r="Q182" s="241"/>
      <c r="R182" s="241"/>
      <c r="S182" s="242"/>
      <c r="T182" s="229">
        <f>SUM(M182:S182)</f>
        <v>0</v>
      </c>
      <c r="U182" s="239">
        <f>SUM(T182,L182)</f>
        <v>0</v>
      </c>
      <c r="V182" s="235" t="b">
        <f>IF(T182&gt;0,T182/U182,)</f>
        <v>0</v>
      </c>
    </row>
    <row r="183" spans="1:22" customHeight="1" ht="15">
      <c r="A183" s="244" t="s">
        <v>265</v>
      </c>
      <c r="B183" s="245"/>
      <c r="C183" s="245"/>
      <c r="D183" s="245"/>
      <c r="E183" s="246">
        <f>SUM(E181:E182)</f>
        <v>1</v>
      </c>
      <c r="F183" s="246">
        <f>SUM(F181:F182)</f>
        <v>1</v>
      </c>
      <c r="G183" s="247">
        <f>SUM(G181:G182)</f>
        <v>0</v>
      </c>
      <c r="H183" s="246">
        <f>SUM(H181:H182)</f>
        <v>0</v>
      </c>
      <c r="I183" s="246">
        <f>SUM(I181:I182)</f>
        <v>0</v>
      </c>
      <c r="J183" s="247">
        <f>SUM(H183:I183)</f>
        <v>0</v>
      </c>
      <c r="K183" s="247">
        <f>SUM(I183:J183)</f>
        <v>0</v>
      </c>
      <c r="L183" s="248">
        <f>SUM(E183:K183)</f>
        <v>2</v>
      </c>
      <c r="M183" s="249">
        <f>SUM(M181:M182)</f>
        <v>0</v>
      </c>
      <c r="N183" s="246">
        <f>SUM(N181:N182)</f>
        <v>0</v>
      </c>
      <c r="O183" s="246">
        <f>SUM(O181:O182)</f>
        <v>0</v>
      </c>
      <c r="P183" s="246">
        <f>SUM(P181:P182)</f>
        <v>0</v>
      </c>
      <c r="Q183" s="246">
        <f>SUM(Q181:Q182)</f>
        <v>0</v>
      </c>
      <c r="R183" s="246">
        <f>SUM(R181:R182)</f>
        <v>0</v>
      </c>
      <c r="S183" s="250">
        <f>SUM(S181:S182)</f>
        <v>0</v>
      </c>
      <c r="T183" s="248">
        <f>SUM(M183:S183)</f>
        <v>0</v>
      </c>
      <c r="U183" s="251">
        <f>SUM(T183,L183)</f>
        <v>2</v>
      </c>
      <c r="V183" s="252" t="b">
        <f>IF(T183&gt;0,T183/U183,)</f>
        <v>0</v>
      </c>
    </row>
    <row r="184" spans="1:22" customHeight="1" ht="18">
      <c r="A184" s="410" t="s">
        <v>310</v>
      </c>
      <c r="B184" s="411"/>
      <c r="C184" s="411"/>
      <c r="D184" s="411"/>
      <c r="E184" s="411"/>
      <c r="F184" s="411"/>
      <c r="G184" s="411"/>
      <c r="H184" s="411"/>
      <c r="I184" s="411"/>
      <c r="J184" s="411"/>
      <c r="K184" s="411"/>
      <c r="L184" s="411"/>
      <c r="M184" s="411"/>
      <c r="N184" s="411"/>
      <c r="O184" s="411"/>
      <c r="P184" s="411"/>
      <c r="Q184" s="411"/>
      <c r="R184" s="411"/>
      <c r="S184" s="411"/>
      <c r="T184" s="411"/>
      <c r="U184" s="411"/>
      <c r="V184" s="412"/>
    </row>
    <row r="185" spans="1:22">
      <c r="A185" s="272" t="s">
        <v>311</v>
      </c>
      <c r="B185" s="413" t="s">
        <v>312</v>
      </c>
      <c r="C185" s="413"/>
      <c r="D185" s="414"/>
      <c r="E185" s="259">
        <v>1</v>
      </c>
      <c r="F185" s="260">
        <v>0</v>
      </c>
      <c r="G185" s="260">
        <v>0</v>
      </c>
      <c r="H185" s="260">
        <v>0</v>
      </c>
      <c r="I185" s="260">
        <v>0</v>
      </c>
      <c r="J185" s="260">
        <v>0</v>
      </c>
      <c r="K185" s="261">
        <v>0</v>
      </c>
      <c r="L185" s="256">
        <v>1</v>
      </c>
      <c r="M185" s="236">
        <v>0</v>
      </c>
      <c r="N185" s="237">
        <v>0</v>
      </c>
      <c r="O185" s="237">
        <v>0</v>
      </c>
      <c r="P185" s="237">
        <v>0</v>
      </c>
      <c r="Q185" s="237">
        <v>0</v>
      </c>
      <c r="R185" s="237">
        <v>0</v>
      </c>
      <c r="S185" s="238">
        <v>0</v>
      </c>
      <c r="T185" s="256">
        <v>0</v>
      </c>
      <c r="U185" s="265">
        <v>1</v>
      </c>
      <c r="V185" s="266" t="s">
        <v>220</v>
      </c>
    </row>
    <row r="186" spans="1:22" customHeight="1" ht="15">
      <c r="A186" s="272"/>
      <c r="B186" s="408"/>
      <c r="C186" s="408"/>
      <c r="D186" s="409"/>
      <c r="E186" s="259"/>
      <c r="F186" s="260"/>
      <c r="G186" s="260"/>
      <c r="H186" s="260"/>
      <c r="I186" s="260"/>
      <c r="J186" s="260"/>
      <c r="K186" s="261"/>
      <c r="L186" s="229">
        <f>SUM(E186:K186)</f>
        <v>0</v>
      </c>
      <c r="M186" s="240"/>
      <c r="N186" s="241"/>
      <c r="O186" s="241"/>
      <c r="P186" s="241"/>
      <c r="Q186" s="241"/>
      <c r="R186" s="241"/>
      <c r="S186" s="242"/>
      <c r="T186" s="229">
        <f>SUM(M186:S186)</f>
        <v>0</v>
      </c>
      <c r="U186" s="239">
        <f>SUM(T186,L186)</f>
        <v>0</v>
      </c>
      <c r="V186" s="235" t="b">
        <f>IF(T186&gt;0,T186/U186,)</f>
        <v>0</v>
      </c>
    </row>
    <row r="187" spans="1:22" customHeight="1" ht="15">
      <c r="A187" s="244" t="s">
        <v>265</v>
      </c>
      <c r="B187" s="245"/>
      <c r="C187" s="245"/>
      <c r="D187" s="245"/>
      <c r="E187" s="246">
        <f>SUM(E185:E186)</f>
        <v>1</v>
      </c>
      <c r="F187" s="246">
        <f>SUM(F185:F186)</f>
        <v>0</v>
      </c>
      <c r="G187" s="247">
        <f>SUM(G185:G186)</f>
        <v>0</v>
      </c>
      <c r="H187" s="246">
        <f>SUM(H185:H186)</f>
        <v>0</v>
      </c>
      <c r="I187" s="246">
        <f>SUM(I185:I186)</f>
        <v>0</v>
      </c>
      <c r="J187" s="247">
        <f>SUM(H187:I187)</f>
        <v>0</v>
      </c>
      <c r="K187" s="247">
        <f>SUM(I187:J187)</f>
        <v>0</v>
      </c>
      <c r="L187" s="248">
        <f>SUM(E187:K187)</f>
        <v>1</v>
      </c>
      <c r="M187" s="249">
        <f>SUM(M185:M186)</f>
        <v>0</v>
      </c>
      <c r="N187" s="246">
        <f>SUM(N185:N186)</f>
        <v>0</v>
      </c>
      <c r="O187" s="246">
        <f>SUM(O185:O186)</f>
        <v>0</v>
      </c>
      <c r="P187" s="246">
        <f>SUM(P185:P186)</f>
        <v>0</v>
      </c>
      <c r="Q187" s="246">
        <f>SUM(Q185:Q186)</f>
        <v>0</v>
      </c>
      <c r="R187" s="246">
        <f>SUM(R185:R186)</f>
        <v>0</v>
      </c>
      <c r="S187" s="250">
        <f>SUM(S185:S186)</f>
        <v>0</v>
      </c>
      <c r="T187" s="248">
        <f>SUM(M187:S187)</f>
        <v>0</v>
      </c>
      <c r="U187" s="251">
        <f>SUM(T187,L187)</f>
        <v>1</v>
      </c>
      <c r="V187" s="252" t="b">
        <f>IF(T187&gt;0,T187/U187,)</f>
        <v>0</v>
      </c>
    </row>
    <row r="188" spans="1:22" customHeight="1" ht="18">
      <c r="A188" s="410" t="s">
        <v>313</v>
      </c>
      <c r="B188" s="411"/>
      <c r="C188" s="411"/>
      <c r="D188" s="411"/>
      <c r="E188" s="411"/>
      <c r="F188" s="411"/>
      <c r="G188" s="411"/>
      <c r="H188" s="411"/>
      <c r="I188" s="411"/>
      <c r="J188" s="411"/>
      <c r="K188" s="411"/>
      <c r="L188" s="411"/>
      <c r="M188" s="411"/>
      <c r="N188" s="411"/>
      <c r="O188" s="411"/>
      <c r="P188" s="411"/>
      <c r="Q188" s="411"/>
      <c r="R188" s="411"/>
      <c r="S188" s="411"/>
      <c r="T188" s="411"/>
      <c r="U188" s="411"/>
      <c r="V188" s="412"/>
    </row>
    <row r="189" spans="1:22">
      <c r="A189" s="272" t="s">
        <v>184</v>
      </c>
      <c r="B189" s="413" t="s">
        <v>185</v>
      </c>
      <c r="C189" s="413"/>
      <c r="D189" s="414"/>
      <c r="E189" s="259">
        <v>0</v>
      </c>
      <c r="F189" s="260">
        <v>0</v>
      </c>
      <c r="G189" s="260">
        <v>0</v>
      </c>
      <c r="H189" s="260">
        <v>0</v>
      </c>
      <c r="I189" s="260">
        <v>0</v>
      </c>
      <c r="J189" s="260">
        <v>0</v>
      </c>
      <c r="K189" s="261">
        <v>0</v>
      </c>
      <c r="L189" s="256">
        <v>0</v>
      </c>
      <c r="M189" s="236">
        <v>0</v>
      </c>
      <c r="N189" s="237">
        <v>1</v>
      </c>
      <c r="O189" s="237">
        <v>0</v>
      </c>
      <c r="P189" s="237">
        <v>0</v>
      </c>
      <c r="Q189" s="237">
        <v>0</v>
      </c>
      <c r="R189" s="237">
        <v>0</v>
      </c>
      <c r="S189" s="238">
        <v>0</v>
      </c>
      <c r="T189" s="256">
        <v>1</v>
      </c>
      <c r="U189" s="265">
        <v>1</v>
      </c>
      <c r="V189" s="266" t="s">
        <v>219</v>
      </c>
    </row>
    <row r="190" spans="1:22" customHeight="1" ht="15">
      <c r="A190" s="272"/>
      <c r="B190" s="408"/>
      <c r="C190" s="408"/>
      <c r="D190" s="409"/>
      <c r="E190" s="259"/>
      <c r="F190" s="260"/>
      <c r="G190" s="260"/>
      <c r="H190" s="260"/>
      <c r="I190" s="260"/>
      <c r="J190" s="260"/>
      <c r="K190" s="261"/>
      <c r="L190" s="229">
        <f>SUM(E190:K190)</f>
        <v>0</v>
      </c>
      <c r="M190" s="240"/>
      <c r="N190" s="241"/>
      <c r="O190" s="241"/>
      <c r="P190" s="241"/>
      <c r="Q190" s="241"/>
      <c r="R190" s="241"/>
      <c r="S190" s="242"/>
      <c r="T190" s="229">
        <f>SUM(M190:S190)</f>
        <v>0</v>
      </c>
      <c r="U190" s="239">
        <f>SUM(T190,L190)</f>
        <v>0</v>
      </c>
      <c r="V190" s="235" t="b">
        <f>IF(T190&gt;0,T190/U190,)</f>
        <v>0</v>
      </c>
    </row>
    <row r="191" spans="1:22" customHeight="1" ht="15">
      <c r="A191" s="244" t="s">
        <v>265</v>
      </c>
      <c r="B191" s="245"/>
      <c r="C191" s="245"/>
      <c r="D191" s="245"/>
      <c r="E191" s="246">
        <f>SUM(E189:E190)</f>
        <v>0</v>
      </c>
      <c r="F191" s="246">
        <f>SUM(F189:F190)</f>
        <v>0</v>
      </c>
      <c r="G191" s="247">
        <f>SUM(G189:G190)</f>
        <v>0</v>
      </c>
      <c r="H191" s="246">
        <f>SUM(H189:H190)</f>
        <v>0</v>
      </c>
      <c r="I191" s="246">
        <f>SUM(I189:I190)</f>
        <v>0</v>
      </c>
      <c r="J191" s="247">
        <f>SUM(H191:I191)</f>
        <v>0</v>
      </c>
      <c r="K191" s="247">
        <f>SUM(I191:J191)</f>
        <v>0</v>
      </c>
      <c r="L191" s="248">
        <f>SUM(E191:K191)</f>
        <v>0</v>
      </c>
      <c r="M191" s="249">
        <f>SUM(M189:M190)</f>
        <v>0</v>
      </c>
      <c r="N191" s="246">
        <f>SUM(N189:N190)</f>
        <v>1</v>
      </c>
      <c r="O191" s="246">
        <f>SUM(O189:O190)</f>
        <v>0</v>
      </c>
      <c r="P191" s="246">
        <f>SUM(P189:P190)</f>
        <v>0</v>
      </c>
      <c r="Q191" s="246">
        <f>SUM(Q189:Q190)</f>
        <v>0</v>
      </c>
      <c r="R191" s="246">
        <f>SUM(R189:R190)</f>
        <v>0</v>
      </c>
      <c r="S191" s="250">
        <f>SUM(S189:S190)</f>
        <v>0</v>
      </c>
      <c r="T191" s="248">
        <f>SUM(M191:S191)</f>
        <v>1</v>
      </c>
      <c r="U191" s="251">
        <f>SUM(T191,L191)</f>
        <v>1</v>
      </c>
      <c r="V191" s="252">
        <f>IF(T191&gt;0,T191/U191,)</f>
        <v>1</v>
      </c>
    </row>
    <row r="192" spans="1:22" customHeight="1" ht="18">
      <c r="A192" s="410" t="s">
        <v>314</v>
      </c>
      <c r="B192" s="411"/>
      <c r="C192" s="411"/>
      <c r="D192" s="411"/>
      <c r="E192" s="411"/>
      <c r="F192" s="411"/>
      <c r="G192" s="411"/>
      <c r="H192" s="411"/>
      <c r="I192" s="411"/>
      <c r="J192" s="411"/>
      <c r="K192" s="411"/>
      <c r="L192" s="411"/>
      <c r="M192" s="411"/>
      <c r="N192" s="411"/>
      <c r="O192" s="411"/>
      <c r="P192" s="411"/>
      <c r="Q192" s="411"/>
      <c r="R192" s="411"/>
      <c r="S192" s="411"/>
      <c r="T192" s="411"/>
      <c r="U192" s="411"/>
      <c r="V192" s="412"/>
    </row>
    <row r="193" spans="1:22">
      <c r="A193" s="272" t="s">
        <v>203</v>
      </c>
      <c r="B193" s="413" t="s">
        <v>204</v>
      </c>
      <c r="C193" s="413"/>
      <c r="D193" s="414"/>
      <c r="E193" s="259">
        <v>1</v>
      </c>
      <c r="F193" s="260">
        <v>1</v>
      </c>
      <c r="G193" s="260">
        <v>0</v>
      </c>
      <c r="H193" s="260">
        <v>0</v>
      </c>
      <c r="I193" s="260">
        <v>0</v>
      </c>
      <c r="J193" s="260">
        <v>0</v>
      </c>
      <c r="K193" s="261">
        <v>0</v>
      </c>
      <c r="L193" s="256">
        <v>2</v>
      </c>
      <c r="M193" s="236">
        <v>0</v>
      </c>
      <c r="N193" s="237">
        <v>0</v>
      </c>
      <c r="O193" s="237">
        <v>0</v>
      </c>
      <c r="P193" s="237">
        <v>0</v>
      </c>
      <c r="Q193" s="237">
        <v>0</v>
      </c>
      <c r="R193" s="237">
        <v>0</v>
      </c>
      <c r="S193" s="238">
        <v>0</v>
      </c>
      <c r="T193" s="256">
        <v>0</v>
      </c>
      <c r="U193" s="265">
        <v>2</v>
      </c>
      <c r="V193" s="266" t="s">
        <v>220</v>
      </c>
    </row>
    <row r="194" spans="1:22" customHeight="1" ht="15">
      <c r="A194" s="272"/>
      <c r="B194" s="408"/>
      <c r="C194" s="408"/>
      <c r="D194" s="409"/>
      <c r="E194" s="259"/>
      <c r="F194" s="260"/>
      <c r="G194" s="260"/>
      <c r="H194" s="260"/>
      <c r="I194" s="260"/>
      <c r="J194" s="260"/>
      <c r="K194" s="261"/>
      <c r="L194" s="229">
        <f>SUM(E194:K194)</f>
        <v>0</v>
      </c>
      <c r="M194" s="240"/>
      <c r="N194" s="241"/>
      <c r="O194" s="241"/>
      <c r="P194" s="241"/>
      <c r="Q194" s="241"/>
      <c r="R194" s="241"/>
      <c r="S194" s="242"/>
      <c r="T194" s="229">
        <f>SUM(M194:S194)</f>
        <v>0</v>
      </c>
      <c r="U194" s="239">
        <f>SUM(T194,L194)</f>
        <v>0</v>
      </c>
      <c r="V194" s="235" t="b">
        <f>IF(T194&gt;0,T194/U194,)</f>
        <v>0</v>
      </c>
    </row>
    <row r="195" spans="1:22" customHeight="1" ht="15">
      <c r="A195" s="244" t="s">
        <v>265</v>
      </c>
      <c r="B195" s="245"/>
      <c r="C195" s="245"/>
      <c r="D195" s="245"/>
      <c r="E195" s="246">
        <f>SUM(E193:E194)</f>
        <v>1</v>
      </c>
      <c r="F195" s="246">
        <f>SUM(F193:F194)</f>
        <v>1</v>
      </c>
      <c r="G195" s="247">
        <f>SUM(G193:G194)</f>
        <v>0</v>
      </c>
      <c r="H195" s="246">
        <f>SUM(H193:H194)</f>
        <v>0</v>
      </c>
      <c r="I195" s="246">
        <f>SUM(I193:I194)</f>
        <v>0</v>
      </c>
      <c r="J195" s="247">
        <f>SUM(H195:I195)</f>
        <v>0</v>
      </c>
      <c r="K195" s="247">
        <f>SUM(I195:J195)</f>
        <v>0</v>
      </c>
      <c r="L195" s="248">
        <f>SUM(E195:K195)</f>
        <v>2</v>
      </c>
      <c r="M195" s="249">
        <f>SUM(M193:M194)</f>
        <v>0</v>
      </c>
      <c r="N195" s="246">
        <f>SUM(N193:N194)</f>
        <v>0</v>
      </c>
      <c r="O195" s="246">
        <f>SUM(O193:O194)</f>
        <v>0</v>
      </c>
      <c r="P195" s="246">
        <f>SUM(P193:P194)</f>
        <v>0</v>
      </c>
      <c r="Q195" s="246">
        <f>SUM(Q193:Q194)</f>
        <v>0</v>
      </c>
      <c r="R195" s="246">
        <f>SUM(R193:R194)</f>
        <v>0</v>
      </c>
      <c r="S195" s="250">
        <f>SUM(S193:S194)</f>
        <v>0</v>
      </c>
      <c r="T195" s="248">
        <f>SUM(M195:S195)</f>
        <v>0</v>
      </c>
      <c r="U195" s="251">
        <f>SUM(T195,L195)</f>
        <v>2</v>
      </c>
      <c r="V195" s="252" t="b">
        <f>IF(T195&gt;0,T195/U195,)</f>
        <v>0</v>
      </c>
    </row>
    <row r="196" spans="1:22" customHeight="1" ht="18.5">
      <c r="A196" s="288" t="s">
        <v>296</v>
      </c>
      <c r="B196" s="312"/>
      <c r="C196" s="312"/>
      <c r="D196" s="313"/>
      <c r="E196" s="314">
        <f>SUM(E167,E171,E179,E183,E187,E191,E195)</f>
        <v>6</v>
      </c>
      <c r="F196" s="314">
        <f>SUM(F179,F171,F167,F183,F187,F195)</f>
        <v>5</v>
      </c>
      <c r="G196" s="314">
        <f>SUM(G167,G171,G175,G179,G183,G187,G191,G195)</f>
        <v>0</v>
      </c>
      <c r="H196" s="314">
        <f>SUM(H167,H171,H175,H179,H187,H191,H195)</f>
        <v>0</v>
      </c>
      <c r="I196" s="314">
        <f>SUM(I167,I171,I179,I175,I183,I187,I191,I195)</f>
        <v>0</v>
      </c>
      <c r="J196" s="314">
        <f>SUM(J167,J171,J175,J179,J187,J191,J195)</f>
        <v>0</v>
      </c>
      <c r="K196" s="314">
        <f>SUM(K167,K171,K175,K179,K187,K191,K195)</f>
        <v>0</v>
      </c>
      <c r="L196" s="248">
        <f>SUM(L167,L171,L175,L179,L183,L187,L191,L195)</f>
        <v>12</v>
      </c>
      <c r="M196" s="315">
        <f>SUM(M167,M171,M175,M179,M183,M187,M191,M195)</f>
        <v>1</v>
      </c>
      <c r="N196" s="315">
        <f>SUM(N167,N171,N175,N179,N183,N187,N191,N195)</f>
        <v>1</v>
      </c>
      <c r="O196" s="315">
        <f>SUM(O167,O171,O175,O179,O183,O187,O191,O195)</f>
        <v>0</v>
      </c>
      <c r="P196" s="315">
        <f>SUM(P167,P171,P175,P179,P183,P187,P191,P195)</f>
        <v>0</v>
      </c>
      <c r="Q196" s="315">
        <f>SUM(Q167,Q171,Q175,Q179,Q183,Q187,Q191,Q195)</f>
        <v>0</v>
      </c>
      <c r="R196" s="315">
        <f>SUM(R167,R171,R175,R179,R183,R187,R191,R195)</f>
        <v>0</v>
      </c>
      <c r="S196" s="315">
        <f>SUM(S167,S171,S175,S179,S183,S187,S191,S195)</f>
        <v>0</v>
      </c>
      <c r="T196" s="248">
        <f>SUM(T167,T171,T175,T179,T183,T187,T191,T195)</f>
        <v>2</v>
      </c>
      <c r="U196" s="251">
        <f>SUM(T196,L196)</f>
        <v>14</v>
      </c>
      <c r="V196" s="252">
        <f>IF(T196&gt;0,T196/U196,)</f>
        <v>0.14285714285714</v>
      </c>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row r="298" spans="1:22">
      <c r="A298" s="58"/>
      <c r="B298" s="58"/>
      <c r="C298" s="58"/>
      <c r="D298" s="58"/>
      <c r="E298" s="58"/>
      <c r="F298" s="58"/>
      <c r="G298" s="58"/>
      <c r="H298" s="58"/>
      <c r="I298" s="58"/>
      <c r="J298" s="58"/>
      <c r="K298" s="58"/>
      <c r="L298" s="58"/>
      <c r="M298" s="58"/>
      <c r="N298" s="58"/>
      <c r="O298" s="58"/>
      <c r="P298" s="58"/>
      <c r="Q298" s="58"/>
      <c r="R298" s="58"/>
      <c r="S298" s="58"/>
      <c r="T298" s="58"/>
      <c r="U298" s="58"/>
      <c r="V298" s="58"/>
    </row>
    <row r="299" spans="1:22">
      <c r="A299" s="58"/>
      <c r="B299" s="58"/>
      <c r="C299" s="58"/>
      <c r="D299" s="58"/>
      <c r="E299" s="58"/>
      <c r="F299" s="58"/>
      <c r="G299" s="58"/>
      <c r="H299" s="58"/>
      <c r="I299" s="58"/>
      <c r="J299" s="58"/>
      <c r="K299" s="58"/>
      <c r="L299" s="58"/>
      <c r="M299" s="58"/>
      <c r="N299" s="58"/>
      <c r="O299" s="58"/>
      <c r="P299" s="58"/>
      <c r="Q299" s="58"/>
      <c r="R299" s="58"/>
      <c r="S299" s="58"/>
      <c r="T299" s="58"/>
      <c r="U299" s="58"/>
      <c r="V299" s="58"/>
    </row>
    <row r="300" spans="1:22">
      <c r="A300" s="58"/>
      <c r="B300" s="58"/>
      <c r="C300" s="58"/>
      <c r="D300" s="58"/>
      <c r="E300" s="58"/>
      <c r="F300" s="58"/>
      <c r="G300" s="58"/>
      <c r="H300" s="58"/>
      <c r="I300" s="58"/>
      <c r="J300" s="58"/>
      <c r="K300" s="58"/>
      <c r="L300" s="58"/>
      <c r="M300" s="58"/>
      <c r="N300" s="58"/>
      <c r="O300" s="58"/>
      <c r="P300" s="58"/>
      <c r="Q300" s="58"/>
      <c r="R300" s="58"/>
      <c r="S300" s="58"/>
      <c r="T300" s="58"/>
      <c r="U300" s="58"/>
      <c r="V300" s="58"/>
    </row>
    <row r="301" spans="1:22">
      <c r="A301" s="58"/>
      <c r="B301" s="58"/>
      <c r="C301" s="58"/>
      <c r="D301" s="58"/>
      <c r="E301" s="58"/>
      <c r="F301" s="58"/>
      <c r="G301" s="58"/>
      <c r="H301" s="58"/>
      <c r="I301" s="58"/>
      <c r="J301" s="58"/>
      <c r="K301" s="58"/>
      <c r="L301" s="58"/>
      <c r="M301" s="58"/>
      <c r="N301" s="58"/>
      <c r="O301" s="58"/>
      <c r="P301" s="58"/>
      <c r="Q301" s="58"/>
      <c r="R301" s="58"/>
      <c r="S301" s="58"/>
      <c r="T301" s="58"/>
      <c r="U301" s="58"/>
      <c r="V301" s="58"/>
    </row>
    <row r="302" spans="1:22">
      <c r="A302" s="58"/>
      <c r="B302" s="58"/>
      <c r="C302" s="58"/>
      <c r="D302" s="58"/>
      <c r="E302" s="58"/>
      <c r="F302" s="58"/>
      <c r="G302" s="58"/>
      <c r="H302" s="58"/>
      <c r="I302" s="58"/>
      <c r="J302" s="58"/>
      <c r="K302" s="58"/>
      <c r="L302" s="58"/>
      <c r="M302" s="58"/>
      <c r="N302" s="58"/>
      <c r="O302" s="58"/>
      <c r="P302" s="58"/>
      <c r="Q302" s="58"/>
      <c r="R302" s="58"/>
      <c r="S302" s="58"/>
      <c r="T302" s="58"/>
      <c r="U302" s="58"/>
      <c r="V302" s="58"/>
    </row>
    <row r="303" spans="1:22">
      <c r="A303" s="58"/>
      <c r="B303" s="58"/>
      <c r="C303" s="58"/>
      <c r="D303" s="58"/>
      <c r="E303" s="58"/>
      <c r="F303" s="58"/>
      <c r="G303" s="58"/>
      <c r="H303" s="58"/>
      <c r="I303" s="58"/>
      <c r="J303" s="58"/>
      <c r="K303" s="58"/>
      <c r="L303" s="58"/>
      <c r="M303" s="58"/>
      <c r="N303" s="58"/>
      <c r="O303" s="58"/>
      <c r="P303" s="58"/>
      <c r="Q303" s="58"/>
      <c r="R303" s="58"/>
      <c r="S303" s="58"/>
      <c r="T303" s="58"/>
      <c r="U303" s="58"/>
      <c r="V303" s="58"/>
    </row>
    <row r="304" spans="1:22">
      <c r="A304" s="58"/>
      <c r="B304" s="58"/>
      <c r="C304" s="58"/>
      <c r="D304" s="58"/>
      <c r="E304" s="58"/>
      <c r="F304" s="58"/>
      <c r="G304" s="58"/>
      <c r="H304" s="58"/>
      <c r="I304" s="58"/>
      <c r="J304" s="58"/>
      <c r="K304" s="58"/>
      <c r="L304" s="58"/>
      <c r="M304" s="58"/>
      <c r="N304" s="58"/>
      <c r="O304" s="58"/>
      <c r="P304" s="58"/>
      <c r="Q304" s="58"/>
      <c r="R304" s="58"/>
      <c r="S304" s="58"/>
      <c r="T304" s="58"/>
      <c r="U304" s="58"/>
      <c r="V304"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20:D20"/>
    <mergeCell ref="A15:V15"/>
    <mergeCell ref="B16:D16"/>
    <mergeCell ref="B19:D19"/>
    <mergeCell ref="A14:D14"/>
    <mergeCell ref="E14:K14"/>
    <mergeCell ref="M14:S14"/>
    <mergeCell ref="B40:D40"/>
    <mergeCell ref="B36:D36"/>
    <mergeCell ref="B37:D37"/>
    <mergeCell ref="A38:D38"/>
    <mergeCell ref="A39:V39"/>
    <mergeCell ref="B27:D27"/>
    <mergeCell ref="B29:D29"/>
    <mergeCell ref="A21:V21"/>
    <mergeCell ref="B24:D24"/>
    <mergeCell ref="A26:V26"/>
    <mergeCell ref="A25:D25"/>
    <mergeCell ref="B22:D22"/>
    <mergeCell ref="B32:D32"/>
    <mergeCell ref="B33:D33"/>
    <mergeCell ref="A35:V35"/>
    <mergeCell ref="A30:D30"/>
    <mergeCell ref="A31:V31"/>
    <mergeCell ref="B59:D59"/>
    <mergeCell ref="A61:V61"/>
    <mergeCell ref="B64:D64"/>
    <mergeCell ref="A66:V66"/>
    <mergeCell ref="B62:D62"/>
    <mergeCell ref="B51:D51"/>
    <mergeCell ref="A52:D52"/>
    <mergeCell ref="A53:V53"/>
    <mergeCell ref="B55:D55"/>
    <mergeCell ref="A57:V57"/>
    <mergeCell ref="B58:D58"/>
    <mergeCell ref="B54:D54"/>
    <mergeCell ref="A48:V48"/>
    <mergeCell ref="B49:D49"/>
    <mergeCell ref="B42:D42"/>
    <mergeCell ref="A43:D43"/>
    <mergeCell ref="A44:V44"/>
    <mergeCell ref="B45:D45"/>
    <mergeCell ref="B46:D46"/>
    <mergeCell ref="B81:D81"/>
    <mergeCell ref="B77:D77"/>
    <mergeCell ref="B78:D78"/>
    <mergeCell ref="A80:V80"/>
    <mergeCell ref="A76:V76"/>
    <mergeCell ref="B72:D72"/>
    <mergeCell ref="B74:D74"/>
    <mergeCell ref="B67:D67"/>
    <mergeCell ref="B69:D69"/>
    <mergeCell ref="A71:V71"/>
    <mergeCell ref="A93:D93"/>
    <mergeCell ref="E93:K93"/>
    <mergeCell ref="M93:S93"/>
    <mergeCell ref="A94:V94"/>
    <mergeCell ref="B95:D95"/>
    <mergeCell ref="B82:D82"/>
    <mergeCell ref="A83:D83"/>
    <mergeCell ref="A90:V90"/>
    <mergeCell ref="E91:K91"/>
    <mergeCell ref="M91:S91"/>
    <mergeCell ref="A102:V102"/>
    <mergeCell ref="A105:D105"/>
    <mergeCell ref="A106:V106"/>
    <mergeCell ref="B107:D107"/>
    <mergeCell ref="B108:D108"/>
    <mergeCell ref="B96:D96"/>
    <mergeCell ref="B99:D99"/>
    <mergeCell ref="B100:D100"/>
    <mergeCell ref="A98:V98"/>
    <mergeCell ref="A101:D101"/>
    <mergeCell ref="B103:D103"/>
    <mergeCell ref="B104:D104"/>
    <mergeCell ref="B119:D119"/>
    <mergeCell ref="A122:V122"/>
    <mergeCell ref="A114:V114"/>
    <mergeCell ref="B115:D115"/>
    <mergeCell ref="B116:D116"/>
    <mergeCell ref="A118:V118"/>
    <mergeCell ref="B111:D111"/>
    <mergeCell ref="B112:D112"/>
    <mergeCell ref="A113:D113"/>
    <mergeCell ref="B131:D131"/>
    <mergeCell ref="A130:V130"/>
    <mergeCell ref="B132:D132"/>
    <mergeCell ref="B124:D124"/>
    <mergeCell ref="B127:D127"/>
    <mergeCell ref="B128:D128"/>
    <mergeCell ref="A125:D125"/>
    <mergeCell ref="A126:V126"/>
    <mergeCell ref="B120:D120"/>
    <mergeCell ref="B123:D123"/>
    <mergeCell ref="A146:V146"/>
    <mergeCell ref="B147:D147"/>
    <mergeCell ref="B148:D148"/>
    <mergeCell ref="B140:D140"/>
    <mergeCell ref="B139:D139"/>
    <mergeCell ref="A142:V142"/>
    <mergeCell ref="B143:D143"/>
    <mergeCell ref="A134:V134"/>
    <mergeCell ref="B135:D135"/>
    <mergeCell ref="B136:D136"/>
    <mergeCell ref="A138:V138"/>
    <mergeCell ref="A110:V110"/>
    <mergeCell ref="A117:D117"/>
    <mergeCell ref="B173:D173"/>
    <mergeCell ref="B174:D174"/>
    <mergeCell ref="B178:D178"/>
    <mergeCell ref="B169:D169"/>
    <mergeCell ref="B170:D170"/>
    <mergeCell ref="B177:D177"/>
    <mergeCell ref="A176:V176"/>
    <mergeCell ref="B166:D166"/>
    <mergeCell ref="A168:V168"/>
    <mergeCell ref="A163:D163"/>
    <mergeCell ref="E163:K163"/>
    <mergeCell ref="M163:S163"/>
    <mergeCell ref="A164:V164"/>
    <mergeCell ref="B165:D165"/>
    <mergeCell ref="A160:V160"/>
    <mergeCell ref="E161:K161"/>
    <mergeCell ref="M161:S161"/>
    <mergeCell ref="A150:V150"/>
    <mergeCell ref="B151:D151"/>
    <mergeCell ref="B152:D152"/>
    <mergeCell ref="A153:D153"/>
    <mergeCell ref="B144:D144"/>
    <mergeCell ref="B190:D190"/>
    <mergeCell ref="A192:V192"/>
    <mergeCell ref="B193:D193"/>
    <mergeCell ref="B194:D194"/>
    <mergeCell ref="A172:V172"/>
    <mergeCell ref="A180:V180"/>
    <mergeCell ref="B181:D181"/>
    <mergeCell ref="B182:D182"/>
    <mergeCell ref="A184:V184"/>
    <mergeCell ref="B185:D185"/>
    <mergeCell ref="B186:D186"/>
    <mergeCell ref="A188:V188"/>
    <mergeCell ref="B189:D189"/>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5" customHeight="1" ht="15">
      <c r="A1" s="333" t="s">
        <v>315</v>
      </c>
      <c r="B1" s="345"/>
      <c r="C1" s="345"/>
      <c r="D1" s="345"/>
      <c r="E1" s="345"/>
      <c r="F1" s="345"/>
      <c r="G1" s="345"/>
      <c r="H1" s="345"/>
      <c r="I1" s="345"/>
      <c r="J1" s="346"/>
      <c r="K1"/>
      <c r="L1"/>
      <c r="M1"/>
      <c r="O1"/>
    </row>
    <row r="2" spans="1:15" customHeight="1" ht="15">
      <c r="A2" s="347"/>
      <c r="B2" s="348"/>
      <c r="C2" s="348"/>
      <c r="D2" s="348"/>
      <c r="E2" s="348"/>
      <c r="F2" s="348"/>
      <c r="G2" s="348"/>
      <c r="H2" s="348"/>
      <c r="I2" s="348"/>
      <c r="J2" s="349"/>
      <c r="K2"/>
      <c r="L2"/>
      <c r="M2"/>
      <c r="O2"/>
    </row>
    <row r="3" spans="1:15" customHeight="1" ht="15">
      <c r="A3" s="509" t="s">
        <v>316</v>
      </c>
      <c r="B3" s="510"/>
      <c r="C3" s="511" t="s">
        <v>250</v>
      </c>
      <c r="D3" s="512"/>
      <c r="E3" s="512"/>
      <c r="F3" s="513"/>
      <c r="G3" s="511"/>
      <c r="H3" s="512"/>
      <c r="I3" s="513"/>
      <c r="J3" s="25"/>
      <c r="K3"/>
      <c r="L3"/>
      <c r="M3"/>
      <c r="O3"/>
    </row>
    <row r="4" spans="1:15">
      <c r="A4" s="509" t="s">
        <v>317</v>
      </c>
      <c r="B4" s="510"/>
      <c r="C4" s="511" t="s">
        <v>252</v>
      </c>
      <c r="D4" s="512"/>
      <c r="E4" s="512"/>
      <c r="F4" s="513"/>
      <c r="G4" s="6"/>
      <c r="H4" s="6"/>
      <c r="I4" s="6"/>
      <c r="J4" s="25"/>
      <c r="K4"/>
      <c r="L4"/>
      <c r="M4"/>
      <c r="O4"/>
    </row>
    <row r="5" spans="1:15">
      <c r="A5" s="509" t="s">
        <v>318</v>
      </c>
      <c r="B5" s="510"/>
      <c r="C5" s="511" t="s">
        <v>254</v>
      </c>
      <c r="D5" s="512"/>
      <c r="E5" s="512"/>
      <c r="F5" s="513"/>
      <c r="G5" s="6"/>
      <c r="H5" s="6"/>
      <c r="I5" s="6"/>
      <c r="J5" s="25"/>
      <c r="K5"/>
      <c r="L5"/>
      <c r="M5"/>
      <c r="O5"/>
    </row>
    <row r="6" spans="1:15">
      <c r="A6" s="509" t="s">
        <v>319</v>
      </c>
      <c r="B6" s="510"/>
      <c r="C6" s="511" t="s">
        <v>320</v>
      </c>
      <c r="D6" s="512"/>
      <c r="E6" s="512"/>
      <c r="F6" s="513"/>
      <c r="G6" s="6"/>
      <c r="H6" s="6"/>
      <c r="I6" s="6"/>
      <c r="J6" s="25"/>
      <c r="K6"/>
      <c r="L6"/>
      <c r="M6"/>
      <c r="O6"/>
    </row>
    <row r="7" spans="1:15" customHeight="1" ht="15">
      <c r="A7" s="23"/>
      <c r="B7" s="24"/>
      <c r="C7" s="24"/>
      <c r="D7" s="24"/>
      <c r="E7" s="24"/>
      <c r="F7" s="24"/>
      <c r="G7" s="24"/>
      <c r="H7" s="24"/>
      <c r="I7" s="24"/>
      <c r="J7" s="26"/>
      <c r="K7"/>
      <c r="L7"/>
      <c r="M7"/>
      <c r="O7"/>
    </row>
    <row r="8" spans="1:15">
      <c r="O8"/>
    </row>
    <row r="9" spans="1:15" customHeight="1" ht="15">
      <c r="O9"/>
    </row>
    <row r="10" spans="1:15" customHeight="1" ht="15.5">
      <c r="A10" s="1"/>
      <c r="B10" s="37" t="s">
        <v>321</v>
      </c>
      <c r="C10" s="38" t="s">
        <v>321</v>
      </c>
      <c r="D10" s="38" t="s">
        <v>321</v>
      </c>
      <c r="E10" s="38" t="s">
        <v>321</v>
      </c>
      <c r="F10" s="38" t="s">
        <v>321</v>
      </c>
      <c r="G10" s="38" t="s">
        <v>321</v>
      </c>
      <c r="H10" s="38" t="s">
        <v>321</v>
      </c>
      <c r="I10" s="38" t="s">
        <v>321</v>
      </c>
      <c r="J10" s="88" t="s">
        <v>321</v>
      </c>
      <c r="K10" s="39"/>
      <c r="L10"/>
      <c r="M10" s="12" t="s">
        <v>322</v>
      </c>
      <c r="N10" s="7"/>
      <c r="O10" s="8"/>
    </row>
    <row r="11" spans="1:15" customHeight="1" ht="15">
      <c r="A11" s="32" t="s">
        <v>323</v>
      </c>
      <c r="B11" s="28" t="s">
        <v>324</v>
      </c>
      <c r="C11" s="28"/>
      <c r="D11" s="28"/>
      <c r="E11" s="28"/>
      <c r="F11" s="28"/>
      <c r="G11" s="28"/>
      <c r="H11" s="28"/>
      <c r="I11" s="28"/>
      <c r="J11" s="28"/>
      <c r="K11" s="40"/>
      <c r="L11"/>
      <c r="M11" s="506" t="s">
        <v>325</v>
      </c>
      <c r="N11" s="334"/>
      <c r="O11" s="20" t="s">
        <v>354</v>
      </c>
    </row>
    <row r="12" spans="1:15">
      <c r="A12" s="15" t="s">
        <v>326</v>
      </c>
      <c r="B12" s="27">
        <v>42</v>
      </c>
      <c r="C12" s="27"/>
      <c r="D12" s="27"/>
      <c r="E12" s="27"/>
      <c r="F12" s="27"/>
      <c r="G12" s="27"/>
      <c r="H12" s="27"/>
      <c r="I12" s="27"/>
      <c r="J12" s="27"/>
      <c r="K12" s="40">
        <f>SUM(B12:J12)</f>
        <v>42</v>
      </c>
      <c r="L12"/>
      <c r="M12" s="507" t="s">
        <v>327</v>
      </c>
      <c r="N12" s="508"/>
      <c r="O12" s="95" t="s">
        <v>355</v>
      </c>
    </row>
    <row r="13" spans="1:15">
      <c r="A13" s="33" t="s">
        <v>328</v>
      </c>
      <c r="B13" s="29" t="s">
        <v>329</v>
      </c>
      <c r="C13" s="29" t="s">
        <v>330</v>
      </c>
      <c r="D13" s="29" t="s">
        <v>331</v>
      </c>
      <c r="E13" s="29" t="s">
        <v>332</v>
      </c>
      <c r="F13" s="29" t="s">
        <v>333</v>
      </c>
      <c r="G13" s="29" t="s">
        <v>334</v>
      </c>
      <c r="H13" s="29" t="s">
        <v>335</v>
      </c>
      <c r="I13" s="29"/>
      <c r="J13" s="29"/>
      <c r="K13" s="40"/>
      <c r="L13"/>
      <c r="M13" s="514" t="s">
        <v>336</v>
      </c>
      <c r="N13" s="515"/>
      <c r="O13" s="96" t="s">
        <v>356</v>
      </c>
    </row>
    <row r="14" spans="1:15">
      <c r="A14" s="34" t="s">
        <v>326</v>
      </c>
      <c r="B14" s="30">
        <v>2</v>
      </c>
      <c r="C14" s="30">
        <v>37</v>
      </c>
      <c r="D14" s="30">
        <v>23</v>
      </c>
      <c r="E14" s="30">
        <v>5</v>
      </c>
      <c r="F14" s="30">
        <v>18</v>
      </c>
      <c r="G14" s="30">
        <v>23</v>
      </c>
      <c r="H14" s="30">
        <v>2</v>
      </c>
      <c r="I14" s="30"/>
      <c r="J14" s="30"/>
      <c r="K14" s="40">
        <f>SUM(B14:J14)</f>
        <v>110</v>
      </c>
      <c r="L14"/>
      <c r="M14" s="514" t="s">
        <v>337</v>
      </c>
      <c r="N14" s="515"/>
      <c r="O14" s="96" t="s">
        <v>357</v>
      </c>
    </row>
    <row r="15" spans="1:15">
      <c r="A15" s="35" t="s">
        <v>338</v>
      </c>
      <c r="B15" s="28"/>
      <c r="C15" s="28"/>
      <c r="D15" s="28"/>
      <c r="E15" s="28"/>
      <c r="F15" s="28"/>
      <c r="G15" s="28"/>
      <c r="H15" s="28"/>
      <c r="I15" s="28"/>
      <c r="J15" s="28"/>
      <c r="K15" s="40"/>
      <c r="L15"/>
      <c r="M15" s="516" t="s">
        <v>339</v>
      </c>
      <c r="N15" s="517"/>
      <c r="O15" s="98" t="s">
        <v>358</v>
      </c>
    </row>
    <row r="16" spans="1:15">
      <c r="A16" s="15" t="s">
        <v>326</v>
      </c>
      <c r="B16" s="27"/>
      <c r="C16" s="27"/>
      <c r="D16" s="27"/>
      <c r="E16" s="27"/>
      <c r="F16" s="27"/>
      <c r="G16" s="27"/>
      <c r="H16" s="27"/>
      <c r="I16" s="27"/>
      <c r="J16" s="27"/>
      <c r="K16" s="40">
        <f>SUM(B16:J16)</f>
        <v>0</v>
      </c>
      <c r="L16"/>
      <c r="M16" s="518" t="s">
        <v>340</v>
      </c>
      <c r="N16" s="519"/>
      <c r="O16" s="97" t="s">
        <v>359</v>
      </c>
    </row>
    <row r="17" spans="1:15">
      <c r="A17" s="33" t="s">
        <v>341</v>
      </c>
      <c r="B17" s="29"/>
      <c r="C17" s="29"/>
      <c r="D17" s="29"/>
      <c r="E17" s="29"/>
      <c r="F17" s="29"/>
      <c r="G17" s="29"/>
      <c r="H17" s="29"/>
      <c r="I17" s="29"/>
      <c r="J17" s="29"/>
      <c r="K17" s="40"/>
      <c r="L17"/>
      <c r="M17" s="520"/>
      <c r="N17" s="521"/>
      <c r="O17" s="99"/>
    </row>
    <row r="18" spans="1:15">
      <c r="A18" s="34" t="s">
        <v>326</v>
      </c>
      <c r="B18" s="30"/>
      <c r="C18" s="30"/>
      <c r="D18" s="30"/>
      <c r="E18" s="30"/>
      <c r="F18" s="30"/>
      <c r="G18" s="30"/>
      <c r="H18" s="30"/>
      <c r="I18" s="30"/>
      <c r="J18" s="30"/>
      <c r="K18" s="40">
        <f>SUM(B18:J18)</f>
        <v>0</v>
      </c>
      <c r="L18"/>
      <c r="M18" s="520"/>
      <c r="N18" s="521"/>
      <c r="O18" s="99"/>
    </row>
    <row r="19" spans="1:15">
      <c r="A19" s="35" t="s">
        <v>342</v>
      </c>
      <c r="B19" s="28"/>
      <c r="C19" s="28"/>
      <c r="D19" s="28"/>
      <c r="E19" s="28"/>
      <c r="F19" s="28"/>
      <c r="G19" s="28"/>
      <c r="H19" s="28"/>
      <c r="I19" s="28"/>
      <c r="J19" s="28"/>
      <c r="K19" s="40"/>
      <c r="L19"/>
      <c r="M19" s="520"/>
      <c r="N19" s="521"/>
      <c r="O19" s="99"/>
    </row>
    <row r="20" spans="1:15">
      <c r="A20" s="15" t="s">
        <v>326</v>
      </c>
      <c r="B20" s="27"/>
      <c r="C20" s="27"/>
      <c r="D20" s="27"/>
      <c r="E20" s="27"/>
      <c r="F20" s="27"/>
      <c r="G20" s="27"/>
      <c r="H20" s="27"/>
      <c r="I20" s="27"/>
      <c r="J20" s="27"/>
      <c r="K20" s="40">
        <f>SUM(B20:J20)</f>
        <v>0</v>
      </c>
      <c r="L20"/>
      <c r="M20" s="520"/>
      <c r="N20" s="521"/>
      <c r="O20" s="99"/>
    </row>
    <row r="21" spans="1:15">
      <c r="A21" s="33" t="s">
        <v>343</v>
      </c>
      <c r="B21" s="29"/>
      <c r="C21" s="29"/>
      <c r="D21" s="29"/>
      <c r="E21" s="29"/>
      <c r="F21" s="29"/>
      <c r="G21" s="29"/>
      <c r="H21" s="29"/>
      <c r="I21" s="29"/>
      <c r="J21" s="29"/>
      <c r="K21" s="40"/>
      <c r="L21"/>
      <c r="M21" s="520"/>
      <c r="N21" s="521"/>
      <c r="O21" s="99"/>
    </row>
    <row r="22" spans="1:15">
      <c r="A22" s="34" t="s">
        <v>326</v>
      </c>
      <c r="B22" s="30"/>
      <c r="C22" s="30"/>
      <c r="D22" s="30"/>
      <c r="E22" s="30"/>
      <c r="F22" s="30"/>
      <c r="G22" s="30"/>
      <c r="H22" s="30"/>
      <c r="I22" s="30"/>
      <c r="J22" s="30"/>
      <c r="K22" s="40">
        <f>SUM(B22:J22)</f>
        <v>0</v>
      </c>
      <c r="L22"/>
      <c r="M22" s="520"/>
      <c r="N22" s="521"/>
      <c r="O22" s="99"/>
    </row>
    <row r="23" spans="1:15">
      <c r="A23" s="35" t="s">
        <v>344</v>
      </c>
      <c r="B23" s="28"/>
      <c r="C23" s="28"/>
      <c r="D23" s="28"/>
      <c r="E23" s="28"/>
      <c r="F23" s="28"/>
      <c r="G23" s="28"/>
      <c r="H23" s="28"/>
      <c r="I23" s="28"/>
      <c r="J23" s="28"/>
      <c r="K23" s="40"/>
      <c r="L23"/>
      <c r="M23" s="520"/>
      <c r="N23" s="521"/>
      <c r="O23" s="99"/>
    </row>
    <row r="24" spans="1:15">
      <c r="A24" s="15" t="s">
        <v>326</v>
      </c>
      <c r="B24" s="27"/>
      <c r="C24" s="27"/>
      <c r="D24" s="27"/>
      <c r="E24" s="27"/>
      <c r="F24" s="27"/>
      <c r="G24" s="27"/>
      <c r="H24" s="27"/>
      <c r="I24" s="27"/>
      <c r="J24" s="27"/>
      <c r="K24" s="40">
        <f>SUM(B24:J24)</f>
        <v>0</v>
      </c>
      <c r="L24"/>
      <c r="M24" s="520"/>
      <c r="N24" s="521"/>
      <c r="O24" s="99"/>
    </row>
    <row r="25" spans="1:15">
      <c r="A25" s="33" t="s">
        <v>345</v>
      </c>
      <c r="B25" s="29"/>
      <c r="C25" s="29"/>
      <c r="D25" s="29"/>
      <c r="E25" s="29"/>
      <c r="F25" s="29"/>
      <c r="G25" s="29"/>
      <c r="H25" s="29"/>
      <c r="I25" s="29"/>
      <c r="J25" s="29"/>
      <c r="K25" s="40"/>
      <c r="L25"/>
      <c r="M25" s="520"/>
      <c r="N25" s="521"/>
      <c r="O25" s="99"/>
    </row>
    <row r="26" spans="1:15">
      <c r="A26" s="34" t="s">
        <v>326</v>
      </c>
      <c r="B26" s="30"/>
      <c r="C26" s="30"/>
      <c r="D26" s="30"/>
      <c r="E26" s="30"/>
      <c r="F26" s="30"/>
      <c r="G26" s="30"/>
      <c r="H26" s="30"/>
      <c r="I26" s="30"/>
      <c r="J26" s="30"/>
      <c r="K26" s="40">
        <f>SUM(B26:J26)</f>
        <v>0</v>
      </c>
      <c r="L26"/>
      <c r="M26" s="520"/>
      <c r="N26" s="521"/>
      <c r="O26" s="99"/>
    </row>
    <row r="27" spans="1:15">
      <c r="A27" s="35" t="s">
        <v>346</v>
      </c>
      <c r="B27" s="28" t="s">
        <v>347</v>
      </c>
      <c r="C27" s="28" t="s">
        <v>348</v>
      </c>
      <c r="D27" s="28"/>
      <c r="E27" s="28"/>
      <c r="F27" s="28"/>
      <c r="G27" s="28"/>
      <c r="H27" s="28"/>
      <c r="I27" s="28"/>
      <c r="J27" s="28"/>
      <c r="K27" s="40"/>
      <c r="L27"/>
      <c r="M27" s="520"/>
      <c r="N27" s="521"/>
      <c r="O27" s="99"/>
    </row>
    <row r="28" spans="1:15">
      <c r="A28" s="15" t="s">
        <v>326</v>
      </c>
      <c r="B28" s="27">
        <v>23</v>
      </c>
      <c r="C28" s="27">
        <v>39</v>
      </c>
      <c r="D28" s="27"/>
      <c r="E28" s="27"/>
      <c r="F28" s="27"/>
      <c r="G28" s="27"/>
      <c r="H28" s="27"/>
      <c r="I28" s="27"/>
      <c r="J28" s="27"/>
      <c r="K28" s="40">
        <f>SUM(B28:J28)</f>
        <v>62</v>
      </c>
      <c r="L28"/>
      <c r="M28" s="520"/>
      <c r="N28" s="521"/>
      <c r="O28" s="99"/>
    </row>
    <row r="29" spans="1:15">
      <c r="A29" s="33" t="s">
        <v>349</v>
      </c>
      <c r="B29" s="29"/>
      <c r="C29" s="29"/>
      <c r="D29" s="29"/>
      <c r="E29" s="29"/>
      <c r="F29" s="29"/>
      <c r="G29" s="29"/>
      <c r="H29" s="29"/>
      <c r="I29" s="29"/>
      <c r="J29" s="29"/>
      <c r="K29" s="40"/>
      <c r="L29"/>
      <c r="M29" s="520"/>
      <c r="N29" s="521"/>
      <c r="O29" s="99"/>
    </row>
    <row r="30" spans="1:15">
      <c r="A30" s="34" t="s">
        <v>326</v>
      </c>
      <c r="B30" s="30"/>
      <c r="C30" s="30"/>
      <c r="D30" s="30"/>
      <c r="E30" s="30"/>
      <c r="F30" s="30"/>
      <c r="G30" s="30"/>
      <c r="H30" s="30"/>
      <c r="I30" s="30"/>
      <c r="J30" s="30"/>
      <c r="K30" s="40">
        <f>SUM(B30:J30)</f>
        <v>0</v>
      </c>
      <c r="L30"/>
      <c r="M30" s="520"/>
      <c r="N30" s="521"/>
      <c r="O30" s="99"/>
    </row>
    <row r="31" spans="1:15">
      <c r="A31" s="35" t="s">
        <v>350</v>
      </c>
      <c r="B31" s="28" t="s">
        <v>351</v>
      </c>
      <c r="C31" s="28"/>
      <c r="D31" s="28"/>
      <c r="E31" s="28"/>
      <c r="F31" s="28"/>
      <c r="G31" s="28"/>
      <c r="H31" s="28"/>
      <c r="I31" s="28"/>
      <c r="J31" s="28"/>
      <c r="K31" s="40"/>
      <c r="L31"/>
      <c r="M31" s="520"/>
      <c r="N31" s="521"/>
      <c r="O31" s="99"/>
    </row>
    <row r="32" spans="1:15">
      <c r="A32" s="15" t="s">
        <v>326</v>
      </c>
      <c r="B32" s="27">
        <v>33</v>
      </c>
      <c r="C32" s="27"/>
      <c r="D32" s="27"/>
      <c r="E32" s="27"/>
      <c r="F32" s="27"/>
      <c r="G32" s="27"/>
      <c r="H32" s="27"/>
      <c r="I32" s="27"/>
      <c r="J32" s="27"/>
      <c r="K32" s="40">
        <f>SUM(B32:J32)</f>
        <v>33</v>
      </c>
      <c r="L32"/>
      <c r="M32" s="514"/>
      <c r="N32" s="515"/>
      <c r="O32" s="96"/>
    </row>
    <row r="33" spans="1:15">
      <c r="A33" s="33" t="s">
        <v>352</v>
      </c>
      <c r="B33" s="29" t="s">
        <v>353</v>
      </c>
      <c r="C33" s="29"/>
      <c r="D33" s="29"/>
      <c r="E33" s="29"/>
      <c r="F33" s="29"/>
      <c r="G33" s="29"/>
      <c r="H33" s="29"/>
      <c r="I33" s="29"/>
      <c r="J33" s="29"/>
      <c r="K33" s="40"/>
      <c r="L33"/>
      <c r="M33" s="514"/>
      <c r="N33" s="515"/>
      <c r="O33" s="96"/>
    </row>
    <row r="34" spans="1:15" customHeight="1" ht="15">
      <c r="A34" s="36" t="s">
        <v>326</v>
      </c>
      <c r="B34" s="31">
        <v>26</v>
      </c>
      <c r="C34" s="31"/>
      <c r="D34" s="31"/>
      <c r="E34" s="31"/>
      <c r="F34" s="31"/>
      <c r="G34" s="31"/>
      <c r="H34" s="31"/>
      <c r="I34" s="31"/>
      <c r="J34" s="31"/>
      <c r="K34" s="41">
        <f>SUM(B34:J34)</f>
        <v>26</v>
      </c>
      <c r="L34"/>
      <c r="M34" s="341"/>
      <c r="N34" s="342"/>
      <c r="O34" s="22"/>
    </row>
    <row r="35" spans="1:15" customHeight="1" ht="15.5">
      <c r="M35"/>
      <c r="O35"/>
    </row>
    <row r="36" spans="1:15" customHeight="1" ht="15.5">
      <c r="K36" s="77">
        <f>SUM(K12,K14,K16,K18,K20,K22,K24,K26,K28,K30,K32,K34)</f>
        <v>273</v>
      </c>
      <c r="O36"/>
    </row>
  </sheetData>
  <sheetProtection formatCells="0" formatColumns="0" formatRows="0" insertColumns="0" insertRows="0" insertHyperlinks="0" deleteColumns="0" deleteRows="0" sort="0" autoFilter="0" pivotTables="0"/>
  <mergeCells>
    <mergeCell ref="M33:N33"/>
    <mergeCell ref="M34:N34"/>
    <mergeCell ref="M28:N28"/>
    <mergeCell ref="M29:N29"/>
    <mergeCell ref="M30:N30"/>
    <mergeCell ref="M31:N31"/>
    <mergeCell ref="M32:N32"/>
    <mergeCell ref="M23:N23"/>
    <mergeCell ref="M24:N24"/>
    <mergeCell ref="M25:N25"/>
    <mergeCell ref="M26:N26"/>
    <mergeCell ref="M27:N27"/>
    <mergeCell ref="M18:N18"/>
    <mergeCell ref="M19:N19"/>
    <mergeCell ref="M20:N20"/>
    <mergeCell ref="M21:N21"/>
    <mergeCell ref="M22:N22"/>
    <mergeCell ref="M13:N13"/>
    <mergeCell ref="M14:N14"/>
    <mergeCell ref="M15:N15"/>
    <mergeCell ref="M16:N16"/>
    <mergeCell ref="M17:N17"/>
    <mergeCell ref="M11:N11"/>
    <mergeCell ref="M12:N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20" max="20" width="11.7265625" customWidth="true" style="0"/>
  </cols>
  <sheetData>
    <row r="1" spans="1:21" customHeight="1" ht="15">
      <c r="A1" s="333" t="s">
        <v>360</v>
      </c>
      <c r="B1" s="345"/>
      <c r="C1" s="345"/>
      <c r="D1" s="345"/>
      <c r="E1" s="345"/>
      <c r="F1" s="345"/>
      <c r="G1" s="345"/>
      <c r="H1" s="345"/>
      <c r="I1" s="345"/>
      <c r="J1" s="346"/>
      <c r="K1" s="87"/>
      <c r="L1" s="87"/>
      <c r="M1" s="87"/>
      <c r="N1" s="87"/>
      <c r="O1" s="87"/>
      <c r="P1" s="87"/>
      <c r="Q1"/>
      <c r="R1"/>
      <c r="S1"/>
      <c r="U1"/>
    </row>
    <row r="2" spans="1:21" customHeight="1" ht="15">
      <c r="A2" s="347"/>
      <c r="B2" s="348"/>
      <c r="C2" s="348"/>
      <c r="D2" s="348"/>
      <c r="E2" s="348"/>
      <c r="F2" s="348"/>
      <c r="G2" s="348"/>
      <c r="H2" s="348"/>
      <c r="I2" s="348"/>
      <c r="J2" s="349"/>
      <c r="K2" s="87"/>
      <c r="L2" s="87"/>
      <c r="M2" s="87"/>
      <c r="N2" s="87"/>
      <c r="O2" s="87"/>
      <c r="P2" s="87"/>
      <c r="Q2"/>
      <c r="R2"/>
      <c r="S2"/>
      <c r="U2"/>
    </row>
    <row r="3" spans="1:21" customHeight="1" ht="15">
      <c r="A3" s="509" t="s">
        <v>316</v>
      </c>
      <c r="B3" s="510"/>
      <c r="C3" s="511" t="s">
        <v>250</v>
      </c>
      <c r="D3" s="512"/>
      <c r="E3" s="512"/>
      <c r="F3" s="513"/>
      <c r="G3" s="511"/>
      <c r="H3" s="512"/>
      <c r="I3" s="513"/>
      <c r="J3" s="25"/>
      <c r="K3" s="87"/>
      <c r="L3" s="87"/>
      <c r="M3" s="87"/>
      <c r="N3" s="87"/>
      <c r="O3" s="87"/>
      <c r="P3" s="87"/>
      <c r="Q3"/>
      <c r="R3"/>
      <c r="S3"/>
      <c r="U3"/>
    </row>
    <row r="4" spans="1:21">
      <c r="A4" s="509" t="s">
        <v>317</v>
      </c>
      <c r="B4" s="510"/>
      <c r="C4" s="511" t="s">
        <v>252</v>
      </c>
      <c r="D4" s="512"/>
      <c r="E4" s="512"/>
      <c r="F4" s="513"/>
      <c r="G4" s="6"/>
      <c r="H4" s="6"/>
      <c r="I4" s="6"/>
      <c r="J4" s="25"/>
      <c r="K4" s="87"/>
      <c r="L4" s="87"/>
      <c r="M4" s="87"/>
      <c r="N4" s="87"/>
      <c r="O4" s="87"/>
      <c r="P4" s="87"/>
      <c r="Q4"/>
      <c r="R4"/>
      <c r="S4"/>
      <c r="U4"/>
    </row>
    <row r="5" spans="1:21">
      <c r="A5" s="509" t="s">
        <v>318</v>
      </c>
      <c r="B5" s="510"/>
      <c r="C5" s="511" t="s">
        <v>254</v>
      </c>
      <c r="D5" s="512"/>
      <c r="E5" s="512"/>
      <c r="F5" s="513"/>
      <c r="G5" s="6"/>
      <c r="H5" s="6"/>
      <c r="I5" s="6"/>
      <c r="J5" s="25"/>
      <c r="K5" s="87"/>
      <c r="L5" s="87"/>
      <c r="M5" s="87"/>
      <c r="N5" s="87"/>
      <c r="O5" s="87"/>
      <c r="P5" s="87"/>
      <c r="Q5"/>
      <c r="R5"/>
      <c r="S5"/>
      <c r="U5"/>
    </row>
    <row r="6" spans="1:21">
      <c r="A6" s="509" t="s">
        <v>319</v>
      </c>
      <c r="B6" s="510"/>
      <c r="C6" s="511" t="s">
        <v>320</v>
      </c>
      <c r="D6" s="512"/>
      <c r="E6" s="512"/>
      <c r="F6" s="513"/>
      <c r="G6" s="6"/>
      <c r="H6" s="6"/>
      <c r="I6" s="6"/>
      <c r="J6" s="25"/>
      <c r="K6" s="87"/>
      <c r="L6" s="87"/>
      <c r="M6" s="87"/>
      <c r="N6" s="87"/>
      <c r="O6" s="87"/>
      <c r="P6" s="87"/>
      <c r="Q6"/>
      <c r="R6"/>
      <c r="S6"/>
      <c r="U6"/>
    </row>
    <row r="7" spans="1:21" customHeight="1" ht="15">
      <c r="A7" s="23"/>
      <c r="B7" s="24"/>
      <c r="C7" s="24"/>
      <c r="D7" s="24"/>
      <c r="E7" s="24"/>
      <c r="F7" s="24"/>
      <c r="G7" s="24"/>
      <c r="H7" s="24"/>
      <c r="I7" s="24"/>
      <c r="J7" s="26"/>
      <c r="K7" s="87"/>
      <c r="L7" s="87"/>
      <c r="M7" s="87"/>
      <c r="N7" s="87"/>
      <c r="O7" s="87"/>
      <c r="P7" s="87"/>
      <c r="Q7"/>
      <c r="R7"/>
      <c r="S7"/>
      <c r="U7"/>
    </row>
    <row r="8" spans="1:21" customHeight="1" ht="15">
      <c r="U8"/>
    </row>
    <row r="9" spans="1:21" customHeight="1" ht="15">
      <c r="U9"/>
    </row>
    <row r="10" spans="1:21" customHeight="1" ht="15.5">
      <c r="A10" s="1"/>
      <c r="B10" s="37" t="s">
        <v>321</v>
      </c>
      <c r="C10" s="38" t="s">
        <v>321</v>
      </c>
      <c r="D10" s="38" t="s">
        <v>321</v>
      </c>
      <c r="E10" s="38" t="s">
        <v>321</v>
      </c>
      <c r="F10" s="38" t="s">
        <v>321</v>
      </c>
      <c r="G10" s="38" t="s">
        <v>321</v>
      </c>
      <c r="H10" s="38" t="s">
        <v>321</v>
      </c>
      <c r="I10" s="38" t="s">
        <v>321</v>
      </c>
      <c r="J10" s="88" t="s">
        <v>321</v>
      </c>
      <c r="K10" s="83" t="s">
        <v>321</v>
      </c>
      <c r="L10" s="83" t="s">
        <v>321</v>
      </c>
      <c r="M10" s="83" t="s">
        <v>321</v>
      </c>
      <c r="N10" s="83" t="s">
        <v>321</v>
      </c>
      <c r="O10" s="83" t="s">
        <v>321</v>
      </c>
      <c r="P10" s="83" t="s">
        <v>321</v>
      </c>
      <c r="Q10" s="184"/>
      <c r="R10"/>
      <c r="S10" s="522" t="s">
        <v>361</v>
      </c>
      <c r="T10" s="523"/>
      <c r="U10" s="524"/>
    </row>
    <row r="11" spans="1:21" customHeight="1" ht="15">
      <c r="A11" s="32" t="s">
        <v>323</v>
      </c>
      <c r="B11" s="28" t="s">
        <v>362</v>
      </c>
      <c r="C11" s="28" t="s">
        <v>363</v>
      </c>
      <c r="D11" s="28" t="s">
        <v>364</v>
      </c>
      <c r="E11" s="28" t="s">
        <v>365</v>
      </c>
      <c r="F11" s="28" t="s">
        <v>366</v>
      </c>
      <c r="G11" s="28" t="s">
        <v>363</v>
      </c>
      <c r="H11" s="28" t="s">
        <v>367</v>
      </c>
      <c r="I11" s="28"/>
      <c r="J11" s="28"/>
      <c r="K11" s="89"/>
      <c r="L11" s="89"/>
      <c r="M11" s="89"/>
      <c r="N11" s="89"/>
      <c r="O11" s="89"/>
      <c r="P11" s="89"/>
      <c r="Q11" s="185"/>
      <c r="R11"/>
      <c r="S11" s="525" t="s">
        <v>368</v>
      </c>
      <c r="T11" s="526"/>
      <c r="U11" s="20">
        <v>44</v>
      </c>
    </row>
    <row r="12" spans="1:21">
      <c r="A12" s="15" t="s">
        <v>326</v>
      </c>
      <c r="B12" s="27">
        <v>11</v>
      </c>
      <c r="C12" s="27">
        <v>25</v>
      </c>
      <c r="D12" s="27">
        <v>12</v>
      </c>
      <c r="E12" s="27">
        <v>23</v>
      </c>
      <c r="F12" s="27">
        <v>27</v>
      </c>
      <c r="G12" s="27">
        <v>11</v>
      </c>
      <c r="H12" s="27">
        <v>13</v>
      </c>
      <c r="I12" s="27"/>
      <c r="J12" s="27"/>
      <c r="K12" s="90"/>
      <c r="L12" s="90"/>
      <c r="M12" s="90"/>
      <c r="N12" s="90"/>
      <c r="O12" s="90"/>
      <c r="P12" s="90"/>
      <c r="Q12" s="185">
        <f>SUM(B12:J12)</f>
        <v>122</v>
      </c>
      <c r="R12"/>
      <c r="S12" s="527" t="s">
        <v>369</v>
      </c>
      <c r="T12" s="528"/>
      <c r="U12" s="95">
        <f>Q36</f>
        <v>574</v>
      </c>
    </row>
    <row r="13" spans="1:21">
      <c r="A13" s="33" t="s">
        <v>328</v>
      </c>
      <c r="B13" s="29" t="s">
        <v>370</v>
      </c>
      <c r="C13" s="29" t="s">
        <v>371</v>
      </c>
      <c r="D13" s="29" t="s">
        <v>372</v>
      </c>
      <c r="E13" s="29"/>
      <c r="F13" s="29"/>
      <c r="G13" s="29"/>
      <c r="H13" s="29"/>
      <c r="I13" s="29"/>
      <c r="J13" s="29"/>
      <c r="K13" s="91"/>
      <c r="L13" s="91"/>
      <c r="M13" s="91"/>
      <c r="N13" s="91"/>
      <c r="O13" s="91"/>
      <c r="P13" s="91"/>
      <c r="Q13" s="185"/>
      <c r="R13"/>
      <c r="S13" s="514"/>
      <c r="T13" s="515"/>
      <c r="U13" s="96"/>
    </row>
    <row r="14" spans="1:21">
      <c r="A14" s="34" t="s">
        <v>326</v>
      </c>
      <c r="B14" s="30">
        <v>7</v>
      </c>
      <c r="C14" s="30">
        <v>3</v>
      </c>
      <c r="D14" s="30">
        <v>24</v>
      </c>
      <c r="E14" s="30"/>
      <c r="F14" s="30"/>
      <c r="G14" s="30"/>
      <c r="H14" s="30"/>
      <c r="I14" s="30"/>
      <c r="J14" s="30"/>
      <c r="K14" s="92"/>
      <c r="L14" s="92"/>
      <c r="M14" s="92"/>
      <c r="N14" s="92"/>
      <c r="O14" s="92"/>
      <c r="P14" s="92"/>
      <c r="Q14" s="185">
        <f>SUM(B14:J14)</f>
        <v>34</v>
      </c>
      <c r="R14"/>
      <c r="S14" s="514"/>
      <c r="T14" s="515"/>
      <c r="U14" s="96"/>
    </row>
    <row r="15" spans="1:21">
      <c r="A15" s="35" t="s">
        <v>338</v>
      </c>
      <c r="B15" s="28" t="s">
        <v>373</v>
      </c>
      <c r="C15" s="28" t="s">
        <v>374</v>
      </c>
      <c r="D15" s="28" t="s">
        <v>374</v>
      </c>
      <c r="E15" s="28" t="s">
        <v>375</v>
      </c>
      <c r="F15" s="28" t="s">
        <v>376</v>
      </c>
      <c r="G15" s="28" t="s">
        <v>377</v>
      </c>
      <c r="H15" s="28" t="s">
        <v>378</v>
      </c>
      <c r="I15" s="28" t="s">
        <v>379</v>
      </c>
      <c r="J15" s="28" t="s">
        <v>380</v>
      </c>
      <c r="K15" s="93" t="s">
        <v>381</v>
      </c>
      <c r="L15" s="93" t="s">
        <v>382</v>
      </c>
      <c r="M15" s="93" t="s">
        <v>383</v>
      </c>
      <c r="N15" s="93" t="s">
        <v>384</v>
      </c>
      <c r="O15" s="93" t="s">
        <v>385</v>
      </c>
      <c r="P15" s="93" t="s">
        <v>386</v>
      </c>
      <c r="Q15" s="185"/>
      <c r="R15"/>
      <c r="S15" s="516"/>
      <c r="T15" s="517"/>
      <c r="U15" s="98"/>
    </row>
    <row r="16" spans="1:21">
      <c r="A16" s="15" t="s">
        <v>326</v>
      </c>
      <c r="B16" s="27">
        <v>13</v>
      </c>
      <c r="C16" s="27">
        <v>11</v>
      </c>
      <c r="D16" s="27">
        <v>1</v>
      </c>
      <c r="E16" s="27">
        <v>13</v>
      </c>
      <c r="F16" s="27">
        <v>26</v>
      </c>
      <c r="G16" s="27">
        <v>4</v>
      </c>
      <c r="H16" s="27">
        <v>4</v>
      </c>
      <c r="I16" s="27">
        <v>26</v>
      </c>
      <c r="J16" s="27">
        <v>12</v>
      </c>
      <c r="K16" s="90">
        <v>10</v>
      </c>
      <c r="L16" s="90">
        <v>30</v>
      </c>
      <c r="M16" s="90">
        <v>16</v>
      </c>
      <c r="N16" s="90">
        <v>12</v>
      </c>
      <c r="O16" s="90">
        <v>27</v>
      </c>
      <c r="P16" s="90">
        <v>4</v>
      </c>
      <c r="Q16" s="185">
        <f>SUM(B16:J16)</f>
        <v>110</v>
      </c>
      <c r="R16"/>
      <c r="S16" s="518"/>
      <c r="T16" s="519"/>
      <c r="U16" s="97"/>
    </row>
    <row r="17" spans="1:21">
      <c r="A17" s="33" t="s">
        <v>341</v>
      </c>
      <c r="B17" s="29" t="s">
        <v>387</v>
      </c>
      <c r="C17" s="29" t="s">
        <v>388</v>
      </c>
      <c r="D17" s="29"/>
      <c r="E17" s="29"/>
      <c r="F17" s="29"/>
      <c r="G17" s="29"/>
      <c r="H17" s="29"/>
      <c r="I17" s="29"/>
      <c r="J17" s="29"/>
      <c r="K17" s="91"/>
      <c r="L17" s="91"/>
      <c r="M17" s="91"/>
      <c r="N17" s="91"/>
      <c r="O17" s="91"/>
      <c r="P17" s="91"/>
      <c r="Q17" s="185"/>
      <c r="R17"/>
      <c r="S17" s="520"/>
      <c r="T17" s="521"/>
      <c r="U17" s="99"/>
    </row>
    <row r="18" spans="1:21">
      <c r="A18" s="34" t="s">
        <v>326</v>
      </c>
      <c r="B18" s="30">
        <v>11</v>
      </c>
      <c r="C18" s="30">
        <v>14</v>
      </c>
      <c r="D18" s="30"/>
      <c r="E18" s="30"/>
      <c r="F18" s="30"/>
      <c r="G18" s="30"/>
      <c r="H18" s="30"/>
      <c r="I18" s="30"/>
      <c r="J18" s="30"/>
      <c r="K18" s="92"/>
      <c r="L18" s="92"/>
      <c r="M18" s="92"/>
      <c r="N18" s="92"/>
      <c r="O18" s="92"/>
      <c r="P18" s="92"/>
      <c r="Q18" s="185">
        <f>SUM(B18:J18)</f>
        <v>25</v>
      </c>
      <c r="R18"/>
      <c r="S18" s="520"/>
      <c r="T18" s="521"/>
      <c r="U18" s="99"/>
    </row>
    <row r="19" spans="1:21">
      <c r="A19" s="35" t="s">
        <v>342</v>
      </c>
      <c r="B19" s="28" t="s">
        <v>389</v>
      </c>
      <c r="C19" s="28"/>
      <c r="D19" s="28"/>
      <c r="E19" s="28"/>
      <c r="F19" s="28"/>
      <c r="G19" s="28"/>
      <c r="H19" s="28"/>
      <c r="I19" s="28"/>
      <c r="J19" s="28"/>
      <c r="K19" s="93"/>
      <c r="L19" s="93"/>
      <c r="M19" s="93"/>
      <c r="N19" s="93"/>
      <c r="O19" s="93"/>
      <c r="P19" s="93"/>
      <c r="Q19" s="185"/>
      <c r="R19"/>
      <c r="S19" s="520"/>
      <c r="T19" s="521"/>
      <c r="U19" s="99"/>
    </row>
    <row r="20" spans="1:21">
      <c r="A20" s="15" t="s">
        <v>326</v>
      </c>
      <c r="B20" s="27">
        <v>23</v>
      </c>
      <c r="C20" s="27"/>
      <c r="D20" s="27"/>
      <c r="E20" s="27"/>
      <c r="F20" s="27"/>
      <c r="G20" s="27"/>
      <c r="H20" s="27"/>
      <c r="I20" s="27"/>
      <c r="J20" s="27"/>
      <c r="K20" s="90"/>
      <c r="L20" s="90"/>
      <c r="M20" s="90"/>
      <c r="N20" s="90"/>
      <c r="O20" s="90"/>
      <c r="P20" s="90"/>
      <c r="Q20" s="185">
        <f>SUM(B20:J20)</f>
        <v>23</v>
      </c>
      <c r="R20"/>
      <c r="S20" s="520"/>
      <c r="T20" s="521"/>
      <c r="U20" s="99"/>
    </row>
    <row r="21" spans="1:21">
      <c r="A21" s="33" t="s">
        <v>343</v>
      </c>
      <c r="B21" s="29" t="s">
        <v>390</v>
      </c>
      <c r="C21" s="29" t="s">
        <v>391</v>
      </c>
      <c r="D21" s="29" t="s">
        <v>392</v>
      </c>
      <c r="E21" s="29"/>
      <c r="F21" s="29"/>
      <c r="G21" s="29"/>
      <c r="H21" s="29"/>
      <c r="I21" s="29"/>
      <c r="J21" s="29"/>
      <c r="K21" s="91"/>
      <c r="L21" s="91"/>
      <c r="M21" s="91"/>
      <c r="N21" s="91"/>
      <c r="O21" s="91"/>
      <c r="P21" s="91"/>
      <c r="Q21" s="185"/>
      <c r="R21"/>
      <c r="S21" s="520"/>
      <c r="T21" s="521"/>
      <c r="U21" s="99"/>
    </row>
    <row r="22" spans="1:21">
      <c r="A22" s="34" t="s">
        <v>326</v>
      </c>
      <c r="B22" s="30">
        <v>8</v>
      </c>
      <c r="C22" s="30">
        <v>14</v>
      </c>
      <c r="D22" s="30">
        <v>15</v>
      </c>
      <c r="E22" s="30"/>
      <c r="F22" s="30"/>
      <c r="G22" s="30"/>
      <c r="H22" s="30"/>
      <c r="I22" s="30"/>
      <c r="J22" s="30"/>
      <c r="K22" s="92"/>
      <c r="L22" s="92"/>
      <c r="M22" s="92"/>
      <c r="N22" s="92"/>
      <c r="O22" s="92"/>
      <c r="P22" s="92"/>
      <c r="Q22" s="185">
        <f>SUM(B22:J22)</f>
        <v>37</v>
      </c>
      <c r="R22"/>
      <c r="S22" s="520"/>
      <c r="T22" s="521"/>
      <c r="U22" s="99"/>
    </row>
    <row r="23" spans="1:21">
      <c r="A23" s="35" t="s">
        <v>344</v>
      </c>
      <c r="B23" s="28" t="s">
        <v>393</v>
      </c>
      <c r="C23" s="28"/>
      <c r="D23" s="28"/>
      <c r="E23" s="28"/>
      <c r="F23" s="28"/>
      <c r="G23" s="28"/>
      <c r="H23" s="28"/>
      <c r="I23" s="28"/>
      <c r="J23" s="28"/>
      <c r="K23" s="93"/>
      <c r="L23" s="93"/>
      <c r="M23" s="93"/>
      <c r="N23" s="93"/>
      <c r="O23" s="93"/>
      <c r="P23" s="93"/>
      <c r="Q23" s="185"/>
      <c r="R23"/>
      <c r="S23" s="520"/>
      <c r="T23" s="521"/>
      <c r="U23" s="99"/>
    </row>
    <row r="24" spans="1:21">
      <c r="A24" s="15" t="s">
        <v>326</v>
      </c>
      <c r="B24" s="27">
        <v>9</v>
      </c>
      <c r="C24" s="27"/>
      <c r="D24" s="27"/>
      <c r="E24" s="27"/>
      <c r="F24" s="27"/>
      <c r="G24" s="27"/>
      <c r="H24" s="27"/>
      <c r="I24" s="27"/>
      <c r="J24" s="27"/>
      <c r="K24" s="90"/>
      <c r="L24" s="90"/>
      <c r="M24" s="90"/>
      <c r="N24" s="90"/>
      <c r="O24" s="90"/>
      <c r="P24" s="90"/>
      <c r="Q24" s="185">
        <f>SUM(B24:J24)</f>
        <v>9</v>
      </c>
      <c r="R24"/>
      <c r="S24" s="520"/>
      <c r="T24" s="521"/>
      <c r="U24" s="99"/>
    </row>
    <row r="25" spans="1:21">
      <c r="A25" s="33" t="s">
        <v>345</v>
      </c>
      <c r="B25" s="29" t="s">
        <v>394</v>
      </c>
      <c r="C25" s="29" t="s">
        <v>395</v>
      </c>
      <c r="D25" s="29" t="s">
        <v>396</v>
      </c>
      <c r="E25" s="29"/>
      <c r="F25" s="29"/>
      <c r="G25" s="29"/>
      <c r="H25" s="29"/>
      <c r="I25" s="29"/>
      <c r="J25" s="29"/>
      <c r="K25" s="91"/>
      <c r="L25" s="91"/>
      <c r="M25" s="91"/>
      <c r="N25" s="91"/>
      <c r="O25" s="91"/>
      <c r="P25" s="91"/>
      <c r="Q25" s="185"/>
      <c r="R25"/>
      <c r="S25" s="520"/>
      <c r="T25" s="521"/>
      <c r="U25" s="99"/>
    </row>
    <row r="26" spans="1:21">
      <c r="A26" s="34" t="s">
        <v>326</v>
      </c>
      <c r="B26" s="30">
        <v>26</v>
      </c>
      <c r="C26" s="30">
        <v>6</v>
      </c>
      <c r="D26" s="30">
        <v>21</v>
      </c>
      <c r="E26" s="30"/>
      <c r="F26" s="30"/>
      <c r="G26" s="30"/>
      <c r="H26" s="30"/>
      <c r="I26" s="30"/>
      <c r="J26" s="30"/>
      <c r="K26" s="92"/>
      <c r="L26" s="92"/>
      <c r="M26" s="92"/>
      <c r="N26" s="92"/>
      <c r="O26" s="92"/>
      <c r="P26" s="92"/>
      <c r="Q26" s="185">
        <f>SUM(B26:J26)</f>
        <v>53</v>
      </c>
      <c r="R26"/>
      <c r="S26" s="520"/>
      <c r="T26" s="521"/>
      <c r="U26" s="99"/>
    </row>
    <row r="27" spans="1:21">
      <c r="A27" s="35" t="s">
        <v>346</v>
      </c>
      <c r="B27" s="28" t="s">
        <v>397</v>
      </c>
      <c r="C27" s="28"/>
      <c r="D27" s="28"/>
      <c r="E27" s="28"/>
      <c r="F27" s="28"/>
      <c r="G27" s="28"/>
      <c r="H27" s="28"/>
      <c r="I27" s="28"/>
      <c r="J27" s="28"/>
      <c r="K27" s="93"/>
      <c r="L27" s="93"/>
      <c r="M27" s="93"/>
      <c r="N27" s="93"/>
      <c r="O27" s="93"/>
      <c r="P27" s="93"/>
      <c r="Q27" s="185"/>
      <c r="R27"/>
      <c r="S27" s="520"/>
      <c r="T27" s="521"/>
      <c r="U27" s="99"/>
    </row>
    <row r="28" spans="1:21">
      <c r="A28" s="15" t="s">
        <v>326</v>
      </c>
      <c r="B28" s="27">
        <v>7</v>
      </c>
      <c r="C28" s="27"/>
      <c r="D28" s="27"/>
      <c r="E28" s="27"/>
      <c r="F28" s="27"/>
      <c r="G28" s="27"/>
      <c r="H28" s="27"/>
      <c r="I28" s="27"/>
      <c r="J28" s="27"/>
      <c r="K28" s="90"/>
      <c r="L28" s="90"/>
      <c r="M28" s="90"/>
      <c r="N28" s="90"/>
      <c r="O28" s="90"/>
      <c r="P28" s="90"/>
      <c r="Q28" s="185">
        <f>SUM(B28:J28)</f>
        <v>7</v>
      </c>
      <c r="R28"/>
      <c r="S28" s="520"/>
      <c r="T28" s="521"/>
      <c r="U28" s="99"/>
    </row>
    <row r="29" spans="1:21">
      <c r="A29" s="33" t="s">
        <v>349</v>
      </c>
      <c r="B29" s="29" t="s">
        <v>398</v>
      </c>
      <c r="C29" s="29"/>
      <c r="D29" s="29"/>
      <c r="E29" s="29"/>
      <c r="F29" s="29"/>
      <c r="G29" s="29"/>
      <c r="H29" s="29"/>
      <c r="I29" s="29"/>
      <c r="J29" s="29"/>
      <c r="K29" s="91"/>
      <c r="L29" s="91"/>
      <c r="M29" s="91"/>
      <c r="N29" s="91"/>
      <c r="O29" s="91"/>
      <c r="P29" s="91"/>
      <c r="Q29" s="185"/>
      <c r="R29"/>
      <c r="S29" s="520"/>
      <c r="T29" s="521"/>
      <c r="U29" s="99"/>
    </row>
    <row r="30" spans="1:21">
      <c r="A30" s="34" t="s">
        <v>326</v>
      </c>
      <c r="B30" s="30">
        <v>11</v>
      </c>
      <c r="C30" s="30"/>
      <c r="D30" s="30"/>
      <c r="E30" s="30"/>
      <c r="F30" s="30"/>
      <c r="G30" s="30"/>
      <c r="H30" s="30"/>
      <c r="I30" s="30"/>
      <c r="J30" s="30"/>
      <c r="K30" s="92"/>
      <c r="L30" s="92"/>
      <c r="M30" s="92"/>
      <c r="N30" s="92"/>
      <c r="O30" s="92"/>
      <c r="P30" s="92"/>
      <c r="Q30" s="185">
        <f>SUM(B30:J30)</f>
        <v>11</v>
      </c>
      <c r="R30"/>
      <c r="S30" s="520"/>
      <c r="T30" s="521"/>
      <c r="U30" s="99"/>
    </row>
    <row r="31" spans="1:21">
      <c r="A31" s="35" t="s">
        <v>350</v>
      </c>
      <c r="B31" s="28" t="s">
        <v>399</v>
      </c>
      <c r="C31" s="28" t="s">
        <v>400</v>
      </c>
      <c r="D31" s="28" t="s">
        <v>401</v>
      </c>
      <c r="E31" s="28"/>
      <c r="F31" s="28"/>
      <c r="G31" s="28"/>
      <c r="H31" s="28"/>
      <c r="I31" s="28"/>
      <c r="J31" s="28"/>
      <c r="K31" s="93"/>
      <c r="L31" s="93"/>
      <c r="M31" s="93"/>
      <c r="N31" s="93"/>
      <c r="O31" s="93"/>
      <c r="P31" s="93"/>
      <c r="Q31" s="185"/>
      <c r="R31"/>
      <c r="S31" s="520"/>
      <c r="T31" s="521"/>
      <c r="U31" s="99"/>
    </row>
    <row r="32" spans="1:21">
      <c r="A32" s="15" t="s">
        <v>326</v>
      </c>
      <c r="B32" s="27">
        <v>29</v>
      </c>
      <c r="C32" s="27">
        <v>30</v>
      </c>
      <c r="D32" s="27">
        <v>25</v>
      </c>
      <c r="E32" s="27"/>
      <c r="F32" s="27"/>
      <c r="G32" s="27"/>
      <c r="H32" s="27"/>
      <c r="I32" s="27"/>
      <c r="J32" s="27"/>
      <c r="K32" s="90"/>
      <c r="L32" s="90"/>
      <c r="M32" s="90"/>
      <c r="N32" s="90"/>
      <c r="O32" s="90"/>
      <c r="P32" s="90"/>
      <c r="Q32" s="185">
        <f>SUM(B32:J32)</f>
        <v>84</v>
      </c>
      <c r="R32"/>
      <c r="S32" s="514"/>
      <c r="T32" s="515"/>
      <c r="U32" s="96"/>
    </row>
    <row r="33" spans="1:21">
      <c r="A33" s="33" t="s">
        <v>352</v>
      </c>
      <c r="B33" s="29" t="s">
        <v>402</v>
      </c>
      <c r="C33" s="29" t="s">
        <v>403</v>
      </c>
      <c r="D33" s="29" t="s">
        <v>403</v>
      </c>
      <c r="E33" s="29" t="s">
        <v>404</v>
      </c>
      <c r="F33" s="29"/>
      <c r="G33" s="29"/>
      <c r="H33" s="29"/>
      <c r="I33" s="29"/>
      <c r="J33" s="29"/>
      <c r="K33" s="91"/>
      <c r="L33" s="91"/>
      <c r="M33" s="91"/>
      <c r="N33" s="91"/>
      <c r="O33" s="91"/>
      <c r="P33" s="91"/>
      <c r="Q33" s="185"/>
      <c r="R33"/>
      <c r="S33" s="514"/>
      <c r="T33" s="515"/>
      <c r="U33" s="96"/>
    </row>
    <row r="34" spans="1:21" customHeight="1" ht="15">
      <c r="A34" s="36" t="s">
        <v>326</v>
      </c>
      <c r="B34" s="31">
        <v>24</v>
      </c>
      <c r="C34" s="31">
        <v>2</v>
      </c>
      <c r="D34" s="31">
        <v>11</v>
      </c>
      <c r="E34" s="31">
        <v>22</v>
      </c>
      <c r="F34" s="31"/>
      <c r="G34" s="31"/>
      <c r="H34" s="31"/>
      <c r="I34" s="31"/>
      <c r="J34" s="31"/>
      <c r="K34" s="94"/>
      <c r="L34" s="94"/>
      <c r="M34" s="94"/>
      <c r="N34" s="94"/>
      <c r="O34" s="94"/>
      <c r="P34" s="94"/>
      <c r="Q34" s="186">
        <f>SUM(B34:J34)</f>
        <v>59</v>
      </c>
      <c r="R34"/>
      <c r="S34" s="341"/>
      <c r="T34" s="342"/>
      <c r="U34" s="22"/>
    </row>
    <row r="35" spans="1:21" customHeight="1" ht="15.5">
      <c r="S35"/>
      <c r="U35"/>
    </row>
    <row r="36" spans="1:21" customHeight="1" ht="15.5">
      <c r="Q36" s="77">
        <f>SUM(Q12,Q14,Q16,Q18,Q20,Q22,Q24,Q26,Q28,Q30,Q32,Q34)</f>
        <v>574</v>
      </c>
      <c r="U36"/>
    </row>
    <row r="37" spans="1:21" customHeight="1" ht="15">
      <c r="U37"/>
    </row>
  </sheetData>
  <sheetProtection formatCells="0" formatColumns="0" formatRows="0" insertColumns="0" insertRows="0" insertHyperlinks="0" deleteColumns="0" deleteRows="0" sort="0" autoFilter="0" pivotTables="0"/>
  <mergeCells>
    <mergeCell ref="S31:T31"/>
    <mergeCell ref="S32:T32"/>
    <mergeCell ref="S33:T33"/>
    <mergeCell ref="S34:T34"/>
    <mergeCell ref="S26:T26"/>
    <mergeCell ref="S27:T27"/>
    <mergeCell ref="S28:T28"/>
    <mergeCell ref="S29:T29"/>
    <mergeCell ref="S30:T30"/>
    <mergeCell ref="S21:T21"/>
    <mergeCell ref="S22:T22"/>
    <mergeCell ref="S23:T23"/>
    <mergeCell ref="S24:T24"/>
    <mergeCell ref="S25:T25"/>
    <mergeCell ref="S16:T16"/>
    <mergeCell ref="S17:T17"/>
    <mergeCell ref="S18:T18"/>
    <mergeCell ref="S19:T19"/>
    <mergeCell ref="S20:T20"/>
    <mergeCell ref="S11:T11"/>
    <mergeCell ref="S12:T12"/>
    <mergeCell ref="S13:T13"/>
    <mergeCell ref="S14:T14"/>
    <mergeCell ref="S15:T15"/>
    <mergeCell ref="S10:U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7" t="s">
        <v>405</v>
      </c>
      <c r="D2" s="548"/>
      <c r="E2" s="548"/>
      <c r="F2" s="548"/>
      <c r="G2" s="548"/>
      <c r="H2" s="548"/>
      <c r="I2" s="548"/>
      <c r="J2" s="549"/>
      <c r="K2" s="547" t="s">
        <v>406</v>
      </c>
      <c r="L2" s="548"/>
      <c r="M2" s="548"/>
      <c r="N2" s="548"/>
      <c r="O2" s="548"/>
      <c r="P2" s="548"/>
      <c r="Q2" s="548"/>
      <c r="R2" s="549"/>
      <c r="S2" s="547" t="s">
        <v>407</v>
      </c>
      <c r="T2" s="548"/>
      <c r="U2" s="548"/>
      <c r="V2" s="548"/>
      <c r="W2" s="548"/>
      <c r="X2" s="548"/>
      <c r="Y2" s="548"/>
      <c r="Z2" s="549"/>
      <c r="AA2" s="13"/>
      <c r="AB2" s="42">
        <v>2</v>
      </c>
      <c r="AC2" s="13"/>
      <c r="AD2" s="547" t="s">
        <v>408</v>
      </c>
      <c r="AE2" s="548"/>
      <c r="AF2" s="548"/>
      <c r="AG2" s="548"/>
      <c r="AH2" s="548"/>
      <c r="AI2" s="548"/>
      <c r="AJ2" s="548"/>
      <c r="AK2" s="549"/>
      <c r="AL2" s="547" t="s">
        <v>409</v>
      </c>
      <c r="AM2" s="548"/>
      <c r="AN2" s="548"/>
      <c r="AO2" s="548"/>
      <c r="AP2" s="548"/>
      <c r="AQ2" s="548"/>
      <c r="AR2" s="548"/>
      <c r="AS2" s="549"/>
      <c r="AT2" s="547" t="s">
        <v>410</v>
      </c>
      <c r="AU2" s="548"/>
      <c r="AV2" s="548"/>
      <c r="AW2" s="548"/>
      <c r="AX2" s="548"/>
      <c r="AY2" s="548"/>
      <c r="AZ2" s="548"/>
      <c r="BA2" s="549"/>
    </row>
    <row r="3" spans="1:53" customHeight="1" ht="152.25">
      <c r="C3" s="49" t="s">
        <v>411</v>
      </c>
      <c r="D3" s="50" t="s">
        <v>412</v>
      </c>
      <c r="E3" s="50" t="s">
        <v>413</v>
      </c>
      <c r="F3" s="50" t="s">
        <v>414</v>
      </c>
      <c r="G3" s="191" t="s">
        <v>415</v>
      </c>
      <c r="H3" s="50" t="s">
        <v>416</v>
      </c>
      <c r="I3" s="50" t="s">
        <v>417</v>
      </c>
      <c r="J3" s="51" t="s">
        <v>418</v>
      </c>
      <c r="K3" s="49" t="s">
        <v>411</v>
      </c>
      <c r="L3" s="50" t="s">
        <v>412</v>
      </c>
      <c r="M3" s="50" t="s">
        <v>413</v>
      </c>
      <c r="N3" s="50" t="s">
        <v>414</v>
      </c>
      <c r="O3" s="50" t="s">
        <v>415</v>
      </c>
      <c r="P3" s="50" t="s">
        <v>416</v>
      </c>
      <c r="Q3" s="50" t="s">
        <v>417</v>
      </c>
      <c r="R3" s="51" t="s">
        <v>418</v>
      </c>
      <c r="S3" s="49" t="s">
        <v>411</v>
      </c>
      <c r="T3" s="50" t="s">
        <v>412</v>
      </c>
      <c r="U3" s="50" t="s">
        <v>413</v>
      </c>
      <c r="V3" s="50" t="s">
        <v>414</v>
      </c>
      <c r="W3" s="50" t="s">
        <v>415</v>
      </c>
      <c r="X3" s="50" t="s">
        <v>416</v>
      </c>
      <c r="Y3" s="50" t="s">
        <v>417</v>
      </c>
      <c r="Z3" s="51" t="s">
        <v>418</v>
      </c>
      <c r="AD3" s="46" t="s">
        <v>411</v>
      </c>
      <c r="AE3" s="47" t="s">
        <v>412</v>
      </c>
      <c r="AF3" s="47" t="s">
        <v>413</v>
      </c>
      <c r="AG3" s="47" t="s">
        <v>414</v>
      </c>
      <c r="AH3" s="47" t="s">
        <v>415</v>
      </c>
      <c r="AI3" s="47" t="s">
        <v>416</v>
      </c>
      <c r="AJ3" s="47" t="s">
        <v>417</v>
      </c>
      <c r="AK3" s="48" t="s">
        <v>418</v>
      </c>
      <c r="AL3" s="46" t="s">
        <v>411</v>
      </c>
      <c r="AM3" s="47" t="s">
        <v>412</v>
      </c>
      <c r="AN3" s="47" t="s">
        <v>413</v>
      </c>
      <c r="AO3" s="47" t="s">
        <v>414</v>
      </c>
      <c r="AP3" s="47" t="s">
        <v>415</v>
      </c>
      <c r="AQ3" s="47" t="s">
        <v>416</v>
      </c>
      <c r="AR3" s="47" t="s">
        <v>417</v>
      </c>
      <c r="AS3" s="48" t="s">
        <v>418</v>
      </c>
      <c r="AT3" s="46" t="s">
        <v>411</v>
      </c>
      <c r="AU3" s="47" t="s">
        <v>412</v>
      </c>
      <c r="AV3" s="47" t="s">
        <v>413</v>
      </c>
      <c r="AW3" s="47" t="s">
        <v>414</v>
      </c>
      <c r="AX3" s="47" t="s">
        <v>415</v>
      </c>
      <c r="AY3" s="47" t="s">
        <v>416</v>
      </c>
      <c r="AZ3" s="47" t="s">
        <v>417</v>
      </c>
      <c r="BA3" s="48" t="s">
        <v>418</v>
      </c>
    </row>
    <row r="4" spans="1:53">
      <c r="A4" s="1" t="s">
        <v>419</v>
      </c>
      <c r="B4" s="2" t="s">
        <v>420</v>
      </c>
      <c r="C4" s="43"/>
      <c r="D4" s="13"/>
      <c r="E4" s="13"/>
      <c r="F4" s="13"/>
      <c r="G4" s="13"/>
      <c r="H4" s="13">
        <v>1</v>
      </c>
      <c r="I4" s="13"/>
      <c r="J4" s="78">
        <v>3</v>
      </c>
      <c r="K4" s="43"/>
      <c r="L4" s="13"/>
      <c r="M4" s="13"/>
      <c r="N4" s="13"/>
      <c r="O4" s="13">
        <v>19</v>
      </c>
      <c r="P4" s="13"/>
      <c r="Q4" s="13"/>
      <c r="R4" s="78">
        <v>2</v>
      </c>
      <c r="S4" s="43"/>
      <c r="T4" s="13"/>
      <c r="U4" s="13"/>
      <c r="V4" s="13"/>
      <c r="W4" s="13">
        <v>5</v>
      </c>
      <c r="X4" s="13">
        <v>1</v>
      </c>
      <c r="Y4" s="13"/>
      <c r="Z4" s="78">
        <v>1</v>
      </c>
      <c r="AB4" s="1" t="s">
        <v>419</v>
      </c>
      <c r="AC4" s="2" t="s">
        <v>420</v>
      </c>
      <c r="AD4" s="43"/>
      <c r="AE4" s="13"/>
      <c r="AF4" s="13"/>
      <c r="AG4" s="13"/>
      <c r="AH4" s="13"/>
      <c r="AI4" s="13">
        <v>1</v>
      </c>
      <c r="AJ4" s="13"/>
      <c r="AK4" s="78">
        <v>4</v>
      </c>
      <c r="AL4" s="43"/>
      <c r="AM4" s="13"/>
      <c r="AN4" s="13"/>
      <c r="AO4" s="13"/>
      <c r="AP4" s="13"/>
      <c r="AQ4" s="13"/>
      <c r="AR4" s="13"/>
      <c r="AS4" s="78"/>
      <c r="AT4" s="43"/>
      <c r="AU4" s="13"/>
      <c r="AV4" s="13"/>
      <c r="AW4" s="13"/>
      <c r="AX4" s="13"/>
      <c r="AY4" s="13"/>
      <c r="AZ4" s="13"/>
      <c r="BA4" s="78"/>
    </row>
    <row r="5" spans="1:53">
      <c r="A5" s="82"/>
      <c r="B5" s="9" t="s">
        <v>421</v>
      </c>
      <c r="C5" s="43"/>
      <c r="D5" s="13"/>
      <c r="E5" s="13"/>
      <c r="F5" s="13"/>
      <c r="G5" s="13"/>
      <c r="H5" s="13"/>
      <c r="I5" s="13"/>
      <c r="J5" s="78">
        <v>2</v>
      </c>
      <c r="K5" s="43"/>
      <c r="L5" s="13"/>
      <c r="M5" s="13"/>
      <c r="N5" s="13"/>
      <c r="O5" s="13">
        <v>23</v>
      </c>
      <c r="P5" s="13"/>
      <c r="Q5" s="13"/>
      <c r="R5" s="78">
        <v>2</v>
      </c>
      <c r="S5" s="43"/>
      <c r="T5" s="13"/>
      <c r="U5" s="13"/>
      <c r="V5" s="13"/>
      <c r="W5" s="13"/>
      <c r="X5" s="13"/>
      <c r="Y5" s="13"/>
      <c r="Z5" s="78"/>
      <c r="AB5" s="82"/>
      <c r="AC5" s="9" t="s">
        <v>421</v>
      </c>
      <c r="AD5" s="43"/>
      <c r="AE5" s="13"/>
      <c r="AF5" s="13"/>
      <c r="AG5" s="13"/>
      <c r="AH5" s="13"/>
      <c r="AI5" s="13"/>
      <c r="AJ5" s="13"/>
      <c r="AK5" s="78">
        <v>1</v>
      </c>
      <c r="AL5" s="43"/>
      <c r="AM5" s="13"/>
      <c r="AN5" s="13"/>
      <c r="AO5" s="13"/>
      <c r="AP5" s="13"/>
      <c r="AQ5" s="13"/>
      <c r="AR5" s="13"/>
      <c r="AS5" s="78"/>
      <c r="AT5" s="43"/>
      <c r="AU5" s="13"/>
      <c r="AV5" s="13"/>
      <c r="AW5" s="13"/>
      <c r="AX5" s="13"/>
      <c r="AY5" s="13"/>
      <c r="AZ5" s="13"/>
      <c r="BA5" s="78"/>
    </row>
    <row r="6" spans="1:53">
      <c r="A6" s="82"/>
      <c r="B6" s="9" t="s">
        <v>422</v>
      </c>
      <c r="C6" s="43"/>
      <c r="D6" s="13"/>
      <c r="E6" s="13"/>
      <c r="F6" s="13"/>
      <c r="G6" s="13"/>
      <c r="H6" s="13"/>
      <c r="I6" s="13"/>
      <c r="J6" s="78">
        <v>1</v>
      </c>
      <c r="K6" s="43"/>
      <c r="L6" s="13"/>
      <c r="M6" s="13"/>
      <c r="N6" s="13"/>
      <c r="O6" s="13"/>
      <c r="P6" s="13"/>
      <c r="Q6" s="13"/>
      <c r="R6" s="78">
        <v>1</v>
      </c>
      <c r="S6" s="43"/>
      <c r="T6" s="13"/>
      <c r="U6" s="13"/>
      <c r="V6" s="13"/>
      <c r="W6" s="13"/>
      <c r="X6" s="13"/>
      <c r="Y6" s="13"/>
      <c r="Z6" s="78"/>
      <c r="AB6" s="82"/>
      <c r="AC6" s="9" t="s">
        <v>422</v>
      </c>
      <c r="AD6" s="43"/>
      <c r="AE6" s="13"/>
      <c r="AF6" s="13"/>
      <c r="AG6" s="13"/>
      <c r="AH6" s="13"/>
      <c r="AI6" s="13"/>
      <c r="AJ6" s="13"/>
      <c r="AK6" s="78">
        <v>1</v>
      </c>
      <c r="AL6" s="43"/>
      <c r="AM6" s="13"/>
      <c r="AN6" s="13"/>
      <c r="AO6" s="13"/>
      <c r="AP6" s="13"/>
      <c r="AQ6" s="13"/>
      <c r="AR6" s="13"/>
      <c r="AS6" s="78">
        <v>1</v>
      </c>
      <c r="AT6" s="43"/>
      <c r="AU6" s="13"/>
      <c r="AV6" s="13"/>
      <c r="AW6" s="13"/>
      <c r="AX6" s="13"/>
      <c r="AY6" s="13"/>
      <c r="AZ6" s="13"/>
      <c r="BA6" s="78"/>
    </row>
    <row r="7" spans="1:53">
      <c r="A7" s="82" t="s">
        <v>423</v>
      </c>
      <c r="B7" s="9" t="s">
        <v>420</v>
      </c>
      <c r="C7" s="43"/>
      <c r="D7" s="13"/>
      <c r="E7" s="13"/>
      <c r="F7" s="13"/>
      <c r="G7" s="13"/>
      <c r="H7" s="13"/>
      <c r="I7" s="13"/>
      <c r="J7" s="78"/>
      <c r="K7" s="43"/>
      <c r="L7" s="13"/>
      <c r="M7" s="13"/>
      <c r="N7" s="13"/>
      <c r="O7" s="13"/>
      <c r="P7" s="13"/>
      <c r="Q7" s="13">
        <v>1</v>
      </c>
      <c r="R7" s="78">
        <v>2</v>
      </c>
      <c r="S7" s="43"/>
      <c r="T7" s="13"/>
      <c r="U7" s="13"/>
      <c r="V7" s="13"/>
      <c r="W7" s="13">
        <v>13</v>
      </c>
      <c r="X7" s="13"/>
      <c r="Y7" s="13"/>
      <c r="Z7" s="78"/>
      <c r="AB7" s="82" t="s">
        <v>423</v>
      </c>
      <c r="AC7" s="9" t="s">
        <v>420</v>
      </c>
      <c r="AD7" s="43"/>
      <c r="AE7" s="13"/>
      <c r="AF7" s="13"/>
      <c r="AG7" s="13"/>
      <c r="AH7" s="13"/>
      <c r="AI7" s="13"/>
      <c r="AJ7" s="13"/>
      <c r="AK7" s="78">
        <v>1</v>
      </c>
      <c r="AL7" s="43"/>
      <c r="AM7" s="13"/>
      <c r="AN7" s="13"/>
      <c r="AO7" s="13"/>
      <c r="AP7" s="13"/>
      <c r="AQ7" s="13">
        <v>1</v>
      </c>
      <c r="AR7" s="13">
        <v>1</v>
      </c>
      <c r="AS7" s="78">
        <v>1</v>
      </c>
      <c r="AT7" s="43"/>
      <c r="AU7" s="13"/>
      <c r="AV7" s="13"/>
      <c r="AW7" s="13"/>
      <c r="AX7" s="13"/>
      <c r="AY7" s="13"/>
      <c r="AZ7" s="13">
        <v>1</v>
      </c>
      <c r="BA7" s="78"/>
    </row>
    <row r="8" spans="1:53">
      <c r="A8" s="82"/>
      <c r="B8" s="9" t="s">
        <v>421</v>
      </c>
      <c r="C8" s="43"/>
      <c r="D8" s="13"/>
      <c r="E8" s="13"/>
      <c r="F8" s="13"/>
      <c r="G8" s="13"/>
      <c r="H8" s="13"/>
      <c r="I8" s="13"/>
      <c r="J8" s="78"/>
      <c r="K8" s="43"/>
      <c r="L8" s="13"/>
      <c r="M8" s="13"/>
      <c r="N8" s="13"/>
      <c r="O8" s="13"/>
      <c r="P8" s="13"/>
      <c r="Q8" s="13"/>
      <c r="R8" s="78"/>
      <c r="S8" s="43"/>
      <c r="T8" s="13"/>
      <c r="U8" s="13"/>
      <c r="V8" s="13"/>
      <c r="W8" s="13">
        <v>24</v>
      </c>
      <c r="X8" s="13"/>
      <c r="Y8" s="13"/>
      <c r="Z8" s="78"/>
      <c r="AB8" s="82"/>
      <c r="AC8" s="9" t="s">
        <v>421</v>
      </c>
      <c r="AD8" s="43"/>
      <c r="AE8" s="13"/>
      <c r="AF8" s="13"/>
      <c r="AG8" s="13"/>
      <c r="AH8" s="13"/>
      <c r="AI8" s="13"/>
      <c r="AJ8" s="13"/>
      <c r="AK8" s="78">
        <v>1</v>
      </c>
      <c r="AL8" s="43"/>
      <c r="AM8" s="13"/>
      <c r="AN8" s="13"/>
      <c r="AO8" s="13"/>
      <c r="AP8" s="13"/>
      <c r="AQ8" s="13"/>
      <c r="AR8" s="13"/>
      <c r="AS8" s="78">
        <v>1</v>
      </c>
      <c r="AT8" s="43"/>
      <c r="AU8" s="13"/>
      <c r="AV8" s="13"/>
      <c r="AW8" s="13"/>
      <c r="AX8" s="13"/>
      <c r="AY8" s="13"/>
      <c r="AZ8" s="13"/>
      <c r="BA8" s="78"/>
    </row>
    <row r="9" spans="1:53">
      <c r="A9" s="82"/>
      <c r="B9" s="9" t="s">
        <v>422</v>
      </c>
      <c r="C9" s="43"/>
      <c r="D9" s="13"/>
      <c r="E9" s="13"/>
      <c r="F9" s="13"/>
      <c r="G9" s="13"/>
      <c r="H9" s="13"/>
      <c r="I9" s="13"/>
      <c r="J9" s="78"/>
      <c r="K9" s="43"/>
      <c r="L9" s="13"/>
      <c r="M9" s="13"/>
      <c r="N9" s="13"/>
      <c r="O9" s="13"/>
      <c r="P9" s="13"/>
      <c r="Q9" s="13"/>
      <c r="R9" s="78"/>
      <c r="S9" s="43"/>
      <c r="T9" s="13"/>
      <c r="U9" s="13"/>
      <c r="V9" s="13"/>
      <c r="W9" s="13"/>
      <c r="X9" s="13"/>
      <c r="Y9" s="13"/>
      <c r="Z9" s="78"/>
      <c r="AB9" s="82"/>
      <c r="AC9" s="9" t="s">
        <v>422</v>
      </c>
      <c r="AD9" s="43"/>
      <c r="AE9" s="13"/>
      <c r="AF9" s="13"/>
      <c r="AG9" s="13">
        <v>1</v>
      </c>
      <c r="AH9" s="13"/>
      <c r="AI9" s="13"/>
      <c r="AJ9" s="13"/>
      <c r="AK9" s="78">
        <v>3</v>
      </c>
      <c r="AL9" s="43"/>
      <c r="AM9" s="13"/>
      <c r="AN9" s="13"/>
      <c r="AO9" s="13"/>
      <c r="AP9" s="13"/>
      <c r="AQ9" s="13"/>
      <c r="AR9" s="13"/>
      <c r="AS9" s="78"/>
      <c r="AT9" s="43"/>
      <c r="AU9" s="13"/>
      <c r="AV9" s="13"/>
      <c r="AW9" s="13"/>
      <c r="AX9" s="13"/>
      <c r="AY9" s="13"/>
      <c r="AZ9" s="13"/>
      <c r="BA9" s="78"/>
    </row>
    <row r="10" spans="1:53">
      <c r="A10" s="82" t="s">
        <v>424</v>
      </c>
      <c r="B10" s="9" t="s">
        <v>420</v>
      </c>
      <c r="C10" s="43"/>
      <c r="D10" s="13"/>
      <c r="E10" s="13"/>
      <c r="F10" s="13"/>
      <c r="G10" s="13"/>
      <c r="H10" s="13"/>
      <c r="I10" s="13"/>
      <c r="J10" s="78"/>
      <c r="K10" s="43"/>
      <c r="L10" s="13">
        <v>1</v>
      </c>
      <c r="M10" s="13"/>
      <c r="N10" s="13"/>
      <c r="O10" s="13"/>
      <c r="P10" s="13"/>
      <c r="Q10" s="13"/>
      <c r="R10" s="78">
        <v>2</v>
      </c>
      <c r="S10" s="43"/>
      <c r="T10" s="13"/>
      <c r="U10" s="13"/>
      <c r="V10" s="13"/>
      <c r="W10" s="13">
        <v>18</v>
      </c>
      <c r="X10" s="13"/>
      <c r="Y10" s="13"/>
      <c r="Z10" s="78"/>
      <c r="AB10" s="82" t="s">
        <v>424</v>
      </c>
      <c r="AC10" s="9" t="s">
        <v>420</v>
      </c>
      <c r="AD10" s="43"/>
      <c r="AE10" s="13"/>
      <c r="AF10" s="13"/>
      <c r="AG10" s="13">
        <v>1</v>
      </c>
      <c r="AH10" s="13"/>
      <c r="AI10" s="13"/>
      <c r="AJ10" s="13"/>
      <c r="AK10" s="78">
        <v>4</v>
      </c>
      <c r="AL10" s="43"/>
      <c r="AM10" s="13"/>
      <c r="AN10" s="13"/>
      <c r="AO10" s="13"/>
      <c r="AP10" s="13"/>
      <c r="AQ10" s="13"/>
      <c r="AR10" s="13"/>
      <c r="AS10" s="78"/>
      <c r="AT10" s="43"/>
      <c r="AU10" s="13"/>
      <c r="AV10" s="13"/>
      <c r="AW10" s="13"/>
      <c r="AX10" s="13"/>
      <c r="AY10" s="13"/>
      <c r="AZ10" s="13"/>
      <c r="BA10" s="78"/>
    </row>
    <row r="11" spans="1:53">
      <c r="A11" s="82"/>
      <c r="B11" s="9" t="s">
        <v>421</v>
      </c>
      <c r="C11" s="43"/>
      <c r="D11" s="13"/>
      <c r="E11" s="13"/>
      <c r="F11" s="13"/>
      <c r="G11" s="13"/>
      <c r="H11" s="13"/>
      <c r="I11" s="13"/>
      <c r="J11" s="78"/>
      <c r="K11" s="43"/>
      <c r="L11" s="13">
        <v>1</v>
      </c>
      <c r="M11" s="13"/>
      <c r="N11" s="13"/>
      <c r="O11" s="13"/>
      <c r="P11" s="13"/>
      <c r="Q11" s="13"/>
      <c r="R11" s="78"/>
      <c r="S11" s="43"/>
      <c r="T11" s="13"/>
      <c r="U11" s="13"/>
      <c r="V11" s="13"/>
      <c r="W11" s="13"/>
      <c r="X11" s="13"/>
      <c r="Y11" s="13"/>
      <c r="Z11" s="78"/>
      <c r="AB11" s="82"/>
      <c r="AC11" s="9" t="s">
        <v>421</v>
      </c>
      <c r="AD11" s="43"/>
      <c r="AE11" s="13"/>
      <c r="AF11" s="13"/>
      <c r="AG11" s="13">
        <v>1</v>
      </c>
      <c r="AH11" s="13"/>
      <c r="AI11" s="13"/>
      <c r="AJ11" s="13"/>
      <c r="AK11" s="78">
        <v>3</v>
      </c>
      <c r="AL11" s="43"/>
      <c r="AM11" s="13"/>
      <c r="AN11" s="13"/>
      <c r="AO11" s="13"/>
      <c r="AP11" s="13"/>
      <c r="AQ11" s="13"/>
      <c r="AR11" s="13"/>
      <c r="AS11" s="78"/>
      <c r="AT11" s="43"/>
      <c r="AU11" s="13"/>
      <c r="AV11" s="13"/>
      <c r="AW11" s="13"/>
      <c r="AX11" s="13"/>
      <c r="AY11" s="13"/>
      <c r="AZ11" s="13"/>
      <c r="BA11" s="78"/>
    </row>
    <row r="12" spans="1:53">
      <c r="A12" s="82"/>
      <c r="B12" s="9" t="s">
        <v>422</v>
      </c>
      <c r="C12" s="43"/>
      <c r="D12" s="13"/>
      <c r="E12" s="13"/>
      <c r="F12" s="13"/>
      <c r="G12" s="13"/>
      <c r="H12" s="13"/>
      <c r="I12" s="13"/>
      <c r="J12" s="78">
        <v>1</v>
      </c>
      <c r="K12" s="43"/>
      <c r="L12" s="13"/>
      <c r="M12" s="13"/>
      <c r="N12" s="13"/>
      <c r="O12" s="13"/>
      <c r="P12" s="13"/>
      <c r="Q12" s="13"/>
      <c r="R12" s="78"/>
      <c r="S12" s="43"/>
      <c r="T12" s="13"/>
      <c r="U12" s="13"/>
      <c r="V12" s="13"/>
      <c r="W12" s="13"/>
      <c r="X12" s="13"/>
      <c r="Y12" s="13"/>
      <c r="Z12" s="78"/>
      <c r="AB12" s="82"/>
      <c r="AC12" s="9" t="s">
        <v>422</v>
      </c>
      <c r="AD12" s="43"/>
      <c r="AE12" s="13"/>
      <c r="AF12" s="13"/>
      <c r="AG12" s="13">
        <v>1</v>
      </c>
      <c r="AH12" s="13"/>
      <c r="AI12" s="13"/>
      <c r="AJ12" s="13"/>
      <c r="AK12" s="78">
        <v>2</v>
      </c>
      <c r="AL12" s="43"/>
      <c r="AM12" s="13"/>
      <c r="AN12" s="13"/>
      <c r="AO12" s="13"/>
      <c r="AP12" s="13"/>
      <c r="AQ12" s="13"/>
      <c r="AR12" s="13"/>
      <c r="AS12" s="78"/>
      <c r="AT12" s="43"/>
      <c r="AU12" s="13"/>
      <c r="AV12" s="13"/>
      <c r="AW12" s="13"/>
      <c r="AX12" s="13"/>
      <c r="AY12" s="13"/>
      <c r="AZ12" s="13"/>
      <c r="BA12" s="78"/>
    </row>
    <row r="13" spans="1:53">
      <c r="A13" s="82" t="s">
        <v>425</v>
      </c>
      <c r="B13" s="9" t="s">
        <v>420</v>
      </c>
      <c r="C13" s="43"/>
      <c r="D13" s="13"/>
      <c r="E13" s="13"/>
      <c r="F13" s="13"/>
      <c r="G13" s="13"/>
      <c r="H13" s="13"/>
      <c r="I13" s="13"/>
      <c r="J13" s="78">
        <v>1</v>
      </c>
      <c r="K13" s="43"/>
      <c r="L13" s="13"/>
      <c r="M13" s="13"/>
      <c r="N13" s="13"/>
      <c r="O13" s="13"/>
      <c r="P13" s="13"/>
      <c r="Q13" s="13"/>
      <c r="R13" s="78">
        <v>2</v>
      </c>
      <c r="S13" s="43"/>
      <c r="T13" s="13"/>
      <c r="U13" s="13"/>
      <c r="V13" s="13"/>
      <c r="W13" s="13">
        <v>2</v>
      </c>
      <c r="X13" s="13"/>
      <c r="Y13" s="13"/>
      <c r="Z13" s="78"/>
      <c r="AB13" s="82" t="s">
        <v>425</v>
      </c>
      <c r="AC13" s="9" t="s">
        <v>420</v>
      </c>
      <c r="AD13" s="43"/>
      <c r="AE13" s="13"/>
      <c r="AF13" s="13"/>
      <c r="AG13" s="13">
        <v>1</v>
      </c>
      <c r="AH13" s="13"/>
      <c r="AI13" s="13"/>
      <c r="AJ13" s="13"/>
      <c r="AK13" s="78">
        <v>2</v>
      </c>
      <c r="AL13" s="43"/>
      <c r="AM13" s="13"/>
      <c r="AN13" s="13"/>
      <c r="AO13" s="13"/>
      <c r="AP13" s="13"/>
      <c r="AQ13" s="13"/>
      <c r="AR13" s="13">
        <v>1</v>
      </c>
      <c r="AS13" s="78"/>
      <c r="AT13" s="43"/>
      <c r="AU13" s="13"/>
      <c r="AV13" s="13"/>
      <c r="AW13" s="13"/>
      <c r="AX13" s="13"/>
      <c r="AY13" s="13">
        <v>1</v>
      </c>
      <c r="AZ13" s="13">
        <v>1</v>
      </c>
      <c r="BA13" s="78"/>
    </row>
    <row r="14" spans="1:53">
      <c r="A14" s="82"/>
      <c r="B14" s="9" t="s">
        <v>421</v>
      </c>
      <c r="C14" s="43"/>
      <c r="D14" s="13"/>
      <c r="E14" s="13"/>
      <c r="F14" s="13"/>
      <c r="G14" s="13"/>
      <c r="H14" s="13"/>
      <c r="I14" s="13"/>
      <c r="J14" s="78">
        <v>1</v>
      </c>
      <c r="K14" s="43"/>
      <c r="L14" s="13"/>
      <c r="M14" s="13"/>
      <c r="N14" s="13"/>
      <c r="O14" s="13"/>
      <c r="P14" s="13"/>
      <c r="Q14" s="13"/>
      <c r="R14" s="78"/>
      <c r="S14" s="43"/>
      <c r="T14" s="13"/>
      <c r="U14" s="13"/>
      <c r="V14" s="13"/>
      <c r="W14" s="13"/>
      <c r="X14" s="13"/>
      <c r="Y14" s="13"/>
      <c r="Z14" s="78"/>
      <c r="AB14" s="82"/>
      <c r="AC14" s="9" t="s">
        <v>421</v>
      </c>
      <c r="AD14" s="43"/>
      <c r="AE14" s="13"/>
      <c r="AF14" s="13"/>
      <c r="AG14" s="13">
        <v>1</v>
      </c>
      <c r="AH14" s="13"/>
      <c r="AI14" s="13"/>
      <c r="AJ14" s="13"/>
      <c r="AK14" s="78">
        <v>1</v>
      </c>
      <c r="AL14" s="43"/>
      <c r="AM14" s="13"/>
      <c r="AN14" s="13"/>
      <c r="AO14" s="13"/>
      <c r="AP14" s="13"/>
      <c r="AQ14" s="13"/>
      <c r="AR14" s="13"/>
      <c r="AS14" s="78"/>
      <c r="AT14" s="43"/>
      <c r="AU14" s="13"/>
      <c r="AV14" s="13"/>
      <c r="AW14" s="13"/>
      <c r="AX14" s="13"/>
      <c r="AY14" s="13"/>
      <c r="AZ14" s="13"/>
      <c r="BA14" s="78"/>
    </row>
    <row r="15" spans="1:53">
      <c r="A15" s="82"/>
      <c r="B15" s="9" t="s">
        <v>422</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422</v>
      </c>
      <c r="AD15" s="43"/>
      <c r="AE15" s="13"/>
      <c r="AF15" s="13"/>
      <c r="AG15" s="13">
        <v>1</v>
      </c>
      <c r="AH15" s="13"/>
      <c r="AI15" s="13"/>
      <c r="AJ15" s="13"/>
      <c r="AK15" s="78">
        <v>3</v>
      </c>
      <c r="AL15" s="43"/>
      <c r="AM15" s="13"/>
      <c r="AN15" s="13"/>
      <c r="AO15" s="13"/>
      <c r="AP15" s="13"/>
      <c r="AQ15" s="13"/>
      <c r="AR15" s="13"/>
      <c r="AS15" s="78"/>
      <c r="AT15" s="43"/>
      <c r="AU15" s="13"/>
      <c r="AV15" s="13"/>
      <c r="AW15" s="13"/>
      <c r="AX15" s="13"/>
      <c r="AY15" s="13"/>
      <c r="AZ15" s="13"/>
      <c r="BA15" s="78">
        <v>1</v>
      </c>
    </row>
    <row r="16" spans="1:53">
      <c r="A16" s="82" t="s">
        <v>426</v>
      </c>
      <c r="B16" s="9" t="s">
        <v>420</v>
      </c>
      <c r="C16" s="43"/>
      <c r="D16" s="13"/>
      <c r="E16" s="13"/>
      <c r="F16" s="13"/>
      <c r="G16" s="13"/>
      <c r="H16" s="13"/>
      <c r="I16" s="13"/>
      <c r="J16" s="78"/>
      <c r="K16" s="43"/>
      <c r="L16" s="13"/>
      <c r="M16" s="13"/>
      <c r="N16" s="13"/>
      <c r="O16" s="13"/>
      <c r="P16" s="13">
        <v>1</v>
      </c>
      <c r="Q16" s="13"/>
      <c r="R16" s="78"/>
      <c r="S16" s="43"/>
      <c r="T16" s="13"/>
      <c r="U16" s="13"/>
      <c r="V16" s="13"/>
      <c r="W16" s="13">
        <v>23</v>
      </c>
      <c r="X16" s="13"/>
      <c r="Y16" s="13"/>
      <c r="Z16" s="78">
        <v>1</v>
      </c>
      <c r="AB16" s="82" t="s">
        <v>426</v>
      </c>
      <c r="AC16" s="9" t="s">
        <v>420</v>
      </c>
      <c r="AD16" s="43"/>
      <c r="AE16" s="13"/>
      <c r="AF16" s="13"/>
      <c r="AG16" s="13"/>
      <c r="AH16" s="13"/>
      <c r="AI16" s="13">
        <v>1</v>
      </c>
      <c r="AJ16" s="13"/>
      <c r="AK16" s="78">
        <v>3</v>
      </c>
      <c r="AL16" s="43">
        <v>1</v>
      </c>
      <c r="AM16" s="13"/>
      <c r="AN16" s="13"/>
      <c r="AO16" s="13"/>
      <c r="AP16" s="13"/>
      <c r="AQ16" s="13">
        <v>1</v>
      </c>
      <c r="AR16" s="13"/>
      <c r="AS16" s="78"/>
      <c r="AT16" s="43"/>
      <c r="AU16" s="13"/>
      <c r="AV16" s="13"/>
      <c r="AW16" s="13"/>
      <c r="AX16" s="13"/>
      <c r="AY16" s="13"/>
      <c r="AZ16" s="13"/>
      <c r="BA16" s="78">
        <v>1</v>
      </c>
    </row>
    <row r="17" spans="1:53">
      <c r="A17" s="82"/>
      <c r="B17" s="9" t="s">
        <v>421</v>
      </c>
      <c r="C17" s="43"/>
      <c r="D17" s="13"/>
      <c r="E17" s="13"/>
      <c r="F17" s="13"/>
      <c r="G17" s="13"/>
      <c r="H17" s="13"/>
      <c r="I17" s="13"/>
      <c r="J17" s="78"/>
      <c r="K17" s="43"/>
      <c r="L17" s="13"/>
      <c r="M17" s="13"/>
      <c r="N17" s="13"/>
      <c r="O17" s="13"/>
      <c r="P17" s="13"/>
      <c r="Q17" s="13"/>
      <c r="R17" s="78">
        <v>1</v>
      </c>
      <c r="S17" s="43"/>
      <c r="T17" s="13"/>
      <c r="U17" s="13"/>
      <c r="V17" s="13"/>
      <c r="W17" s="13"/>
      <c r="X17" s="13"/>
      <c r="Y17" s="13"/>
      <c r="Z17" s="78"/>
      <c r="AB17" s="82"/>
      <c r="AC17" s="9" t="s">
        <v>421</v>
      </c>
      <c r="AD17" s="43"/>
      <c r="AE17" s="13"/>
      <c r="AF17" s="13">
        <v>1</v>
      </c>
      <c r="AG17" s="13"/>
      <c r="AH17" s="13"/>
      <c r="AI17" s="13"/>
      <c r="AJ17" s="13"/>
      <c r="AK17" s="78">
        <v>3</v>
      </c>
      <c r="AL17" s="43"/>
      <c r="AM17" s="13"/>
      <c r="AN17" s="13"/>
      <c r="AO17" s="13"/>
      <c r="AP17" s="13"/>
      <c r="AQ17" s="13"/>
      <c r="AR17" s="13"/>
      <c r="AS17" s="78"/>
      <c r="AT17" s="43"/>
      <c r="AU17" s="13"/>
      <c r="AV17" s="13"/>
      <c r="AW17" s="13"/>
      <c r="AX17" s="13"/>
      <c r="AY17" s="13"/>
      <c r="AZ17" s="13"/>
      <c r="BA17" s="78">
        <v>1</v>
      </c>
    </row>
    <row r="18" spans="1:53">
      <c r="A18" s="82"/>
      <c r="B18" s="9" t="s">
        <v>422</v>
      </c>
      <c r="C18" s="43"/>
      <c r="D18" s="13"/>
      <c r="E18" s="13"/>
      <c r="F18" s="13"/>
      <c r="G18" s="13"/>
      <c r="H18" s="13"/>
      <c r="I18" s="13"/>
      <c r="J18" s="78"/>
      <c r="K18" s="43"/>
      <c r="L18" s="13"/>
      <c r="M18" s="13"/>
      <c r="N18" s="13"/>
      <c r="O18" s="13"/>
      <c r="P18" s="13"/>
      <c r="Q18" s="13"/>
      <c r="R18" s="78">
        <v>1</v>
      </c>
      <c r="S18" s="43"/>
      <c r="T18" s="13"/>
      <c r="U18" s="13"/>
      <c r="V18" s="13">
        <v>1</v>
      </c>
      <c r="W18" s="13"/>
      <c r="X18" s="13"/>
      <c r="Y18" s="13"/>
      <c r="Z18" s="78"/>
      <c r="AB18" s="82"/>
      <c r="AC18" s="9" t="s">
        <v>422</v>
      </c>
      <c r="AD18" s="43"/>
      <c r="AE18" s="13"/>
      <c r="AF18" s="13">
        <v>1</v>
      </c>
      <c r="AG18" s="13"/>
      <c r="AH18" s="13"/>
      <c r="AI18" s="13"/>
      <c r="AJ18" s="13"/>
      <c r="AK18" s="78">
        <v>3</v>
      </c>
      <c r="AL18" s="43"/>
      <c r="AM18" s="13"/>
      <c r="AN18" s="13"/>
      <c r="AO18" s="13"/>
      <c r="AP18" s="13"/>
      <c r="AQ18" s="13"/>
      <c r="AR18" s="13"/>
      <c r="AS18" s="78">
        <v>1</v>
      </c>
      <c r="AT18" s="43"/>
      <c r="AU18" s="13"/>
      <c r="AV18" s="13"/>
      <c r="AW18" s="13">
        <v>1</v>
      </c>
      <c r="AX18" s="13"/>
      <c r="AY18" s="13"/>
      <c r="AZ18" s="13"/>
      <c r="BA18" s="78"/>
    </row>
    <row r="19" spans="1:53">
      <c r="A19" s="82" t="s">
        <v>427</v>
      </c>
      <c r="B19" s="9" t="s">
        <v>420</v>
      </c>
      <c r="C19" s="43"/>
      <c r="D19" s="13"/>
      <c r="E19" s="13"/>
      <c r="F19" s="13"/>
      <c r="G19" s="13"/>
      <c r="H19" s="13"/>
      <c r="I19" s="13"/>
      <c r="J19" s="78"/>
      <c r="K19" s="43"/>
      <c r="L19" s="13"/>
      <c r="M19" s="13"/>
      <c r="N19" s="13"/>
      <c r="O19" s="13"/>
      <c r="P19" s="13"/>
      <c r="Q19" s="13"/>
      <c r="R19" s="78">
        <v>1</v>
      </c>
      <c r="S19" s="43"/>
      <c r="T19" s="13">
        <v>1</v>
      </c>
      <c r="U19" s="13"/>
      <c r="V19" s="13"/>
      <c r="W19" s="13">
        <v>23</v>
      </c>
      <c r="X19" s="13"/>
      <c r="Y19" s="13"/>
      <c r="Z19" s="78">
        <v>1</v>
      </c>
      <c r="AB19" s="82" t="s">
        <v>427</v>
      </c>
      <c r="AC19" s="9" t="s">
        <v>420</v>
      </c>
      <c r="AD19" s="43"/>
      <c r="AE19" s="13"/>
      <c r="AF19" s="13">
        <v>1</v>
      </c>
      <c r="AG19" s="13">
        <v>1</v>
      </c>
      <c r="AH19" s="13"/>
      <c r="AI19" s="13"/>
      <c r="AJ19" s="13"/>
      <c r="AK19" s="78">
        <v>4</v>
      </c>
      <c r="AL19" s="43"/>
      <c r="AM19" s="13"/>
      <c r="AN19" s="13"/>
      <c r="AO19" s="13"/>
      <c r="AP19" s="13"/>
      <c r="AQ19" s="13"/>
      <c r="AR19" s="13"/>
      <c r="AS19" s="78">
        <v>1</v>
      </c>
      <c r="AT19" s="43"/>
      <c r="AU19" s="13"/>
      <c r="AV19" s="13"/>
      <c r="AW19" s="13">
        <v>1</v>
      </c>
      <c r="AX19" s="13"/>
      <c r="AY19" s="13"/>
      <c r="AZ19" s="13"/>
      <c r="BA19" s="78"/>
    </row>
    <row r="20" spans="1:53">
      <c r="A20" s="82"/>
      <c r="B20" s="9" t="s">
        <v>421</v>
      </c>
      <c r="C20" s="43"/>
      <c r="D20" s="13"/>
      <c r="E20" s="13"/>
      <c r="F20" s="13"/>
      <c r="G20" s="13"/>
      <c r="H20" s="13"/>
      <c r="I20" s="13"/>
      <c r="J20" s="78"/>
      <c r="K20" s="43"/>
      <c r="L20" s="13"/>
      <c r="M20" s="13"/>
      <c r="N20" s="13"/>
      <c r="O20" s="13"/>
      <c r="P20" s="13"/>
      <c r="Q20" s="13"/>
      <c r="R20" s="78"/>
      <c r="S20" s="43"/>
      <c r="T20" s="13">
        <v>1</v>
      </c>
      <c r="U20" s="13"/>
      <c r="V20" s="13"/>
      <c r="W20" s="13"/>
      <c r="X20" s="13"/>
      <c r="Y20" s="13"/>
      <c r="Z20" s="78"/>
      <c r="AB20" s="82"/>
      <c r="AC20" s="9" t="s">
        <v>421</v>
      </c>
      <c r="AD20" s="43"/>
      <c r="AE20" s="13"/>
      <c r="AF20" s="13">
        <v>1</v>
      </c>
      <c r="AG20" s="13">
        <v>1</v>
      </c>
      <c r="AH20" s="13"/>
      <c r="AI20" s="13"/>
      <c r="AJ20" s="13"/>
      <c r="AK20" s="78">
        <v>1</v>
      </c>
      <c r="AL20" s="43"/>
      <c r="AM20" s="13"/>
      <c r="AN20" s="13"/>
      <c r="AO20" s="13"/>
      <c r="AP20" s="13"/>
      <c r="AQ20" s="13"/>
      <c r="AR20" s="13"/>
      <c r="AS20" s="78">
        <v>1</v>
      </c>
      <c r="AT20" s="43"/>
      <c r="AU20" s="13"/>
      <c r="AV20" s="13"/>
      <c r="AW20" s="13">
        <v>1</v>
      </c>
      <c r="AX20" s="13"/>
      <c r="AY20" s="13"/>
      <c r="AZ20" s="13"/>
      <c r="BA20" s="78"/>
    </row>
    <row r="21" spans="1:53">
      <c r="A21" s="82"/>
      <c r="B21" s="9" t="s">
        <v>422</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422</v>
      </c>
      <c r="AD21" s="43"/>
      <c r="AE21" s="13"/>
      <c r="AF21" s="13"/>
      <c r="AG21" s="13">
        <v>1</v>
      </c>
      <c r="AH21" s="13"/>
      <c r="AI21" s="13"/>
      <c r="AJ21" s="13"/>
      <c r="AK21" s="78">
        <v>1</v>
      </c>
      <c r="AL21" s="43"/>
      <c r="AM21" s="13"/>
      <c r="AN21" s="13"/>
      <c r="AO21" s="13"/>
      <c r="AP21" s="13"/>
      <c r="AQ21" s="13"/>
      <c r="AR21" s="13"/>
      <c r="AS21" s="78">
        <v>1</v>
      </c>
      <c r="AT21" s="43"/>
      <c r="AU21" s="13"/>
      <c r="AV21" s="13"/>
      <c r="AW21" s="13">
        <v>1</v>
      </c>
      <c r="AX21" s="13"/>
      <c r="AY21" s="13"/>
      <c r="AZ21" s="13"/>
      <c r="BA21" s="78"/>
    </row>
    <row r="22" spans="1:53">
      <c r="A22" s="82" t="s">
        <v>428</v>
      </c>
      <c r="B22" s="9" t="s">
        <v>420</v>
      </c>
      <c r="C22" s="43"/>
      <c r="D22" s="13"/>
      <c r="E22" s="13"/>
      <c r="F22" s="13"/>
      <c r="G22" s="13">
        <v>12</v>
      </c>
      <c r="H22" s="13"/>
      <c r="I22" s="13"/>
      <c r="J22" s="78"/>
      <c r="K22" s="43"/>
      <c r="L22" s="13"/>
      <c r="M22" s="13"/>
      <c r="N22" s="13"/>
      <c r="O22" s="13"/>
      <c r="P22" s="13"/>
      <c r="Q22" s="13"/>
      <c r="R22" s="78"/>
      <c r="S22" s="43"/>
      <c r="T22" s="13">
        <v>1</v>
      </c>
      <c r="U22" s="13"/>
      <c r="V22" s="13"/>
      <c r="W22" s="13">
        <v>2</v>
      </c>
      <c r="X22" s="13"/>
      <c r="Y22" s="13"/>
      <c r="Z22" s="78"/>
      <c r="AB22" s="82" t="s">
        <v>428</v>
      </c>
      <c r="AC22" s="9" t="s">
        <v>420</v>
      </c>
      <c r="AD22" s="43"/>
      <c r="AE22" s="13"/>
      <c r="AF22" s="13"/>
      <c r="AG22" s="13">
        <v>1</v>
      </c>
      <c r="AH22" s="13"/>
      <c r="AI22" s="13"/>
      <c r="AJ22" s="13"/>
      <c r="AK22" s="78">
        <v>1</v>
      </c>
      <c r="AL22" s="43">
        <v>1</v>
      </c>
      <c r="AM22" s="13"/>
      <c r="AN22" s="13"/>
      <c r="AO22" s="13"/>
      <c r="AP22" s="13"/>
      <c r="AQ22" s="13"/>
      <c r="AR22" s="13"/>
      <c r="AS22" s="78">
        <v>1</v>
      </c>
      <c r="AT22" s="43"/>
      <c r="AU22" s="13"/>
      <c r="AV22" s="13"/>
      <c r="AW22" s="13">
        <v>1</v>
      </c>
      <c r="AX22" s="13"/>
      <c r="AY22" s="13">
        <v>1</v>
      </c>
      <c r="AZ22" s="13"/>
      <c r="BA22" s="78"/>
    </row>
    <row r="23" spans="1:53">
      <c r="A23" s="82"/>
      <c r="B23" s="9" t="s">
        <v>421</v>
      </c>
      <c r="C23" s="43"/>
      <c r="D23" s="13"/>
      <c r="E23" s="13"/>
      <c r="F23" s="13"/>
      <c r="G23" s="13">
        <v>14</v>
      </c>
      <c r="H23" s="13"/>
      <c r="I23" s="13"/>
      <c r="J23" s="78">
        <v>1</v>
      </c>
      <c r="K23" s="43"/>
      <c r="L23" s="13"/>
      <c r="M23" s="13"/>
      <c r="N23" s="13"/>
      <c r="O23" s="13"/>
      <c r="P23" s="13"/>
      <c r="Q23" s="13"/>
      <c r="R23" s="78"/>
      <c r="S23" s="43"/>
      <c r="T23" s="13">
        <v>1</v>
      </c>
      <c r="U23" s="13"/>
      <c r="V23" s="13"/>
      <c r="W23" s="13"/>
      <c r="X23" s="13"/>
      <c r="Y23" s="13"/>
      <c r="Z23" s="78">
        <v>1</v>
      </c>
      <c r="AB23" s="82"/>
      <c r="AC23" s="9" t="s">
        <v>421</v>
      </c>
      <c r="AD23" s="43"/>
      <c r="AE23" s="13"/>
      <c r="AF23" s="13"/>
      <c r="AG23" s="13">
        <v>1</v>
      </c>
      <c r="AH23" s="13"/>
      <c r="AI23" s="13"/>
      <c r="AJ23" s="13"/>
      <c r="AK23" s="78">
        <v>2</v>
      </c>
      <c r="AL23" s="43"/>
      <c r="AM23" s="13"/>
      <c r="AN23" s="13"/>
      <c r="AO23" s="13"/>
      <c r="AP23" s="13"/>
      <c r="AQ23" s="13"/>
      <c r="AR23" s="13"/>
      <c r="AS23" s="78"/>
      <c r="AT23" s="43"/>
      <c r="AU23" s="13"/>
      <c r="AV23" s="13"/>
      <c r="AW23" s="13">
        <v>1</v>
      </c>
      <c r="AX23" s="13"/>
      <c r="AY23" s="13"/>
      <c r="AZ23" s="13"/>
      <c r="BA23" s="78"/>
    </row>
    <row r="24" spans="1:53">
      <c r="A24" s="81"/>
      <c r="B24" s="55" t="s">
        <v>422</v>
      </c>
      <c r="C24" s="44"/>
      <c r="D24" s="56"/>
      <c r="E24" s="56"/>
      <c r="F24" s="56"/>
      <c r="G24" s="56"/>
      <c r="H24" s="56"/>
      <c r="I24" s="56"/>
      <c r="J24" s="22">
        <v>3</v>
      </c>
      <c r="K24" s="44"/>
      <c r="L24" s="56"/>
      <c r="M24" s="56"/>
      <c r="N24" s="56"/>
      <c r="O24" s="56"/>
      <c r="P24" s="56"/>
      <c r="Q24" s="56"/>
      <c r="R24" s="22">
        <v>2</v>
      </c>
      <c r="S24" s="44"/>
      <c r="T24" s="56"/>
      <c r="U24" s="56"/>
      <c r="V24" s="56"/>
      <c r="W24" s="56"/>
      <c r="X24" s="56"/>
      <c r="Y24" s="56"/>
      <c r="Z24" s="22">
        <v>1</v>
      </c>
      <c r="AB24" s="81"/>
      <c r="AC24" s="55" t="s">
        <v>422</v>
      </c>
      <c r="AD24" s="44"/>
      <c r="AE24" s="56"/>
      <c r="AF24" s="56"/>
      <c r="AG24" s="56">
        <v>1</v>
      </c>
      <c r="AH24" s="56"/>
      <c r="AI24" s="56"/>
      <c r="AJ24" s="56"/>
      <c r="AK24" s="22">
        <v>3</v>
      </c>
      <c r="AL24" s="44"/>
      <c r="AM24" s="56"/>
      <c r="AN24" s="56"/>
      <c r="AO24" s="56"/>
      <c r="AP24" s="56"/>
      <c r="AQ24" s="56"/>
      <c r="AR24" s="56"/>
      <c r="AS24" s="22"/>
      <c r="AT24" s="44"/>
      <c r="AU24" s="56"/>
      <c r="AV24" s="56"/>
      <c r="AW24" s="56">
        <v>1</v>
      </c>
      <c r="AX24" s="56"/>
      <c r="AY24" s="56"/>
      <c r="AZ24" s="56"/>
      <c r="BA24" s="22"/>
    </row>
    <row r="25" spans="1:53">
      <c r="A25" s="79" t="s">
        <v>261</v>
      </c>
      <c r="B25" s="80"/>
      <c r="C25" s="45">
        <v>0</v>
      </c>
      <c r="D25" s="83">
        <v>0</v>
      </c>
      <c r="E25" s="83">
        <v>0</v>
      </c>
      <c r="F25" s="83">
        <v>0</v>
      </c>
      <c r="G25" s="83">
        <v>26</v>
      </c>
      <c r="H25" s="83">
        <v>1</v>
      </c>
      <c r="I25" s="83">
        <v>0</v>
      </c>
      <c r="J25" s="83">
        <v>13</v>
      </c>
      <c r="K25" s="84">
        <v>0</v>
      </c>
      <c r="L25" s="83">
        <v>2</v>
      </c>
      <c r="M25" s="83">
        <v>0</v>
      </c>
      <c r="N25" s="83">
        <v>0</v>
      </c>
      <c r="O25" s="83">
        <v>42</v>
      </c>
      <c r="P25" s="83">
        <v>1</v>
      </c>
      <c r="Q25" s="83">
        <v>1</v>
      </c>
      <c r="R25" s="83">
        <v>16</v>
      </c>
      <c r="S25" s="84">
        <v>0</v>
      </c>
      <c r="T25" s="85">
        <v>4</v>
      </c>
      <c r="U25" s="85">
        <v>0</v>
      </c>
      <c r="V25" s="85">
        <v>1</v>
      </c>
      <c r="W25" s="85">
        <v>110</v>
      </c>
      <c r="X25" s="85">
        <v>1</v>
      </c>
      <c r="Y25" s="85">
        <v>0</v>
      </c>
      <c r="Z25" s="86">
        <v>5</v>
      </c>
      <c r="AB25" s="79" t="s">
        <v>261</v>
      </c>
      <c r="AC25" s="80"/>
      <c r="AD25" s="84">
        <v>0</v>
      </c>
      <c r="AE25" s="83">
        <v>0</v>
      </c>
      <c r="AF25" s="83">
        <v>4</v>
      </c>
      <c r="AG25" s="83">
        <v>13</v>
      </c>
      <c r="AH25" s="83">
        <v>0</v>
      </c>
      <c r="AI25" s="83">
        <v>2</v>
      </c>
      <c r="AJ25" s="83">
        <v>0</v>
      </c>
      <c r="AK25" s="83">
        <v>47</v>
      </c>
      <c r="AL25" s="84">
        <v>2</v>
      </c>
      <c r="AM25" s="83">
        <v>0</v>
      </c>
      <c r="AN25" s="83">
        <v>0</v>
      </c>
      <c r="AO25" s="83">
        <v>0</v>
      </c>
      <c r="AP25" s="83">
        <v>0</v>
      </c>
      <c r="AQ25" s="83">
        <v>2</v>
      </c>
      <c r="AR25" s="83">
        <v>2</v>
      </c>
      <c r="AS25" s="83">
        <v>8</v>
      </c>
      <c r="AT25" s="84">
        <v>0</v>
      </c>
      <c r="AU25" s="85">
        <v>0</v>
      </c>
      <c r="AV25" s="85">
        <v>0</v>
      </c>
      <c r="AW25" s="85">
        <v>7</v>
      </c>
      <c r="AX25" s="85">
        <v>0</v>
      </c>
      <c r="AY25" s="85">
        <v>2</v>
      </c>
      <c r="AZ25" s="85">
        <v>2</v>
      </c>
      <c r="BA25" s="86">
        <v>3</v>
      </c>
    </row>
    <row r="28" spans="1:53">
      <c r="A28" s="42">
        <v>3</v>
      </c>
      <c r="C28" s="547" t="s">
        <v>429</v>
      </c>
      <c r="D28" s="548"/>
      <c r="E28" s="548"/>
      <c r="F28" s="548"/>
      <c r="G28" s="548"/>
      <c r="H28" s="548"/>
      <c r="I28" s="548"/>
      <c r="J28" s="549"/>
      <c r="K28" s="547" t="s">
        <v>430</v>
      </c>
      <c r="L28" s="548"/>
      <c r="M28" s="548"/>
      <c r="N28" s="548"/>
      <c r="O28" s="548"/>
      <c r="P28" s="548"/>
      <c r="Q28" s="548"/>
      <c r="R28" s="549"/>
      <c r="S28" s="547" t="s">
        <v>431</v>
      </c>
      <c r="T28" s="548"/>
      <c r="U28" s="548"/>
      <c r="V28" s="548"/>
      <c r="W28" s="548"/>
      <c r="X28" s="548"/>
      <c r="Y28" s="548"/>
      <c r="Z28" s="549"/>
      <c r="AA28" s="13"/>
      <c r="AB28" s="42">
        <v>4</v>
      </c>
      <c r="AC28" s="13"/>
      <c r="AD28" s="547" t="s">
        <v>432</v>
      </c>
      <c r="AE28" s="548"/>
      <c r="AF28" s="548"/>
      <c r="AG28" s="548"/>
      <c r="AH28" s="548"/>
      <c r="AI28" s="548"/>
      <c r="AJ28" s="548"/>
      <c r="AK28" s="549"/>
      <c r="AL28" s="547" t="s">
        <v>433</v>
      </c>
      <c r="AM28" s="548"/>
      <c r="AN28" s="548"/>
      <c r="AO28" s="548"/>
      <c r="AP28" s="548"/>
      <c r="AQ28" s="548"/>
      <c r="AR28" s="548"/>
      <c r="AS28" s="549"/>
      <c r="AT28" s="547" t="s">
        <v>434</v>
      </c>
      <c r="AU28" s="548"/>
      <c r="AV28" s="548"/>
      <c r="AW28" s="548"/>
      <c r="AX28" s="548"/>
      <c r="AY28" s="548"/>
      <c r="AZ28" s="548"/>
      <c r="BA28" s="549"/>
    </row>
    <row r="29" spans="1:53" customHeight="1" ht="152.25">
      <c r="C29" s="189" t="s">
        <v>411</v>
      </c>
      <c r="D29" s="190" t="s">
        <v>412</v>
      </c>
      <c r="E29" s="190" t="s">
        <v>413</v>
      </c>
      <c r="F29" s="190" t="s">
        <v>414</v>
      </c>
      <c r="G29" s="47" t="s">
        <v>415</v>
      </c>
      <c r="H29" s="190" t="s">
        <v>416</v>
      </c>
      <c r="I29" s="190" t="s">
        <v>417</v>
      </c>
      <c r="J29" s="192" t="s">
        <v>418</v>
      </c>
      <c r="K29" s="46" t="s">
        <v>411</v>
      </c>
      <c r="L29" s="47" t="s">
        <v>412</v>
      </c>
      <c r="M29" s="47" t="s">
        <v>413</v>
      </c>
      <c r="N29" s="47" t="s">
        <v>414</v>
      </c>
      <c r="O29" s="47" t="s">
        <v>415</v>
      </c>
      <c r="P29" s="47" t="s">
        <v>416</v>
      </c>
      <c r="Q29" s="47" t="s">
        <v>417</v>
      </c>
      <c r="R29" s="48" t="s">
        <v>418</v>
      </c>
      <c r="S29" s="46" t="s">
        <v>411</v>
      </c>
      <c r="T29" s="47" t="s">
        <v>412</v>
      </c>
      <c r="U29" s="47" t="s">
        <v>413</v>
      </c>
      <c r="V29" s="47" t="s">
        <v>414</v>
      </c>
      <c r="W29" s="47" t="s">
        <v>415</v>
      </c>
      <c r="X29" s="47" t="s">
        <v>416</v>
      </c>
      <c r="Y29" s="47" t="s">
        <v>417</v>
      </c>
      <c r="Z29" s="48" t="s">
        <v>418</v>
      </c>
      <c r="AD29" s="46" t="s">
        <v>411</v>
      </c>
      <c r="AE29" s="47" t="s">
        <v>412</v>
      </c>
      <c r="AF29" s="47" t="s">
        <v>413</v>
      </c>
      <c r="AG29" s="47" t="s">
        <v>414</v>
      </c>
      <c r="AH29" s="47" t="s">
        <v>415</v>
      </c>
      <c r="AI29" s="47" t="s">
        <v>416</v>
      </c>
      <c r="AJ29" s="47" t="s">
        <v>417</v>
      </c>
      <c r="AK29" s="48" t="s">
        <v>418</v>
      </c>
      <c r="AL29" s="46" t="s">
        <v>411</v>
      </c>
      <c r="AM29" s="47" t="s">
        <v>412</v>
      </c>
      <c r="AN29" s="47" t="s">
        <v>413</v>
      </c>
      <c r="AO29" s="47" t="s">
        <v>414</v>
      </c>
      <c r="AP29" s="47" t="s">
        <v>415</v>
      </c>
      <c r="AQ29" s="47" t="s">
        <v>416</v>
      </c>
      <c r="AR29" s="47" t="s">
        <v>417</v>
      </c>
      <c r="AS29" s="48" t="s">
        <v>418</v>
      </c>
      <c r="AT29" s="46" t="s">
        <v>411</v>
      </c>
      <c r="AU29" s="47" t="s">
        <v>412</v>
      </c>
      <c r="AV29" s="47" t="s">
        <v>413</v>
      </c>
      <c r="AW29" s="47" t="s">
        <v>414</v>
      </c>
      <c r="AX29" s="47" t="s">
        <v>415</v>
      </c>
      <c r="AY29" s="47" t="s">
        <v>416</v>
      </c>
      <c r="AZ29" s="47" t="s">
        <v>417</v>
      </c>
      <c r="BA29" s="48" t="s">
        <v>418</v>
      </c>
    </row>
    <row r="30" spans="1:53">
      <c r="A30" s="1" t="s">
        <v>419</v>
      </c>
      <c r="B30" s="2" t="s">
        <v>420</v>
      </c>
      <c r="C30" s="43"/>
      <c r="D30" s="13"/>
      <c r="E30" s="13"/>
      <c r="F30" s="13"/>
      <c r="G30" s="13"/>
      <c r="H30" s="13"/>
      <c r="I30" s="13"/>
      <c r="J30" s="78"/>
      <c r="K30" s="43"/>
      <c r="L30" s="13"/>
      <c r="M30" s="13"/>
      <c r="N30" s="13"/>
      <c r="O30" s="13"/>
      <c r="P30" s="13"/>
      <c r="Q30" s="13"/>
      <c r="R30" s="78"/>
      <c r="S30" s="43"/>
      <c r="T30" s="13"/>
      <c r="U30" s="13"/>
      <c r="V30" s="13"/>
      <c r="W30" s="13"/>
      <c r="X30" s="13"/>
      <c r="Y30" s="13"/>
      <c r="Z30" s="78">
        <v>1</v>
      </c>
      <c r="AB30" s="1" t="s">
        <v>419</v>
      </c>
      <c r="AC30" s="2" t="s">
        <v>420</v>
      </c>
      <c r="AD30" s="43"/>
      <c r="AE30" s="13"/>
      <c r="AF30" s="13"/>
      <c r="AG30" s="13"/>
      <c r="AH30" s="13"/>
      <c r="AI30" s="13"/>
      <c r="AJ30" s="13"/>
      <c r="AK30" s="78"/>
      <c r="AL30" s="43"/>
      <c r="AM30" s="13"/>
      <c r="AN30" s="13"/>
      <c r="AO30" s="13"/>
      <c r="AP30" s="13"/>
      <c r="AQ30" s="13"/>
      <c r="AR30" s="13">
        <v>1</v>
      </c>
      <c r="AS30" s="78"/>
      <c r="AT30" s="43">
        <v>1</v>
      </c>
      <c r="AU30" s="13"/>
      <c r="AV30" s="13"/>
      <c r="AW30" s="13"/>
      <c r="AX30" s="13"/>
      <c r="AY30" s="13">
        <v>1</v>
      </c>
      <c r="AZ30" s="13"/>
      <c r="BA30" s="78">
        <v>1</v>
      </c>
    </row>
    <row r="31" spans="1:53">
      <c r="A31" s="82"/>
      <c r="B31" s="9" t="s">
        <v>421</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421</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422</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422</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423</v>
      </c>
      <c r="B33" s="9" t="s">
        <v>420</v>
      </c>
      <c r="C33" s="43"/>
      <c r="D33" s="13"/>
      <c r="E33" s="13"/>
      <c r="F33" s="13"/>
      <c r="G33" s="13"/>
      <c r="H33" s="13"/>
      <c r="I33" s="13"/>
      <c r="J33" s="78"/>
      <c r="K33" s="43"/>
      <c r="L33" s="13"/>
      <c r="M33" s="13"/>
      <c r="N33" s="13"/>
      <c r="O33" s="13"/>
      <c r="P33" s="13"/>
      <c r="Q33" s="13"/>
      <c r="R33" s="78"/>
      <c r="S33" s="43"/>
      <c r="T33" s="13"/>
      <c r="U33" s="13"/>
      <c r="V33" s="13"/>
      <c r="W33" s="13"/>
      <c r="X33" s="13">
        <v>1</v>
      </c>
      <c r="Y33" s="13"/>
      <c r="Z33" s="78"/>
      <c r="AB33" s="82" t="s">
        <v>423</v>
      </c>
      <c r="AC33" s="9" t="s">
        <v>420</v>
      </c>
      <c r="AD33" s="43"/>
      <c r="AE33" s="13"/>
      <c r="AF33" s="13"/>
      <c r="AG33" s="13"/>
      <c r="AH33" s="13">
        <v>17</v>
      </c>
      <c r="AI33" s="13">
        <v>3</v>
      </c>
      <c r="AJ33" s="13"/>
      <c r="AK33" s="78"/>
      <c r="AL33" s="43"/>
      <c r="AM33" s="13"/>
      <c r="AN33" s="13"/>
      <c r="AO33" s="13"/>
      <c r="AP33" s="13"/>
      <c r="AQ33" s="13"/>
      <c r="AR33" s="13"/>
      <c r="AS33" s="78"/>
      <c r="AT33" s="43"/>
      <c r="AU33" s="13"/>
      <c r="AV33" s="13"/>
      <c r="AW33" s="13"/>
      <c r="AX33" s="13"/>
      <c r="AY33" s="13"/>
      <c r="AZ33" s="13">
        <v>1</v>
      </c>
      <c r="BA33" s="78"/>
    </row>
    <row r="34" spans="1:53">
      <c r="A34" s="82"/>
      <c r="B34" s="9" t="s">
        <v>421</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421</v>
      </c>
      <c r="AD34" s="43"/>
      <c r="AE34" s="13"/>
      <c r="AF34" s="13"/>
      <c r="AG34" s="13"/>
      <c r="AH34" s="13">
        <v>22</v>
      </c>
      <c r="AI34" s="13"/>
      <c r="AJ34" s="13"/>
      <c r="AK34" s="78"/>
      <c r="AL34" s="43"/>
      <c r="AM34" s="13"/>
      <c r="AN34" s="13"/>
      <c r="AO34" s="13"/>
      <c r="AP34" s="13"/>
      <c r="AQ34" s="13"/>
      <c r="AR34" s="13"/>
      <c r="AS34" s="78"/>
      <c r="AT34" s="43"/>
      <c r="AU34" s="13"/>
      <c r="AV34" s="13">
        <v>1</v>
      </c>
      <c r="AW34" s="13"/>
      <c r="AX34" s="13"/>
      <c r="AY34" s="13"/>
      <c r="AZ34" s="13"/>
      <c r="BA34" s="78"/>
    </row>
    <row r="35" spans="1:53">
      <c r="A35" s="82"/>
      <c r="B35" s="9" t="s">
        <v>422</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422</v>
      </c>
      <c r="AD35" s="43"/>
      <c r="AE35" s="13"/>
      <c r="AF35" s="13"/>
      <c r="AG35" s="13"/>
      <c r="AH35" s="13"/>
      <c r="AI35" s="13"/>
      <c r="AJ35" s="13"/>
      <c r="AK35" s="78"/>
      <c r="AL35" s="43"/>
      <c r="AM35" s="13"/>
      <c r="AN35" s="13"/>
      <c r="AO35" s="13"/>
      <c r="AP35" s="13"/>
      <c r="AQ35" s="13"/>
      <c r="AR35" s="13"/>
      <c r="AS35" s="78"/>
      <c r="AT35" s="43"/>
      <c r="AU35" s="13"/>
      <c r="AV35" s="13">
        <v>1</v>
      </c>
      <c r="AW35" s="13"/>
      <c r="AX35" s="13"/>
      <c r="AY35" s="13"/>
      <c r="AZ35" s="13"/>
      <c r="BA35" s="78"/>
    </row>
    <row r="36" spans="1:53">
      <c r="A36" s="82" t="s">
        <v>424</v>
      </c>
      <c r="B36" s="9" t="s">
        <v>420</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424</v>
      </c>
      <c r="AC36" s="9" t="s">
        <v>420</v>
      </c>
      <c r="AD36" s="43"/>
      <c r="AE36" s="13"/>
      <c r="AF36" s="13"/>
      <c r="AG36" s="13"/>
      <c r="AH36" s="13"/>
      <c r="AI36" s="13">
        <v>1</v>
      </c>
      <c r="AJ36" s="13"/>
      <c r="AK36" s="78"/>
      <c r="AL36" s="43"/>
      <c r="AM36" s="13"/>
      <c r="AN36" s="13"/>
      <c r="AO36" s="13"/>
      <c r="AP36" s="13"/>
      <c r="AQ36" s="13"/>
      <c r="AR36" s="13">
        <v>1</v>
      </c>
      <c r="AS36" s="78"/>
      <c r="AT36" s="43"/>
      <c r="AU36" s="13"/>
      <c r="AV36" s="13">
        <v>1</v>
      </c>
      <c r="AW36" s="13"/>
      <c r="AX36" s="13"/>
      <c r="AY36" s="13"/>
      <c r="AZ36" s="13"/>
      <c r="BA36" s="78"/>
    </row>
    <row r="37" spans="1:53">
      <c r="A37" s="82"/>
      <c r="B37" s="9" t="s">
        <v>421</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421</v>
      </c>
      <c r="AD37" s="43"/>
      <c r="AE37" s="13"/>
      <c r="AF37" s="13"/>
      <c r="AG37" s="13"/>
      <c r="AH37" s="13"/>
      <c r="AI37" s="13"/>
      <c r="AJ37" s="13"/>
      <c r="AK37" s="78"/>
      <c r="AL37" s="43"/>
      <c r="AM37" s="13"/>
      <c r="AN37" s="13"/>
      <c r="AO37" s="13"/>
      <c r="AP37" s="13"/>
      <c r="AQ37" s="13"/>
      <c r="AR37" s="13"/>
      <c r="AS37" s="78"/>
      <c r="AT37" s="43"/>
      <c r="AU37" s="13"/>
      <c r="AV37" s="13">
        <v>1</v>
      </c>
      <c r="AW37" s="13"/>
      <c r="AX37" s="13"/>
      <c r="AY37" s="13"/>
      <c r="AZ37" s="13"/>
      <c r="BA37" s="78"/>
    </row>
    <row r="38" spans="1:53">
      <c r="A38" s="82"/>
      <c r="B38" s="9" t="s">
        <v>422</v>
      </c>
      <c r="C38" s="43"/>
      <c r="D38" s="13"/>
      <c r="E38" s="13"/>
      <c r="F38" s="13"/>
      <c r="G38" s="13"/>
      <c r="H38" s="13"/>
      <c r="I38" s="13"/>
      <c r="J38" s="78">
        <v>3</v>
      </c>
      <c r="K38" s="43"/>
      <c r="L38" s="13"/>
      <c r="M38" s="13"/>
      <c r="N38" s="13"/>
      <c r="O38" s="13"/>
      <c r="P38" s="13"/>
      <c r="Q38" s="13"/>
      <c r="R38" s="78"/>
      <c r="S38" s="43"/>
      <c r="T38" s="13"/>
      <c r="U38" s="13"/>
      <c r="V38" s="13"/>
      <c r="W38" s="13"/>
      <c r="X38" s="13"/>
      <c r="Y38" s="13"/>
      <c r="Z38" s="78">
        <v>1</v>
      </c>
      <c r="AB38" s="82"/>
      <c r="AC38" s="9" t="s">
        <v>422</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425</v>
      </c>
      <c r="B39" s="9" t="s">
        <v>420</v>
      </c>
      <c r="C39" s="43"/>
      <c r="D39" s="13"/>
      <c r="E39" s="13"/>
      <c r="F39" s="13"/>
      <c r="G39" s="13"/>
      <c r="H39" s="13"/>
      <c r="I39" s="13"/>
      <c r="J39" s="78">
        <v>3</v>
      </c>
      <c r="K39" s="43"/>
      <c r="L39" s="13"/>
      <c r="M39" s="13"/>
      <c r="N39" s="13"/>
      <c r="O39" s="13"/>
      <c r="P39" s="13">
        <v>1</v>
      </c>
      <c r="Q39" s="13"/>
      <c r="R39" s="78"/>
      <c r="S39" s="43"/>
      <c r="T39" s="13"/>
      <c r="U39" s="13"/>
      <c r="V39" s="13"/>
      <c r="W39" s="13"/>
      <c r="X39" s="13">
        <v>2</v>
      </c>
      <c r="Y39" s="13"/>
      <c r="Z39" s="78">
        <v>1</v>
      </c>
      <c r="AB39" s="82" t="s">
        <v>425</v>
      </c>
      <c r="AC39" s="9" t="s">
        <v>420</v>
      </c>
      <c r="AD39" s="43"/>
      <c r="AE39" s="13"/>
      <c r="AF39" s="13"/>
      <c r="AG39" s="13"/>
      <c r="AH39" s="13"/>
      <c r="AI39" s="13"/>
      <c r="AJ39" s="13"/>
      <c r="AK39" s="78">
        <v>1</v>
      </c>
      <c r="AL39" s="43"/>
      <c r="AM39" s="13"/>
      <c r="AN39" s="13"/>
      <c r="AO39" s="13"/>
      <c r="AP39" s="13"/>
      <c r="AQ39" s="13"/>
      <c r="AR39" s="13">
        <v>1</v>
      </c>
      <c r="AS39" s="78"/>
      <c r="AT39" s="43"/>
      <c r="AU39" s="13"/>
      <c r="AV39" s="13"/>
      <c r="AW39" s="13"/>
      <c r="AX39" s="13">
        <v>9</v>
      </c>
      <c r="AY39" s="13">
        <v>1</v>
      </c>
      <c r="AZ39" s="13"/>
      <c r="BA39" s="78">
        <v>1</v>
      </c>
    </row>
    <row r="40" spans="1:53">
      <c r="A40" s="82"/>
      <c r="B40" s="9" t="s">
        <v>421</v>
      </c>
      <c r="C40" s="43"/>
      <c r="D40" s="13"/>
      <c r="E40" s="13"/>
      <c r="F40" s="13"/>
      <c r="G40" s="13"/>
      <c r="H40" s="13"/>
      <c r="I40" s="13"/>
      <c r="J40" s="78">
        <v>3</v>
      </c>
      <c r="K40" s="43"/>
      <c r="L40" s="13"/>
      <c r="M40" s="13"/>
      <c r="N40" s="13"/>
      <c r="O40" s="13"/>
      <c r="P40" s="13"/>
      <c r="Q40" s="13"/>
      <c r="R40" s="78"/>
      <c r="S40" s="43"/>
      <c r="T40" s="13"/>
      <c r="U40" s="13"/>
      <c r="V40" s="13"/>
      <c r="W40" s="13"/>
      <c r="X40" s="13"/>
      <c r="Y40" s="13"/>
      <c r="Z40" s="78">
        <v>1</v>
      </c>
      <c r="AB40" s="82"/>
      <c r="AC40" s="9" t="s">
        <v>421</v>
      </c>
      <c r="AD40" s="43"/>
      <c r="AE40" s="13"/>
      <c r="AF40" s="13"/>
      <c r="AG40" s="13"/>
      <c r="AH40" s="13"/>
      <c r="AI40" s="13"/>
      <c r="AJ40" s="13"/>
      <c r="AK40" s="78"/>
      <c r="AL40" s="43"/>
      <c r="AM40" s="13"/>
      <c r="AN40" s="13"/>
      <c r="AO40" s="13"/>
      <c r="AP40" s="13"/>
      <c r="AQ40" s="13"/>
      <c r="AR40" s="13"/>
      <c r="AS40" s="78"/>
      <c r="AT40" s="43"/>
      <c r="AU40" s="13"/>
      <c r="AV40" s="13"/>
      <c r="AW40" s="13"/>
      <c r="AX40" s="13">
        <v>24</v>
      </c>
      <c r="AY40" s="13"/>
      <c r="AZ40" s="13"/>
      <c r="BA40" s="78">
        <v>1</v>
      </c>
    </row>
    <row r="41" spans="1:53">
      <c r="A41" s="82"/>
      <c r="B41" s="9" t="s">
        <v>422</v>
      </c>
      <c r="C41" s="43"/>
      <c r="D41" s="13"/>
      <c r="E41" s="13"/>
      <c r="F41" s="13"/>
      <c r="G41" s="13"/>
      <c r="H41" s="13"/>
      <c r="I41" s="13"/>
      <c r="J41" s="78">
        <v>2</v>
      </c>
      <c r="K41" s="43"/>
      <c r="L41" s="13"/>
      <c r="M41" s="13"/>
      <c r="N41" s="13"/>
      <c r="O41" s="13"/>
      <c r="P41" s="13"/>
      <c r="Q41" s="13"/>
      <c r="R41" s="78">
        <v>1</v>
      </c>
      <c r="S41" s="43"/>
      <c r="T41" s="13"/>
      <c r="U41" s="13"/>
      <c r="V41" s="13"/>
      <c r="W41" s="13"/>
      <c r="X41" s="13"/>
      <c r="Y41" s="13"/>
      <c r="Z41" s="78"/>
      <c r="AB41" s="82"/>
      <c r="AC41" s="9" t="s">
        <v>422</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v>1</v>
      </c>
    </row>
    <row r="42" spans="1:53">
      <c r="A42" s="82" t="s">
        <v>426</v>
      </c>
      <c r="B42" s="9" t="s">
        <v>420</v>
      </c>
      <c r="C42" s="43"/>
      <c r="D42" s="13"/>
      <c r="E42" s="13"/>
      <c r="F42" s="13"/>
      <c r="G42" s="13"/>
      <c r="H42" s="13">
        <v>1</v>
      </c>
      <c r="I42" s="13"/>
      <c r="J42" s="78">
        <v>2</v>
      </c>
      <c r="K42" s="43"/>
      <c r="L42" s="13"/>
      <c r="M42" s="13"/>
      <c r="N42" s="13"/>
      <c r="O42" s="13"/>
      <c r="P42" s="13"/>
      <c r="Q42" s="13"/>
      <c r="R42" s="78">
        <v>1</v>
      </c>
      <c r="S42" s="43"/>
      <c r="T42" s="13"/>
      <c r="U42" s="13"/>
      <c r="V42" s="13"/>
      <c r="W42" s="13"/>
      <c r="X42" s="13"/>
      <c r="Y42" s="13"/>
      <c r="Z42" s="78"/>
      <c r="AB42" s="82" t="s">
        <v>426</v>
      </c>
      <c r="AC42" s="9" t="s">
        <v>420</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v>1</v>
      </c>
    </row>
    <row r="43" spans="1:53">
      <c r="A43" s="82"/>
      <c r="B43" s="9" t="s">
        <v>421</v>
      </c>
      <c r="C43" s="43"/>
      <c r="D43" s="13"/>
      <c r="E43" s="13"/>
      <c r="F43" s="13"/>
      <c r="G43" s="13"/>
      <c r="H43" s="13"/>
      <c r="I43" s="13"/>
      <c r="J43" s="78"/>
      <c r="K43" s="43"/>
      <c r="L43" s="13"/>
      <c r="M43" s="13">
        <v>1</v>
      </c>
      <c r="N43" s="13"/>
      <c r="O43" s="13"/>
      <c r="P43" s="13"/>
      <c r="Q43" s="13"/>
      <c r="R43" s="78">
        <v>1</v>
      </c>
      <c r="S43" s="43"/>
      <c r="T43" s="13"/>
      <c r="U43" s="13"/>
      <c r="V43" s="13"/>
      <c r="W43" s="13"/>
      <c r="X43" s="13"/>
      <c r="Y43" s="13"/>
      <c r="Z43" s="78"/>
      <c r="AB43" s="82"/>
      <c r="AC43" s="9" t="s">
        <v>421</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422</v>
      </c>
      <c r="C44" s="43"/>
      <c r="D44" s="13"/>
      <c r="E44" s="13"/>
      <c r="F44" s="13"/>
      <c r="G44" s="13"/>
      <c r="H44" s="13"/>
      <c r="I44" s="13"/>
      <c r="J44" s="78"/>
      <c r="K44" s="43"/>
      <c r="L44" s="13"/>
      <c r="M44" s="13">
        <v>1</v>
      </c>
      <c r="N44" s="13"/>
      <c r="O44" s="13"/>
      <c r="P44" s="13"/>
      <c r="Q44" s="13"/>
      <c r="R44" s="78">
        <v>1</v>
      </c>
      <c r="S44" s="43"/>
      <c r="T44" s="13"/>
      <c r="U44" s="13"/>
      <c r="V44" s="13"/>
      <c r="W44" s="13"/>
      <c r="X44" s="13"/>
      <c r="Y44" s="13"/>
      <c r="Z44" s="78"/>
      <c r="AB44" s="82"/>
      <c r="AC44" s="9" t="s">
        <v>422</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427</v>
      </c>
      <c r="B45" s="9" t="s">
        <v>420</v>
      </c>
      <c r="C45" s="43"/>
      <c r="D45" s="13"/>
      <c r="E45" s="13"/>
      <c r="F45" s="13"/>
      <c r="G45" s="13"/>
      <c r="H45" s="13">
        <v>1</v>
      </c>
      <c r="I45" s="13"/>
      <c r="J45" s="78"/>
      <c r="K45" s="43">
        <v>1</v>
      </c>
      <c r="L45" s="13"/>
      <c r="M45" s="13">
        <v>1</v>
      </c>
      <c r="N45" s="13"/>
      <c r="O45" s="13"/>
      <c r="P45" s="13"/>
      <c r="Q45" s="13">
        <v>1</v>
      </c>
      <c r="R45" s="78">
        <v>1</v>
      </c>
      <c r="S45" s="43"/>
      <c r="T45" s="13"/>
      <c r="U45" s="13"/>
      <c r="V45" s="13"/>
      <c r="W45" s="13"/>
      <c r="X45" s="13">
        <v>1</v>
      </c>
      <c r="Y45" s="13">
        <v>1</v>
      </c>
      <c r="Z45" s="78"/>
      <c r="AB45" s="82" t="s">
        <v>427</v>
      </c>
      <c r="AC45" s="9" t="s">
        <v>420</v>
      </c>
      <c r="AD45" s="43"/>
      <c r="AE45" s="13"/>
      <c r="AF45" s="13"/>
      <c r="AG45" s="13"/>
      <c r="AH45" s="13"/>
      <c r="AI45" s="13">
        <v>1</v>
      </c>
      <c r="AJ45" s="13">
        <v>1</v>
      </c>
      <c r="AK45" s="78"/>
      <c r="AL45" s="43"/>
      <c r="AM45" s="13"/>
      <c r="AN45" s="13"/>
      <c r="AO45" s="13"/>
      <c r="AP45" s="13"/>
      <c r="AQ45" s="13"/>
      <c r="AR45" s="13"/>
      <c r="AS45" s="78">
        <v>1</v>
      </c>
      <c r="AT45" s="43"/>
      <c r="AU45" s="13"/>
      <c r="AV45" s="13"/>
      <c r="AW45" s="13"/>
      <c r="AX45" s="13"/>
      <c r="AY45" s="13"/>
      <c r="AZ45" s="13"/>
      <c r="BA45" s="78"/>
    </row>
    <row r="46" spans="1:53">
      <c r="A46" s="82"/>
      <c r="B46" s="9" t="s">
        <v>421</v>
      </c>
      <c r="C46" s="43"/>
      <c r="D46" s="13"/>
      <c r="E46" s="13"/>
      <c r="F46" s="13"/>
      <c r="G46" s="13"/>
      <c r="H46" s="13"/>
      <c r="I46" s="13"/>
      <c r="J46" s="78"/>
      <c r="K46" s="43"/>
      <c r="L46" s="13"/>
      <c r="M46" s="13">
        <v>1</v>
      </c>
      <c r="N46" s="13"/>
      <c r="O46" s="13"/>
      <c r="P46" s="13"/>
      <c r="Q46" s="13"/>
      <c r="R46" s="78"/>
      <c r="S46" s="43"/>
      <c r="T46" s="13"/>
      <c r="U46" s="13"/>
      <c r="V46" s="13"/>
      <c r="W46" s="13"/>
      <c r="X46" s="13"/>
      <c r="Y46" s="13"/>
      <c r="Z46" s="78">
        <v>1</v>
      </c>
      <c r="AB46" s="82"/>
      <c r="AC46" s="9" t="s">
        <v>421</v>
      </c>
      <c r="AD46" s="43"/>
      <c r="AE46" s="13"/>
      <c r="AF46" s="13"/>
      <c r="AG46" s="13"/>
      <c r="AH46" s="13"/>
      <c r="AI46" s="13"/>
      <c r="AJ46" s="13"/>
      <c r="AK46" s="78"/>
      <c r="AL46" s="43"/>
      <c r="AM46" s="13"/>
      <c r="AN46" s="13"/>
      <c r="AO46" s="13"/>
      <c r="AP46" s="13"/>
      <c r="AQ46" s="13"/>
      <c r="AR46" s="13"/>
      <c r="AS46" s="78">
        <v>1</v>
      </c>
      <c r="AT46" s="43"/>
      <c r="AU46" s="13"/>
      <c r="AV46" s="13"/>
      <c r="AW46" s="13"/>
      <c r="AX46" s="13"/>
      <c r="AY46" s="13"/>
      <c r="AZ46" s="13"/>
      <c r="BA46" s="78"/>
    </row>
    <row r="47" spans="1:53">
      <c r="A47" s="82"/>
      <c r="B47" s="9" t="s">
        <v>422</v>
      </c>
      <c r="C47" s="43"/>
      <c r="D47" s="13"/>
      <c r="E47" s="13"/>
      <c r="F47" s="13"/>
      <c r="G47" s="13"/>
      <c r="H47" s="13"/>
      <c r="I47" s="13"/>
      <c r="J47" s="78"/>
      <c r="K47" s="43"/>
      <c r="L47" s="13"/>
      <c r="M47" s="13"/>
      <c r="N47" s="13"/>
      <c r="O47" s="13"/>
      <c r="P47" s="13"/>
      <c r="Q47" s="13"/>
      <c r="R47" s="78"/>
      <c r="S47" s="43"/>
      <c r="T47" s="13"/>
      <c r="U47" s="13"/>
      <c r="V47" s="13"/>
      <c r="W47" s="13"/>
      <c r="X47" s="13"/>
      <c r="Y47" s="13"/>
      <c r="Z47" s="78">
        <v>1</v>
      </c>
      <c r="AB47" s="82"/>
      <c r="AC47" s="9" t="s">
        <v>422</v>
      </c>
      <c r="AD47" s="43"/>
      <c r="AE47" s="13"/>
      <c r="AF47" s="13"/>
      <c r="AG47" s="13"/>
      <c r="AH47" s="13"/>
      <c r="AI47" s="13"/>
      <c r="AJ47" s="13"/>
      <c r="AK47" s="78"/>
      <c r="AL47" s="43"/>
      <c r="AM47" s="13"/>
      <c r="AN47" s="13"/>
      <c r="AO47" s="13"/>
      <c r="AP47" s="13"/>
      <c r="AQ47" s="13"/>
      <c r="AR47" s="13"/>
      <c r="AS47" s="78">
        <v>1</v>
      </c>
      <c r="AT47" s="43"/>
      <c r="AU47" s="13"/>
      <c r="AV47" s="13"/>
      <c r="AW47" s="13"/>
      <c r="AX47" s="13"/>
      <c r="AY47" s="13"/>
      <c r="AZ47" s="13"/>
      <c r="BA47" s="78"/>
    </row>
    <row r="48" spans="1:53">
      <c r="A48" s="82" t="s">
        <v>428</v>
      </c>
      <c r="B48" s="9" t="s">
        <v>420</v>
      </c>
      <c r="C48" s="43"/>
      <c r="D48" s="13"/>
      <c r="E48" s="13"/>
      <c r="F48" s="13"/>
      <c r="G48" s="13"/>
      <c r="H48" s="13"/>
      <c r="I48" s="13"/>
      <c r="J48" s="78"/>
      <c r="K48" s="43"/>
      <c r="L48" s="13"/>
      <c r="M48" s="13"/>
      <c r="N48" s="13"/>
      <c r="O48" s="13"/>
      <c r="P48" s="13"/>
      <c r="Q48" s="13"/>
      <c r="R48" s="78"/>
      <c r="S48" s="43"/>
      <c r="T48" s="13"/>
      <c r="U48" s="13"/>
      <c r="V48" s="13"/>
      <c r="W48" s="13"/>
      <c r="X48" s="13">
        <v>1</v>
      </c>
      <c r="Y48" s="13"/>
      <c r="Z48" s="78">
        <v>1</v>
      </c>
      <c r="AB48" s="82" t="s">
        <v>428</v>
      </c>
      <c r="AC48" s="9" t="s">
        <v>420</v>
      </c>
      <c r="AD48" s="43"/>
      <c r="AE48" s="13"/>
      <c r="AF48" s="13"/>
      <c r="AG48" s="13"/>
      <c r="AH48" s="13">
        <v>13</v>
      </c>
      <c r="AI48" s="13"/>
      <c r="AJ48" s="13"/>
      <c r="AK48" s="78"/>
      <c r="AL48" s="43"/>
      <c r="AM48" s="13"/>
      <c r="AN48" s="13"/>
      <c r="AO48" s="13"/>
      <c r="AP48" s="13"/>
      <c r="AQ48" s="13"/>
      <c r="AR48" s="13"/>
      <c r="AS48" s="78">
        <v>1</v>
      </c>
      <c r="AT48" s="43"/>
      <c r="AU48" s="13"/>
      <c r="AV48" s="13"/>
      <c r="AW48" s="13"/>
      <c r="AX48" s="13"/>
      <c r="AY48" s="13"/>
      <c r="AZ48" s="13"/>
      <c r="BA48" s="78"/>
    </row>
    <row r="49" spans="1:53">
      <c r="A49" s="82"/>
      <c r="B49" s="9" t="s">
        <v>421</v>
      </c>
      <c r="C49" s="43"/>
      <c r="D49" s="13"/>
      <c r="E49" s="13"/>
      <c r="F49" s="13"/>
      <c r="G49" s="13"/>
      <c r="H49" s="13"/>
      <c r="I49" s="13"/>
      <c r="J49" s="78"/>
      <c r="K49" s="43"/>
      <c r="L49" s="13"/>
      <c r="M49" s="13"/>
      <c r="N49" s="13"/>
      <c r="O49" s="13"/>
      <c r="P49" s="13"/>
      <c r="Q49" s="13"/>
      <c r="R49" s="78"/>
      <c r="S49" s="43"/>
      <c r="T49" s="13"/>
      <c r="U49" s="13"/>
      <c r="V49" s="13"/>
      <c r="W49" s="13"/>
      <c r="X49" s="13"/>
      <c r="Y49" s="13"/>
      <c r="Z49" s="78">
        <v>1</v>
      </c>
      <c r="AB49" s="82"/>
      <c r="AC49" s="9" t="s">
        <v>421</v>
      </c>
      <c r="AD49" s="43"/>
      <c r="AE49" s="13"/>
      <c r="AF49" s="13"/>
      <c r="AG49" s="13"/>
      <c r="AH49" s="13">
        <v>10</v>
      </c>
      <c r="AI49" s="13"/>
      <c r="AJ49" s="13"/>
      <c r="AK49" s="78"/>
      <c r="AL49" s="43"/>
      <c r="AM49" s="13"/>
      <c r="AN49" s="13"/>
      <c r="AO49" s="13"/>
      <c r="AP49" s="13"/>
      <c r="AQ49" s="13"/>
      <c r="AR49" s="13"/>
      <c r="AS49" s="78"/>
      <c r="AT49" s="43"/>
      <c r="AU49" s="13"/>
      <c r="AV49" s="13"/>
      <c r="AW49" s="13"/>
      <c r="AX49" s="13"/>
      <c r="AY49" s="13"/>
      <c r="AZ49" s="13"/>
      <c r="BA49" s="78">
        <v>1</v>
      </c>
    </row>
    <row r="50" spans="1:53" customHeight="1" ht="15">
      <c r="A50" s="81"/>
      <c r="B50" s="55" t="s">
        <v>422</v>
      </c>
      <c r="C50" s="44"/>
      <c r="D50" s="56"/>
      <c r="E50" s="56"/>
      <c r="F50" s="56"/>
      <c r="G50" s="56"/>
      <c r="H50" s="56"/>
      <c r="I50" s="56"/>
      <c r="J50" s="22"/>
      <c r="K50" s="44"/>
      <c r="L50" s="56"/>
      <c r="M50" s="56"/>
      <c r="N50" s="56"/>
      <c r="O50" s="56"/>
      <c r="P50" s="56"/>
      <c r="Q50" s="56"/>
      <c r="R50" s="22"/>
      <c r="S50" s="44"/>
      <c r="T50" s="56"/>
      <c r="U50" s="56"/>
      <c r="V50" s="56"/>
      <c r="W50" s="56"/>
      <c r="X50" s="56"/>
      <c r="Y50" s="56"/>
      <c r="Z50" s="22">
        <v>1</v>
      </c>
      <c r="AB50" s="81"/>
      <c r="AC50" s="55" t="s">
        <v>422</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v>1</v>
      </c>
    </row>
    <row r="51" spans="1:53" customHeight="1" ht="15.5">
      <c r="A51" s="79" t="s">
        <v>261</v>
      </c>
      <c r="B51" s="80"/>
      <c r="C51" s="84">
        <v>0</v>
      </c>
      <c r="D51" s="83">
        <v>0</v>
      </c>
      <c r="E51" s="83">
        <v>0</v>
      </c>
      <c r="F51" s="83">
        <v>0</v>
      </c>
      <c r="G51" s="83">
        <v>0</v>
      </c>
      <c r="H51" s="83">
        <v>2</v>
      </c>
      <c r="I51" s="83">
        <v>0</v>
      </c>
      <c r="J51" s="83">
        <v>13</v>
      </c>
      <c r="K51" s="84">
        <v>1</v>
      </c>
      <c r="L51" s="83">
        <v>0</v>
      </c>
      <c r="M51" s="83">
        <v>4</v>
      </c>
      <c r="N51" s="83">
        <v>0</v>
      </c>
      <c r="O51" s="83">
        <v>0</v>
      </c>
      <c r="P51" s="83">
        <v>1</v>
      </c>
      <c r="Q51" s="83">
        <v>1</v>
      </c>
      <c r="R51" s="83">
        <v>5</v>
      </c>
      <c r="S51" s="84">
        <v>0</v>
      </c>
      <c r="T51" s="83">
        <v>0</v>
      </c>
      <c r="U51" s="83">
        <v>0</v>
      </c>
      <c r="V51" s="83">
        <v>0</v>
      </c>
      <c r="W51" s="83">
        <v>0</v>
      </c>
      <c r="X51" s="83">
        <v>5</v>
      </c>
      <c r="Y51" s="83">
        <v>1</v>
      </c>
      <c r="Z51" s="86">
        <v>9</v>
      </c>
      <c r="AB51" s="545" t="s">
        <v>261</v>
      </c>
      <c r="AC51" s="546"/>
      <c r="AD51" s="84">
        <v>0</v>
      </c>
      <c r="AE51" s="83">
        <v>0</v>
      </c>
      <c r="AF51" s="83">
        <v>0</v>
      </c>
      <c r="AG51" s="83">
        <v>0</v>
      </c>
      <c r="AH51" s="83">
        <v>62</v>
      </c>
      <c r="AI51" s="83">
        <v>5</v>
      </c>
      <c r="AJ51" s="83">
        <v>1</v>
      </c>
      <c r="AK51" s="83">
        <v>1</v>
      </c>
      <c r="AL51" s="84">
        <v>0</v>
      </c>
      <c r="AM51" s="83">
        <v>0</v>
      </c>
      <c r="AN51" s="83">
        <v>0</v>
      </c>
      <c r="AO51" s="83">
        <v>0</v>
      </c>
      <c r="AP51" s="83">
        <v>0</v>
      </c>
      <c r="AQ51" s="83">
        <v>0</v>
      </c>
      <c r="AR51" s="83">
        <v>3</v>
      </c>
      <c r="AS51" s="83">
        <v>5</v>
      </c>
      <c r="AT51" s="84">
        <v>1</v>
      </c>
      <c r="AU51" s="83">
        <v>0</v>
      </c>
      <c r="AV51" s="83">
        <v>4</v>
      </c>
      <c r="AW51" s="83">
        <v>0</v>
      </c>
      <c r="AX51" s="83">
        <v>33</v>
      </c>
      <c r="AY51" s="83">
        <v>2</v>
      </c>
      <c r="AZ51" s="83">
        <v>1</v>
      </c>
      <c r="BA51" s="86">
        <v>7</v>
      </c>
    </row>
    <row r="52" spans="1:53" customHeight="1" ht="15.5">
      <c r="AB52" s="543" t="s">
        <v>435</v>
      </c>
      <c r="AC52" s="544"/>
      <c r="AD52" s="187">
        <f>SUM(AD51,AL51,AT51,S51,K51,C51,C25,K25,S25,AD25,AL25,AT25)</f>
        <v>4</v>
      </c>
      <c r="AE52" s="187">
        <f>SUM(AE51,AM51,AU51,T51,L51,D51,D25,L25,T25,AE25,AM25,AU25)</f>
        <v>6</v>
      </c>
      <c r="AF52" s="187">
        <f>SUM(AF51,AN51,AV51,U51,M51,E51,E25,M25,U25,AF25,AN25,AV25)</f>
        <v>12</v>
      </c>
      <c r="AG52" s="187">
        <f>SUM(AG51,AO51,AW51,V51,N51,F51,F25,N25,V25,AG25,AO25,AW25)</f>
        <v>21</v>
      </c>
      <c r="AH52" s="187">
        <f>SUM(AH51,AP51,AX51,W51,O51,G51,G25,O25,W25,AH25,AP25,AX25)</f>
        <v>273</v>
      </c>
      <c r="AI52" s="187">
        <f>SUM(AI51+AQ51+AY51+AY25+AQ25+AI25+X25+P25+H25+H51+P51+X51)</f>
        <v>24</v>
      </c>
      <c r="AJ52" s="187">
        <f>SUM(AJ51+AR51+AZ51+AZ25+AR25+AJ25+Y51+Q51+I51+I25+Q25+Y25)</f>
        <v>12</v>
      </c>
      <c r="AK52" s="193">
        <f>SUM(BA51,AS51,AK51,Z51,R51,J51,J25,R25,Z25,AK25,AS25,BA25)</f>
        <v>132</v>
      </c>
      <c r="AL52" s="188"/>
    </row>
    <row r="56" spans="1:53" customHeight="1" ht="15"/>
    <row r="57" spans="1:53">
      <c r="C57" s="537" t="s">
        <v>436</v>
      </c>
      <c r="D57" s="538"/>
      <c r="E57" s="538"/>
      <c r="F57" s="538"/>
      <c r="G57" s="538"/>
      <c r="H57" s="538"/>
      <c r="I57" s="538"/>
      <c r="J57" s="538"/>
      <c r="K57" s="538"/>
      <c r="L57" s="538"/>
      <c r="M57" s="538"/>
      <c r="N57" s="538"/>
      <c r="O57" s="538"/>
      <c r="P57" s="539"/>
    </row>
    <row r="58" spans="1:53">
      <c r="C58" s="540"/>
      <c r="D58" s="541"/>
      <c r="E58" s="541"/>
      <c r="F58" s="541"/>
      <c r="G58" s="541"/>
      <c r="H58" s="541"/>
      <c r="I58" s="541"/>
      <c r="J58" s="541"/>
      <c r="K58" s="541"/>
      <c r="L58" s="541"/>
      <c r="M58" s="541"/>
      <c r="N58" s="541"/>
      <c r="O58" s="541"/>
      <c r="P58" s="542"/>
    </row>
    <row r="59" spans="1:53">
      <c r="C59" s="529" t="s">
        <v>437</v>
      </c>
      <c r="D59" s="530"/>
      <c r="E59" s="530"/>
      <c r="F59" s="530"/>
      <c r="G59" s="530"/>
      <c r="H59" s="530"/>
      <c r="I59" s="530"/>
      <c r="J59" s="533" t="s">
        <v>438</v>
      </c>
      <c r="K59" s="533"/>
      <c r="L59" s="533"/>
      <c r="M59" s="533"/>
      <c r="N59" s="533"/>
      <c r="O59" s="533"/>
      <c r="P59" s="534"/>
    </row>
    <row r="60" spans="1:53">
      <c r="C60" s="529"/>
      <c r="D60" s="530"/>
      <c r="E60" s="530"/>
      <c r="F60" s="530"/>
      <c r="G60" s="530"/>
      <c r="H60" s="530"/>
      <c r="I60" s="530"/>
      <c r="J60" s="533"/>
      <c r="K60" s="533"/>
      <c r="L60" s="533"/>
      <c r="M60" s="533"/>
      <c r="N60" s="533"/>
      <c r="O60" s="533"/>
      <c r="P60" s="534"/>
    </row>
    <row r="61" spans="1:53">
      <c r="C61" s="529" t="s">
        <v>439</v>
      </c>
      <c r="D61" s="530"/>
      <c r="E61" s="530"/>
      <c r="F61" s="530"/>
      <c r="G61" s="530"/>
      <c r="H61" s="530"/>
      <c r="I61" s="530"/>
      <c r="J61" s="533" t="s">
        <v>438</v>
      </c>
      <c r="K61" s="533"/>
      <c r="L61" s="533"/>
      <c r="M61" s="533"/>
      <c r="N61" s="533"/>
      <c r="O61" s="533"/>
      <c r="P61" s="534"/>
    </row>
    <row r="62" spans="1:53">
      <c r="C62" s="529"/>
      <c r="D62" s="530"/>
      <c r="E62" s="530"/>
      <c r="F62" s="530"/>
      <c r="G62" s="530"/>
      <c r="H62" s="530"/>
      <c r="I62" s="530"/>
      <c r="J62" s="533"/>
      <c r="K62" s="533"/>
      <c r="L62" s="533"/>
      <c r="M62" s="533"/>
      <c r="N62" s="533"/>
      <c r="O62" s="533"/>
      <c r="P62" s="534"/>
    </row>
    <row r="63" spans="1:53">
      <c r="C63" s="529" t="s">
        <v>440</v>
      </c>
      <c r="D63" s="530"/>
      <c r="E63" s="530"/>
      <c r="F63" s="530"/>
      <c r="G63" s="530"/>
      <c r="H63" s="530"/>
      <c r="I63" s="530"/>
      <c r="J63" s="533" t="s">
        <v>438</v>
      </c>
      <c r="K63" s="533"/>
      <c r="L63" s="533"/>
      <c r="M63" s="533"/>
      <c r="N63" s="533"/>
      <c r="O63" s="533"/>
      <c r="P63" s="534"/>
    </row>
    <row r="64" spans="1:53">
      <c r="C64" s="529"/>
      <c r="D64" s="530"/>
      <c r="E64" s="530"/>
      <c r="F64" s="530"/>
      <c r="G64" s="530"/>
      <c r="H64" s="530"/>
      <c r="I64" s="530"/>
      <c r="J64" s="533"/>
      <c r="K64" s="533"/>
      <c r="L64" s="533"/>
      <c r="M64" s="533"/>
      <c r="N64" s="533"/>
      <c r="O64" s="533"/>
      <c r="P64" s="534"/>
    </row>
    <row r="65" spans="1:53">
      <c r="C65" s="529" t="s">
        <v>441</v>
      </c>
      <c r="D65" s="530"/>
      <c r="E65" s="530"/>
      <c r="F65" s="530"/>
      <c r="G65" s="530"/>
      <c r="H65" s="530"/>
      <c r="I65" s="530"/>
      <c r="J65" s="533" t="s">
        <v>438</v>
      </c>
      <c r="K65" s="533"/>
      <c r="L65" s="533"/>
      <c r="M65" s="533"/>
      <c r="N65" s="533"/>
      <c r="O65" s="533"/>
      <c r="P65" s="534"/>
    </row>
    <row r="66" spans="1:53">
      <c r="C66" s="529"/>
      <c r="D66" s="530"/>
      <c r="E66" s="530"/>
      <c r="F66" s="530"/>
      <c r="G66" s="530"/>
      <c r="H66" s="530"/>
      <c r="I66" s="530"/>
      <c r="J66" s="533"/>
      <c r="K66" s="533"/>
      <c r="L66" s="533"/>
      <c r="M66" s="533"/>
      <c r="N66" s="533"/>
      <c r="O66" s="533"/>
      <c r="P66" s="534"/>
    </row>
    <row r="67" spans="1:53">
      <c r="C67" s="529" t="s">
        <v>442</v>
      </c>
      <c r="D67" s="530"/>
      <c r="E67" s="530"/>
      <c r="F67" s="530"/>
      <c r="G67" s="530"/>
      <c r="H67" s="530"/>
      <c r="I67" s="530"/>
      <c r="J67" s="533" t="s">
        <v>443</v>
      </c>
      <c r="K67" s="533"/>
      <c r="L67" s="533"/>
      <c r="M67" s="533"/>
      <c r="N67" s="533"/>
      <c r="O67" s="533"/>
      <c r="P67" s="534"/>
    </row>
    <row r="68" spans="1:53">
      <c r="C68" s="529"/>
      <c r="D68" s="530"/>
      <c r="E68" s="530"/>
      <c r="F68" s="530"/>
      <c r="G68" s="530"/>
      <c r="H68" s="530"/>
      <c r="I68" s="530"/>
      <c r="J68" s="533"/>
      <c r="K68" s="533"/>
      <c r="L68" s="533"/>
      <c r="M68" s="533"/>
      <c r="N68" s="533"/>
      <c r="O68" s="533"/>
      <c r="P68" s="534"/>
    </row>
    <row r="69" spans="1:53">
      <c r="C69" s="529" t="s">
        <v>444</v>
      </c>
      <c r="D69" s="530"/>
      <c r="E69" s="530"/>
      <c r="F69" s="530"/>
      <c r="G69" s="530"/>
      <c r="H69" s="530"/>
      <c r="I69" s="530"/>
      <c r="J69" s="533" t="s">
        <v>445</v>
      </c>
      <c r="K69" s="533"/>
      <c r="L69" s="533"/>
      <c r="M69" s="533"/>
      <c r="N69" s="533"/>
      <c r="O69" s="533"/>
      <c r="P69" s="534"/>
    </row>
    <row r="70" spans="1:53">
      <c r="C70" s="529"/>
      <c r="D70" s="530"/>
      <c r="E70" s="530"/>
      <c r="F70" s="530"/>
      <c r="G70" s="530"/>
      <c r="H70" s="530"/>
      <c r="I70" s="530"/>
      <c r="J70" s="533"/>
      <c r="K70" s="533"/>
      <c r="L70" s="533"/>
      <c r="M70" s="533"/>
      <c r="N70" s="533"/>
      <c r="O70" s="533"/>
      <c r="P70" s="534"/>
    </row>
    <row r="71" spans="1:53">
      <c r="C71" s="529" t="s">
        <v>446</v>
      </c>
      <c r="D71" s="530"/>
      <c r="E71" s="530"/>
      <c r="F71" s="530"/>
      <c r="G71" s="530"/>
      <c r="H71" s="530"/>
      <c r="I71" s="530"/>
      <c r="J71" s="533" t="s">
        <v>445</v>
      </c>
      <c r="K71" s="533"/>
      <c r="L71" s="533"/>
      <c r="M71" s="533"/>
      <c r="N71" s="533"/>
      <c r="O71" s="533"/>
      <c r="P71" s="534"/>
    </row>
    <row r="72" spans="1:53">
      <c r="C72" s="529"/>
      <c r="D72" s="530"/>
      <c r="E72" s="530"/>
      <c r="F72" s="530"/>
      <c r="G72" s="530"/>
      <c r="H72" s="530"/>
      <c r="I72" s="530"/>
      <c r="J72" s="533"/>
      <c r="K72" s="533"/>
      <c r="L72" s="533"/>
      <c r="M72" s="533"/>
      <c r="N72" s="533"/>
      <c r="O72" s="533"/>
      <c r="P72" s="534"/>
    </row>
    <row r="73" spans="1:53">
      <c r="C73" s="529" t="s">
        <v>447</v>
      </c>
      <c r="D73" s="530"/>
      <c r="E73" s="530"/>
      <c r="F73" s="530"/>
      <c r="G73" s="530"/>
      <c r="H73" s="530"/>
      <c r="I73" s="530"/>
      <c r="J73" s="533" t="s">
        <v>438</v>
      </c>
      <c r="K73" s="533"/>
      <c r="L73" s="533"/>
      <c r="M73" s="533"/>
      <c r="N73" s="533"/>
      <c r="O73" s="533"/>
      <c r="P73" s="534"/>
    </row>
    <row r="74" spans="1:53" customHeight="1" ht="15">
      <c r="C74" s="531"/>
      <c r="D74" s="532"/>
      <c r="E74" s="532"/>
      <c r="F74" s="532"/>
      <c r="G74" s="532"/>
      <c r="H74" s="532"/>
      <c r="I74" s="532"/>
      <c r="J74" s="535"/>
      <c r="K74" s="535"/>
      <c r="L74" s="535"/>
      <c r="M74" s="535"/>
      <c r="N74" s="535"/>
      <c r="O74" s="535"/>
      <c r="P74" s="536"/>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76"/>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1" t="s">
        <v>448</v>
      </c>
      <c r="B1" s="592"/>
      <c r="C1" s="592"/>
      <c r="D1" s="592"/>
      <c r="E1" s="592"/>
      <c r="F1" s="592"/>
      <c r="G1" s="592"/>
      <c r="H1" s="592"/>
      <c r="I1" s="592"/>
      <c r="J1" s="592"/>
      <c r="K1" s="592"/>
      <c r="L1" s="592"/>
      <c r="M1" s="592"/>
      <c r="N1" s="592"/>
      <c r="O1" s="592"/>
      <c r="P1" s="592"/>
      <c r="Q1" s="592"/>
      <c r="R1" s="592"/>
      <c r="S1" s="592"/>
      <c r="T1" s="592"/>
      <c r="U1" s="592"/>
      <c r="V1" s="592"/>
      <c r="W1" s="592"/>
      <c r="X1" s="593"/>
    </row>
    <row r="2" spans="1:24" customHeight="1" ht="15">
      <c r="A2" s="594"/>
      <c r="B2" s="595"/>
      <c r="C2" s="595"/>
      <c r="D2" s="595"/>
      <c r="E2" s="595"/>
      <c r="F2" s="595"/>
      <c r="G2" s="595"/>
      <c r="H2" s="595"/>
      <c r="I2" s="595"/>
      <c r="J2" s="595"/>
      <c r="K2" s="595"/>
      <c r="L2" s="595"/>
      <c r="M2" s="595"/>
      <c r="N2" s="595"/>
      <c r="O2" s="595"/>
      <c r="P2" s="595"/>
      <c r="Q2" s="595"/>
      <c r="R2" s="595"/>
      <c r="S2" s="595"/>
      <c r="T2" s="595"/>
      <c r="U2" s="595"/>
      <c r="V2" s="595"/>
      <c r="W2" s="595"/>
      <c r="X2" s="596"/>
    </row>
    <row r="3" spans="1:24" customHeight="1" ht="23">
      <c r="A3" s="103"/>
      <c r="B3" s="103"/>
      <c r="C3" s="103"/>
      <c r="D3" s="103"/>
      <c r="E3" s="103"/>
      <c r="F3" s="103"/>
      <c r="G3" s="103"/>
      <c r="H3" s="103"/>
      <c r="I3" s="103"/>
      <c r="J3" s="101"/>
      <c r="K3" s="101"/>
      <c r="L3" s="101"/>
      <c r="M3" s="101"/>
      <c r="N3" s="101"/>
      <c r="O3" s="101"/>
      <c r="P3" s="101"/>
      <c r="Q3" s="101"/>
      <c r="R3" s="101"/>
      <c r="S3" s="101"/>
      <c r="T3" s="101"/>
      <c r="U3" s="101"/>
      <c r="V3" s="101"/>
      <c r="W3" s="101"/>
      <c r="X3" s="101"/>
    </row>
    <row r="4" spans="1:24" customHeight="1" ht="15.5">
      <c r="A4" s="104" t="s">
        <v>249</v>
      </c>
      <c r="B4" s="104"/>
      <c r="C4" s="104"/>
      <c r="D4" s="105"/>
      <c r="E4" s="106"/>
      <c r="F4" s="107"/>
      <c r="G4" s="108"/>
      <c r="H4" s="573" t="s">
        <v>449</v>
      </c>
      <c r="I4" s="574"/>
      <c r="J4" s="574"/>
      <c r="K4" s="574"/>
      <c r="L4" s="574"/>
      <c r="M4" s="574"/>
      <c r="N4" s="575"/>
      <c r="O4" s="109"/>
      <c r="P4" s="109"/>
      <c r="Q4" s="109"/>
      <c r="R4" s="109"/>
      <c r="S4" s="109"/>
      <c r="T4" s="109"/>
      <c r="U4" s="109"/>
      <c r="V4" s="109"/>
      <c r="W4" s="109"/>
      <c r="X4" s="109"/>
    </row>
    <row r="5" spans="1:24" customHeight="1" ht="15.5">
      <c r="A5" s="110" t="s">
        <v>251</v>
      </c>
      <c r="B5" s="110"/>
      <c r="C5" s="110"/>
      <c r="D5" s="105"/>
      <c r="E5" s="576" t="s">
        <v>252</v>
      </c>
      <c r="F5" s="577"/>
      <c r="G5" s="577"/>
      <c r="H5" s="577"/>
      <c r="I5" s="577"/>
      <c r="J5" s="577"/>
      <c r="K5" s="578"/>
      <c r="L5" s="109"/>
      <c r="M5" s="109"/>
      <c r="N5" s="109"/>
      <c r="O5" s="109"/>
      <c r="P5" s="109"/>
      <c r="Q5" s="109"/>
      <c r="R5" s="109"/>
      <c r="S5" s="109"/>
      <c r="T5" s="109"/>
      <c r="U5" s="109"/>
      <c r="V5" s="109"/>
      <c r="W5" s="109"/>
      <c r="X5" s="109"/>
    </row>
    <row r="6" spans="1:24" customHeight="1" ht="15.5">
      <c r="A6" s="110" t="s">
        <v>253</v>
      </c>
      <c r="B6" s="110"/>
      <c r="C6" s="110"/>
      <c r="D6" s="105"/>
      <c r="E6" s="576" t="s">
        <v>254</v>
      </c>
      <c r="F6" s="577"/>
      <c r="G6" s="577"/>
      <c r="H6" s="577"/>
      <c r="I6" s="577"/>
      <c r="J6" s="577"/>
      <c r="K6" s="578"/>
      <c r="L6" s="109"/>
      <c r="M6" s="109"/>
      <c r="N6" s="109"/>
      <c r="O6" s="109"/>
      <c r="P6" s="109"/>
      <c r="Q6" s="109"/>
      <c r="R6" s="109"/>
      <c r="S6" s="109"/>
      <c r="T6" s="109"/>
      <c r="U6" s="109"/>
      <c r="V6" s="109"/>
      <c r="W6" s="109"/>
      <c r="X6" s="109"/>
    </row>
    <row r="7" spans="1:24" customHeight="1" ht="15.5">
      <c r="A7" s="104" t="s">
        <v>450</v>
      </c>
      <c r="B7" s="110"/>
      <c r="C7" s="110"/>
      <c r="D7" s="105"/>
      <c r="E7" s="576"/>
      <c r="F7" s="577"/>
      <c r="G7" s="577"/>
      <c r="H7" s="577"/>
      <c r="I7" s="578"/>
      <c r="J7" s="109"/>
      <c r="K7" s="111" t="s">
        <v>451</v>
      </c>
      <c r="L7" s="112"/>
      <c r="M7" s="109"/>
      <c r="N7" s="109"/>
      <c r="O7" s="579" t="s">
        <v>320</v>
      </c>
      <c r="P7" s="580"/>
      <c r="Q7" s="580"/>
      <c r="R7" s="581"/>
      <c r="S7" s="111"/>
      <c r="T7" s="111"/>
      <c r="U7" s="109"/>
      <c r="V7" s="109"/>
      <c r="W7" s="109"/>
      <c r="X7" s="109"/>
    </row>
    <row r="8" spans="1:24" customHeight="1" ht="15.5">
      <c r="A8" s="104" t="s">
        <v>452</v>
      </c>
      <c r="B8" s="109"/>
      <c r="C8" s="109"/>
      <c r="D8" s="582"/>
      <c r="E8" s="583"/>
      <c r="F8" s="583"/>
      <c r="G8" s="583"/>
      <c r="H8" s="583"/>
      <c r="I8" s="584"/>
      <c r="J8" s="109"/>
      <c r="K8" s="109"/>
      <c r="L8" s="109"/>
      <c r="M8" s="109"/>
      <c r="N8" s="109"/>
      <c r="O8" s="109"/>
      <c r="P8" s="109"/>
      <c r="Q8" s="109"/>
      <c r="R8" s="109"/>
      <c r="S8" s="109"/>
      <c r="T8" s="109"/>
      <c r="U8" s="109"/>
      <c r="V8" s="109"/>
      <c r="W8" s="109"/>
      <c r="X8" s="109"/>
    </row>
    <row r="9" spans="1:24" customHeight="1" ht="15.5">
      <c r="A9" s="113"/>
      <c r="B9" s="113"/>
      <c r="C9" s="113"/>
      <c r="D9" s="113"/>
      <c r="E9" s="113"/>
      <c r="F9" s="113"/>
      <c r="G9" s="113"/>
      <c r="H9" s="113"/>
      <c r="I9" s="113"/>
      <c r="J9" s="109"/>
      <c r="K9" s="109"/>
      <c r="L9" s="109"/>
      <c r="M9" s="109"/>
      <c r="N9" s="109"/>
      <c r="O9" s="109"/>
      <c r="P9" s="109"/>
      <c r="Q9" s="109"/>
      <c r="R9" s="109"/>
      <c r="S9" s="109"/>
      <c r="T9" s="109"/>
      <c r="U9" s="109"/>
      <c r="V9" s="109"/>
      <c r="W9" s="109"/>
      <c r="X9" s="109"/>
    </row>
    <row r="10" spans="1:24" customHeight="1" ht="15.5">
      <c r="A10" s="113"/>
      <c r="B10" s="113"/>
      <c r="C10" s="113"/>
      <c r="D10" s="113"/>
      <c r="E10" s="113"/>
      <c r="F10" s="113"/>
      <c r="G10" s="113"/>
      <c r="H10" s="113"/>
      <c r="I10" s="113"/>
      <c r="J10" s="109"/>
      <c r="K10" s="109"/>
      <c r="L10" s="109"/>
      <c r="M10" s="109"/>
      <c r="N10" s="109"/>
      <c r="O10" s="109"/>
      <c r="P10" s="109"/>
      <c r="Q10" s="109"/>
      <c r="R10" s="109"/>
      <c r="S10" s="109"/>
      <c r="T10" s="109"/>
      <c r="U10" s="109"/>
      <c r="V10" s="109"/>
      <c r="W10" s="109"/>
      <c r="X10" s="109"/>
    </row>
    <row r="11" spans="1:24">
      <c r="A11" s="114"/>
      <c r="B11" s="114"/>
      <c r="C11" s="114"/>
      <c r="D11" s="114"/>
      <c r="E11" s="114"/>
      <c r="F11" s="114"/>
      <c r="G11" s="114"/>
      <c r="H11" s="114"/>
      <c r="I11" s="114"/>
      <c r="J11" s="101"/>
      <c r="K11" s="101"/>
      <c r="L11" s="101"/>
      <c r="M11" s="101"/>
      <c r="N11" s="101"/>
      <c r="O11" s="101"/>
      <c r="P11" s="101"/>
      <c r="Q11" s="101"/>
      <c r="R11" s="101"/>
      <c r="S11" s="101"/>
      <c r="T11" s="101"/>
      <c r="U11" s="101"/>
      <c r="V11" s="101"/>
      <c r="W11" s="101"/>
      <c r="X11" s="101"/>
    </row>
    <row r="12" spans="1:24" customHeight="1" ht="18">
      <c r="A12" s="102" t="s">
        <v>453</v>
      </c>
      <c r="B12" s="115"/>
      <c r="C12" s="116"/>
      <c r="D12" s="115"/>
      <c r="E12" s="115"/>
      <c r="F12" s="115"/>
      <c r="G12" s="115"/>
      <c r="H12" s="115"/>
      <c r="I12" s="115"/>
      <c r="J12" s="117"/>
      <c r="K12" s="117"/>
      <c r="L12" s="117"/>
      <c r="M12" s="117"/>
      <c r="N12" s="117"/>
      <c r="O12" s="117"/>
      <c r="P12" s="117"/>
      <c r="Q12" s="117"/>
      <c r="R12" s="117"/>
      <c r="S12" s="117"/>
      <c r="T12" s="117"/>
      <c r="U12" s="117"/>
      <c r="V12" s="117"/>
      <c r="W12" s="117"/>
      <c r="X12" s="118"/>
    </row>
    <row r="13" spans="1:24" customHeight="1" ht="15.5">
      <c r="A13" s="119" t="s">
        <v>454</v>
      </c>
      <c r="B13" s="120"/>
      <c r="C13" s="121"/>
      <c r="D13" s="121"/>
      <c r="E13" s="121"/>
      <c r="F13" s="121"/>
      <c r="G13" s="122"/>
      <c r="H13" s="123" t="s">
        <v>455</v>
      </c>
      <c r="I13" s="124"/>
      <c r="J13" s="120" t="s">
        <v>456</v>
      </c>
      <c r="K13" s="121"/>
      <c r="L13" s="123" t="s">
        <v>457</v>
      </c>
      <c r="M13" s="124"/>
      <c r="N13" s="121" t="s">
        <v>458</v>
      </c>
      <c r="O13" s="125"/>
      <c r="P13" s="126" t="s">
        <v>459</v>
      </c>
      <c r="Q13" s="122"/>
      <c r="R13" s="122"/>
      <c r="S13" s="121"/>
      <c r="T13" s="121"/>
      <c r="U13" s="121"/>
      <c r="V13" s="121"/>
      <c r="W13" s="121"/>
      <c r="X13" s="127"/>
    </row>
    <row r="14" spans="1:24">
      <c r="A14" s="128"/>
      <c r="B14" s="129"/>
      <c r="C14" s="130"/>
      <c r="D14" s="130"/>
      <c r="E14" s="130"/>
      <c r="F14" s="130"/>
      <c r="G14" s="129"/>
      <c r="H14" s="131" t="s">
        <v>460</v>
      </c>
      <c r="I14" s="132"/>
      <c r="J14" s="133" t="s">
        <v>461</v>
      </c>
      <c r="K14" s="134"/>
      <c r="L14" s="131" t="s">
        <v>462</v>
      </c>
      <c r="M14" s="132"/>
      <c r="N14" s="133" t="s">
        <v>463</v>
      </c>
      <c r="O14" s="135"/>
      <c r="P14" s="136"/>
      <c r="Q14" s="137"/>
      <c r="R14" s="137"/>
      <c r="S14" s="137"/>
      <c r="T14" s="137"/>
      <c r="U14" s="137"/>
      <c r="V14" s="137"/>
      <c r="W14" s="137"/>
      <c r="X14" s="138"/>
    </row>
    <row r="15" spans="1:24">
      <c r="A15" s="627" t="s">
        <v>464</v>
      </c>
      <c r="B15" s="628"/>
      <c r="C15" s="628"/>
      <c r="D15" s="628"/>
      <c r="E15" s="628"/>
      <c r="F15" s="628"/>
      <c r="G15" s="629"/>
      <c r="H15" s="585"/>
      <c r="I15" s="586"/>
      <c r="J15" s="597"/>
      <c r="K15" s="598"/>
      <c r="L15" s="597"/>
      <c r="M15" s="598"/>
      <c r="N15" s="597"/>
      <c r="O15" s="598"/>
      <c r="P15" s="603"/>
      <c r="Q15" s="604"/>
      <c r="R15" s="604"/>
      <c r="S15" s="604"/>
      <c r="T15" s="604"/>
      <c r="U15" s="604"/>
      <c r="V15" s="604"/>
      <c r="W15" s="604"/>
      <c r="X15" s="605"/>
    </row>
    <row r="16" spans="1:24">
      <c r="A16" s="630"/>
      <c r="B16" s="631"/>
      <c r="C16" s="631"/>
      <c r="D16" s="631"/>
      <c r="E16" s="631"/>
      <c r="F16" s="631"/>
      <c r="G16" s="632"/>
      <c r="H16" s="587"/>
      <c r="I16" s="588"/>
      <c r="J16" s="599"/>
      <c r="K16" s="600"/>
      <c r="L16" s="599"/>
      <c r="M16" s="600"/>
      <c r="N16" s="599"/>
      <c r="O16" s="600"/>
      <c r="P16" s="606"/>
      <c r="Q16" s="607"/>
      <c r="R16" s="607"/>
      <c r="S16" s="607"/>
      <c r="T16" s="607"/>
      <c r="U16" s="607"/>
      <c r="V16" s="607"/>
      <c r="W16" s="607"/>
      <c r="X16" s="608"/>
    </row>
    <row r="17" spans="1:24">
      <c r="A17" s="633"/>
      <c r="B17" s="634"/>
      <c r="C17" s="634"/>
      <c r="D17" s="634"/>
      <c r="E17" s="634"/>
      <c r="F17" s="634"/>
      <c r="G17" s="635"/>
      <c r="H17" s="589"/>
      <c r="I17" s="590"/>
      <c r="J17" s="601"/>
      <c r="K17" s="602"/>
      <c r="L17" s="601"/>
      <c r="M17" s="602"/>
      <c r="N17" s="601"/>
      <c r="O17" s="602"/>
      <c r="P17" s="609"/>
      <c r="Q17" s="610"/>
      <c r="R17" s="610"/>
      <c r="S17" s="610"/>
      <c r="T17" s="610"/>
      <c r="U17" s="610"/>
      <c r="V17" s="610"/>
      <c r="W17" s="610"/>
      <c r="X17" s="611"/>
    </row>
    <row r="18" spans="1:24">
      <c r="A18" s="627" t="s">
        <v>465</v>
      </c>
      <c r="B18" s="628"/>
      <c r="C18" s="628"/>
      <c r="D18" s="628"/>
      <c r="E18" s="628"/>
      <c r="F18" s="628"/>
      <c r="G18" s="629"/>
      <c r="H18" s="585"/>
      <c r="I18" s="586"/>
      <c r="J18" s="597"/>
      <c r="K18" s="598"/>
      <c r="L18" s="597"/>
      <c r="M18" s="598"/>
      <c r="N18" s="597"/>
      <c r="O18" s="598"/>
      <c r="P18" s="603"/>
      <c r="Q18" s="604"/>
      <c r="R18" s="604"/>
      <c r="S18" s="604"/>
      <c r="T18" s="604"/>
      <c r="U18" s="604"/>
      <c r="V18" s="604"/>
      <c r="W18" s="604"/>
      <c r="X18" s="605"/>
    </row>
    <row r="19" spans="1:24">
      <c r="A19" s="630"/>
      <c r="B19" s="631"/>
      <c r="C19" s="631"/>
      <c r="D19" s="631"/>
      <c r="E19" s="631"/>
      <c r="F19" s="631"/>
      <c r="G19" s="632"/>
      <c r="H19" s="587"/>
      <c r="I19" s="588"/>
      <c r="J19" s="599"/>
      <c r="K19" s="600"/>
      <c r="L19" s="599"/>
      <c r="M19" s="600"/>
      <c r="N19" s="599"/>
      <c r="O19" s="600"/>
      <c r="P19" s="606"/>
      <c r="Q19" s="607"/>
      <c r="R19" s="607"/>
      <c r="S19" s="607"/>
      <c r="T19" s="607"/>
      <c r="U19" s="607"/>
      <c r="V19" s="607"/>
      <c r="W19" s="607"/>
      <c r="X19" s="608"/>
    </row>
    <row r="20" spans="1:24">
      <c r="A20" s="633"/>
      <c r="B20" s="634"/>
      <c r="C20" s="634"/>
      <c r="D20" s="634"/>
      <c r="E20" s="634"/>
      <c r="F20" s="634"/>
      <c r="G20" s="635"/>
      <c r="H20" s="589"/>
      <c r="I20" s="590"/>
      <c r="J20" s="601"/>
      <c r="K20" s="602"/>
      <c r="L20" s="601"/>
      <c r="M20" s="602"/>
      <c r="N20" s="601"/>
      <c r="O20" s="602"/>
      <c r="P20" s="609"/>
      <c r="Q20" s="610"/>
      <c r="R20" s="610"/>
      <c r="S20" s="610"/>
      <c r="T20" s="610"/>
      <c r="U20" s="610"/>
      <c r="V20" s="610"/>
      <c r="W20" s="610"/>
      <c r="X20" s="611"/>
    </row>
    <row r="21" spans="1:24">
      <c r="A21" s="627" t="s">
        <v>466</v>
      </c>
      <c r="B21" s="628"/>
      <c r="C21" s="628"/>
      <c r="D21" s="628"/>
      <c r="E21" s="628"/>
      <c r="F21" s="628"/>
      <c r="G21" s="629"/>
      <c r="H21" s="585"/>
      <c r="I21" s="586"/>
      <c r="J21" s="597"/>
      <c r="K21" s="598"/>
      <c r="L21" s="597"/>
      <c r="M21" s="598"/>
      <c r="N21" s="597"/>
      <c r="O21" s="598"/>
      <c r="P21" s="603"/>
      <c r="Q21" s="604"/>
      <c r="R21" s="604"/>
      <c r="S21" s="604"/>
      <c r="T21" s="604"/>
      <c r="U21" s="604"/>
      <c r="V21" s="604"/>
      <c r="W21" s="604"/>
      <c r="X21" s="605"/>
    </row>
    <row r="22" spans="1:24">
      <c r="A22" s="630"/>
      <c r="B22" s="631"/>
      <c r="C22" s="631"/>
      <c r="D22" s="631"/>
      <c r="E22" s="631"/>
      <c r="F22" s="631"/>
      <c r="G22" s="632"/>
      <c r="H22" s="587"/>
      <c r="I22" s="588"/>
      <c r="J22" s="599"/>
      <c r="K22" s="600"/>
      <c r="L22" s="599"/>
      <c r="M22" s="600"/>
      <c r="N22" s="599"/>
      <c r="O22" s="600"/>
      <c r="P22" s="606"/>
      <c r="Q22" s="607"/>
      <c r="R22" s="607"/>
      <c r="S22" s="607"/>
      <c r="T22" s="607"/>
      <c r="U22" s="607"/>
      <c r="V22" s="607"/>
      <c r="W22" s="607"/>
      <c r="X22" s="608"/>
    </row>
    <row r="23" spans="1:24">
      <c r="A23" s="633"/>
      <c r="B23" s="634"/>
      <c r="C23" s="634"/>
      <c r="D23" s="634"/>
      <c r="E23" s="634"/>
      <c r="F23" s="634"/>
      <c r="G23" s="635"/>
      <c r="H23" s="589"/>
      <c r="I23" s="590"/>
      <c r="J23" s="601"/>
      <c r="K23" s="602"/>
      <c r="L23" s="601"/>
      <c r="M23" s="602"/>
      <c r="N23" s="601"/>
      <c r="O23" s="602"/>
      <c r="P23" s="609"/>
      <c r="Q23" s="610"/>
      <c r="R23" s="610"/>
      <c r="S23" s="610"/>
      <c r="T23" s="610"/>
      <c r="U23" s="610"/>
      <c r="V23" s="610"/>
      <c r="W23" s="610"/>
      <c r="X23" s="611"/>
    </row>
    <row r="24" spans="1:24">
      <c r="A24" s="627" t="s">
        <v>467</v>
      </c>
      <c r="B24" s="628"/>
      <c r="C24" s="628"/>
      <c r="D24" s="628"/>
      <c r="E24" s="628"/>
      <c r="F24" s="628"/>
      <c r="G24" s="629"/>
      <c r="H24" s="585"/>
      <c r="I24" s="586"/>
      <c r="J24" s="597"/>
      <c r="K24" s="598"/>
      <c r="L24" s="597"/>
      <c r="M24" s="598"/>
      <c r="N24" s="597"/>
      <c r="O24" s="598"/>
      <c r="P24" s="612"/>
      <c r="Q24" s="613"/>
      <c r="R24" s="613"/>
      <c r="S24" s="613"/>
      <c r="T24" s="613"/>
      <c r="U24" s="613"/>
      <c r="V24" s="613"/>
      <c r="W24" s="613"/>
      <c r="X24" s="614"/>
    </row>
    <row r="25" spans="1:24">
      <c r="A25" s="630"/>
      <c r="B25" s="631"/>
      <c r="C25" s="631"/>
      <c r="D25" s="631"/>
      <c r="E25" s="631"/>
      <c r="F25" s="631"/>
      <c r="G25" s="632"/>
      <c r="H25" s="587"/>
      <c r="I25" s="588"/>
      <c r="J25" s="599"/>
      <c r="K25" s="600"/>
      <c r="L25" s="599"/>
      <c r="M25" s="600"/>
      <c r="N25" s="599"/>
      <c r="O25" s="600"/>
      <c r="P25" s="615"/>
      <c r="Q25" s="616"/>
      <c r="R25" s="616"/>
      <c r="S25" s="616"/>
      <c r="T25" s="616"/>
      <c r="U25" s="616"/>
      <c r="V25" s="616"/>
      <c r="W25" s="616"/>
      <c r="X25" s="617"/>
    </row>
    <row r="26" spans="1:24">
      <c r="A26" s="633"/>
      <c r="B26" s="634"/>
      <c r="C26" s="634"/>
      <c r="D26" s="634"/>
      <c r="E26" s="634"/>
      <c r="F26" s="634"/>
      <c r="G26" s="635"/>
      <c r="H26" s="589"/>
      <c r="I26" s="590"/>
      <c r="J26" s="601"/>
      <c r="K26" s="602"/>
      <c r="L26" s="601"/>
      <c r="M26" s="602"/>
      <c r="N26" s="601"/>
      <c r="O26" s="602"/>
      <c r="P26" s="618"/>
      <c r="Q26" s="619"/>
      <c r="R26" s="619"/>
      <c r="S26" s="619"/>
      <c r="T26" s="619"/>
      <c r="U26" s="619"/>
      <c r="V26" s="619"/>
      <c r="W26" s="619"/>
      <c r="X26" s="620"/>
    </row>
    <row r="27" spans="1:24">
      <c r="A27" s="627" t="s">
        <v>468</v>
      </c>
      <c r="B27" s="628"/>
      <c r="C27" s="628"/>
      <c r="D27" s="628"/>
      <c r="E27" s="628"/>
      <c r="F27" s="628"/>
      <c r="G27" s="629"/>
      <c r="H27" s="585"/>
      <c r="I27" s="586"/>
      <c r="J27" s="597"/>
      <c r="K27" s="598"/>
      <c r="L27" s="597"/>
      <c r="M27" s="598"/>
      <c r="N27" s="597"/>
      <c r="O27" s="598"/>
      <c r="P27" s="612"/>
      <c r="Q27" s="613"/>
      <c r="R27" s="613"/>
      <c r="S27" s="613"/>
      <c r="T27" s="613"/>
      <c r="U27" s="613"/>
      <c r="V27" s="613"/>
      <c r="W27" s="613"/>
      <c r="X27" s="614"/>
    </row>
    <row r="28" spans="1:24">
      <c r="A28" s="630"/>
      <c r="B28" s="631"/>
      <c r="C28" s="631"/>
      <c r="D28" s="631"/>
      <c r="E28" s="631"/>
      <c r="F28" s="631"/>
      <c r="G28" s="632"/>
      <c r="H28" s="587"/>
      <c r="I28" s="588"/>
      <c r="J28" s="599"/>
      <c r="K28" s="600"/>
      <c r="L28" s="599"/>
      <c r="M28" s="600"/>
      <c r="N28" s="599"/>
      <c r="O28" s="600"/>
      <c r="P28" s="615"/>
      <c r="Q28" s="616"/>
      <c r="R28" s="616"/>
      <c r="S28" s="616"/>
      <c r="T28" s="616"/>
      <c r="U28" s="616"/>
      <c r="V28" s="616"/>
      <c r="W28" s="616"/>
      <c r="X28" s="617"/>
    </row>
    <row r="29" spans="1:24">
      <c r="A29" s="633"/>
      <c r="B29" s="634"/>
      <c r="C29" s="634"/>
      <c r="D29" s="634"/>
      <c r="E29" s="634"/>
      <c r="F29" s="634"/>
      <c r="G29" s="635"/>
      <c r="H29" s="589"/>
      <c r="I29" s="590"/>
      <c r="J29" s="601"/>
      <c r="K29" s="602"/>
      <c r="L29" s="601"/>
      <c r="M29" s="602"/>
      <c r="N29" s="601"/>
      <c r="O29" s="602"/>
      <c r="P29" s="618"/>
      <c r="Q29" s="619"/>
      <c r="R29" s="619"/>
      <c r="S29" s="619"/>
      <c r="T29" s="619"/>
      <c r="U29" s="619"/>
      <c r="V29" s="619"/>
      <c r="W29" s="619"/>
      <c r="X29" s="620"/>
    </row>
    <row r="30" spans="1:24">
      <c r="A30" s="627" t="s">
        <v>469</v>
      </c>
      <c r="B30" s="628"/>
      <c r="C30" s="628"/>
      <c r="D30" s="628"/>
      <c r="E30" s="628"/>
      <c r="F30" s="628"/>
      <c r="G30" s="629"/>
      <c r="H30" s="585"/>
      <c r="I30" s="586"/>
      <c r="J30" s="597"/>
      <c r="K30" s="598"/>
      <c r="L30" s="597"/>
      <c r="M30" s="598"/>
      <c r="N30" s="597"/>
      <c r="O30" s="598"/>
      <c r="P30" s="612"/>
      <c r="Q30" s="613"/>
      <c r="R30" s="613"/>
      <c r="S30" s="613"/>
      <c r="T30" s="613"/>
      <c r="U30" s="613"/>
      <c r="V30" s="613"/>
      <c r="W30" s="613"/>
      <c r="X30" s="614"/>
    </row>
    <row r="31" spans="1:24">
      <c r="A31" s="630"/>
      <c r="B31" s="631"/>
      <c r="C31" s="631"/>
      <c r="D31" s="631"/>
      <c r="E31" s="631"/>
      <c r="F31" s="631"/>
      <c r="G31" s="632"/>
      <c r="H31" s="587"/>
      <c r="I31" s="588"/>
      <c r="J31" s="599"/>
      <c r="K31" s="600"/>
      <c r="L31" s="599"/>
      <c r="M31" s="600"/>
      <c r="N31" s="599"/>
      <c r="O31" s="600"/>
      <c r="P31" s="615"/>
      <c r="Q31" s="616"/>
      <c r="R31" s="616"/>
      <c r="S31" s="616"/>
      <c r="T31" s="616"/>
      <c r="U31" s="616"/>
      <c r="V31" s="616"/>
      <c r="W31" s="616"/>
      <c r="X31" s="617"/>
    </row>
    <row r="32" spans="1:24">
      <c r="A32" s="633"/>
      <c r="B32" s="634"/>
      <c r="C32" s="634"/>
      <c r="D32" s="634"/>
      <c r="E32" s="634"/>
      <c r="F32" s="634"/>
      <c r="G32" s="635"/>
      <c r="H32" s="589"/>
      <c r="I32" s="590"/>
      <c r="J32" s="601"/>
      <c r="K32" s="602"/>
      <c r="L32" s="601"/>
      <c r="M32" s="602"/>
      <c r="N32" s="601"/>
      <c r="O32" s="602"/>
      <c r="P32" s="618"/>
      <c r="Q32" s="619"/>
      <c r="R32" s="619"/>
      <c r="S32" s="619"/>
      <c r="T32" s="619"/>
      <c r="U32" s="619"/>
      <c r="V32" s="619"/>
      <c r="W32" s="619"/>
      <c r="X32" s="620"/>
    </row>
    <row r="33" spans="1:24">
      <c r="A33" s="627" t="s">
        <v>470</v>
      </c>
      <c r="B33" s="628"/>
      <c r="C33" s="628"/>
      <c r="D33" s="628"/>
      <c r="E33" s="628"/>
      <c r="F33" s="628"/>
      <c r="G33" s="629"/>
      <c r="H33" s="585"/>
      <c r="I33" s="586"/>
      <c r="J33" s="597"/>
      <c r="K33" s="598"/>
      <c r="L33" s="597"/>
      <c r="M33" s="598"/>
      <c r="N33" s="597"/>
      <c r="O33" s="598"/>
      <c r="P33" s="612"/>
      <c r="Q33" s="613"/>
      <c r="R33" s="613"/>
      <c r="S33" s="613"/>
      <c r="T33" s="613"/>
      <c r="U33" s="613"/>
      <c r="V33" s="613"/>
      <c r="W33" s="613"/>
      <c r="X33" s="614"/>
    </row>
    <row r="34" spans="1:24">
      <c r="A34" s="630"/>
      <c r="B34" s="631"/>
      <c r="C34" s="631"/>
      <c r="D34" s="631"/>
      <c r="E34" s="631"/>
      <c r="F34" s="631"/>
      <c r="G34" s="632"/>
      <c r="H34" s="587"/>
      <c r="I34" s="588"/>
      <c r="J34" s="599"/>
      <c r="K34" s="600"/>
      <c r="L34" s="599"/>
      <c r="M34" s="600"/>
      <c r="N34" s="599"/>
      <c r="O34" s="600"/>
      <c r="P34" s="615"/>
      <c r="Q34" s="616"/>
      <c r="R34" s="616"/>
      <c r="S34" s="616"/>
      <c r="T34" s="616"/>
      <c r="U34" s="616"/>
      <c r="V34" s="616"/>
      <c r="W34" s="616"/>
      <c r="X34" s="617"/>
    </row>
    <row r="35" spans="1:24">
      <c r="A35" s="633"/>
      <c r="B35" s="634"/>
      <c r="C35" s="634"/>
      <c r="D35" s="634"/>
      <c r="E35" s="634"/>
      <c r="F35" s="634"/>
      <c r="G35" s="635"/>
      <c r="H35" s="589"/>
      <c r="I35" s="590"/>
      <c r="J35" s="601"/>
      <c r="K35" s="602"/>
      <c r="L35" s="601"/>
      <c r="M35" s="602"/>
      <c r="N35" s="601"/>
      <c r="O35" s="602"/>
      <c r="P35" s="618"/>
      <c r="Q35" s="619"/>
      <c r="R35" s="619"/>
      <c r="S35" s="619"/>
      <c r="T35" s="619"/>
      <c r="U35" s="619"/>
      <c r="V35" s="619"/>
      <c r="W35" s="619"/>
      <c r="X35" s="620"/>
    </row>
    <row r="36" spans="1:24">
      <c r="A36" s="627" t="s">
        <v>471</v>
      </c>
      <c r="B36" s="628"/>
      <c r="C36" s="628"/>
      <c r="D36" s="628"/>
      <c r="E36" s="628"/>
      <c r="F36" s="628"/>
      <c r="G36" s="629"/>
      <c r="H36" s="585"/>
      <c r="I36" s="586"/>
      <c r="J36" s="597"/>
      <c r="K36" s="598"/>
      <c r="L36" s="597"/>
      <c r="M36" s="598"/>
      <c r="N36" s="597"/>
      <c r="O36" s="598"/>
      <c r="P36" s="612"/>
      <c r="Q36" s="613"/>
      <c r="R36" s="613"/>
      <c r="S36" s="613"/>
      <c r="T36" s="613"/>
      <c r="U36" s="613"/>
      <c r="V36" s="613"/>
      <c r="W36" s="613"/>
      <c r="X36" s="614"/>
    </row>
    <row r="37" spans="1:24">
      <c r="A37" s="630"/>
      <c r="B37" s="631"/>
      <c r="C37" s="631"/>
      <c r="D37" s="631"/>
      <c r="E37" s="631"/>
      <c r="F37" s="631"/>
      <c r="G37" s="632"/>
      <c r="H37" s="587"/>
      <c r="I37" s="588"/>
      <c r="J37" s="599"/>
      <c r="K37" s="600"/>
      <c r="L37" s="599"/>
      <c r="M37" s="600"/>
      <c r="N37" s="599"/>
      <c r="O37" s="600"/>
      <c r="P37" s="615"/>
      <c r="Q37" s="616"/>
      <c r="R37" s="616"/>
      <c r="S37" s="616"/>
      <c r="T37" s="616"/>
      <c r="U37" s="616"/>
      <c r="V37" s="616"/>
      <c r="W37" s="616"/>
      <c r="X37" s="617"/>
    </row>
    <row r="38" spans="1:24">
      <c r="A38" s="633"/>
      <c r="B38" s="634"/>
      <c r="C38" s="634"/>
      <c r="D38" s="634"/>
      <c r="E38" s="634"/>
      <c r="F38" s="634"/>
      <c r="G38" s="635"/>
      <c r="H38" s="589"/>
      <c r="I38" s="590"/>
      <c r="J38" s="601"/>
      <c r="K38" s="602"/>
      <c r="L38" s="601"/>
      <c r="M38" s="602"/>
      <c r="N38" s="601"/>
      <c r="O38" s="602"/>
      <c r="P38" s="618"/>
      <c r="Q38" s="619"/>
      <c r="R38" s="619"/>
      <c r="S38" s="619"/>
      <c r="T38" s="619"/>
      <c r="U38" s="619"/>
      <c r="V38" s="619"/>
      <c r="W38" s="619"/>
      <c r="X38" s="620"/>
    </row>
    <row r="39" spans="1:24">
      <c r="A39" s="627" t="s">
        <v>472</v>
      </c>
      <c r="B39" s="628"/>
      <c r="C39" s="628"/>
      <c r="D39" s="628"/>
      <c r="E39" s="628"/>
      <c r="F39" s="628"/>
      <c r="G39" s="629"/>
      <c r="H39" s="585"/>
      <c r="I39" s="586"/>
      <c r="J39" s="597"/>
      <c r="K39" s="598"/>
      <c r="L39" s="597"/>
      <c r="M39" s="598"/>
      <c r="N39" s="597"/>
      <c r="O39" s="598"/>
      <c r="P39" s="603"/>
      <c r="Q39" s="604"/>
      <c r="R39" s="604"/>
      <c r="S39" s="604"/>
      <c r="T39" s="604"/>
      <c r="U39" s="604"/>
      <c r="V39" s="604"/>
      <c r="W39" s="604"/>
      <c r="X39" s="605"/>
    </row>
    <row r="40" spans="1:24">
      <c r="A40" s="630"/>
      <c r="B40" s="631"/>
      <c r="C40" s="631"/>
      <c r="D40" s="631"/>
      <c r="E40" s="631"/>
      <c r="F40" s="631"/>
      <c r="G40" s="632"/>
      <c r="H40" s="587"/>
      <c r="I40" s="588"/>
      <c r="J40" s="599"/>
      <c r="K40" s="600"/>
      <c r="L40" s="599"/>
      <c r="M40" s="600"/>
      <c r="N40" s="599"/>
      <c r="O40" s="600"/>
      <c r="P40" s="606"/>
      <c r="Q40" s="607"/>
      <c r="R40" s="607"/>
      <c r="S40" s="607"/>
      <c r="T40" s="607"/>
      <c r="U40" s="607"/>
      <c r="V40" s="607"/>
      <c r="W40" s="607"/>
      <c r="X40" s="608"/>
    </row>
    <row r="41" spans="1:24">
      <c r="A41" s="633"/>
      <c r="B41" s="634"/>
      <c r="C41" s="634"/>
      <c r="D41" s="634"/>
      <c r="E41" s="634"/>
      <c r="F41" s="634"/>
      <c r="G41" s="635"/>
      <c r="H41" s="589"/>
      <c r="I41" s="590"/>
      <c r="J41" s="601"/>
      <c r="K41" s="602"/>
      <c r="L41" s="601"/>
      <c r="M41" s="602"/>
      <c r="N41" s="601"/>
      <c r="O41" s="602"/>
      <c r="P41" s="609"/>
      <c r="Q41" s="610"/>
      <c r="R41" s="610"/>
      <c r="S41" s="610"/>
      <c r="T41" s="610"/>
      <c r="U41" s="610"/>
      <c r="V41" s="610"/>
      <c r="W41" s="610"/>
      <c r="X41" s="611"/>
    </row>
    <row r="42" spans="1:24">
      <c r="A42" s="627" t="s">
        <v>473</v>
      </c>
      <c r="B42" s="628"/>
      <c r="C42" s="628"/>
      <c r="D42" s="628"/>
      <c r="E42" s="628"/>
      <c r="F42" s="628"/>
      <c r="G42" s="629"/>
      <c r="H42" s="585"/>
      <c r="I42" s="586"/>
      <c r="J42" s="597"/>
      <c r="K42" s="598"/>
      <c r="L42" s="597"/>
      <c r="M42" s="598"/>
      <c r="N42" s="597"/>
      <c r="O42" s="598"/>
      <c r="P42" s="603"/>
      <c r="Q42" s="604"/>
      <c r="R42" s="604"/>
      <c r="S42" s="604"/>
      <c r="T42" s="604"/>
      <c r="U42" s="604"/>
      <c r="V42" s="604"/>
      <c r="W42" s="604"/>
      <c r="X42" s="605"/>
    </row>
    <row r="43" spans="1:24">
      <c r="A43" s="630"/>
      <c r="B43" s="631"/>
      <c r="C43" s="631"/>
      <c r="D43" s="631"/>
      <c r="E43" s="631"/>
      <c r="F43" s="631"/>
      <c r="G43" s="632"/>
      <c r="H43" s="587"/>
      <c r="I43" s="588"/>
      <c r="J43" s="599"/>
      <c r="K43" s="600"/>
      <c r="L43" s="599"/>
      <c r="M43" s="600"/>
      <c r="N43" s="599"/>
      <c r="O43" s="600"/>
      <c r="P43" s="606"/>
      <c r="Q43" s="607"/>
      <c r="R43" s="607"/>
      <c r="S43" s="607"/>
      <c r="T43" s="607"/>
      <c r="U43" s="607"/>
      <c r="V43" s="607"/>
      <c r="W43" s="607"/>
      <c r="X43" s="608"/>
    </row>
    <row r="44" spans="1:24">
      <c r="A44" s="633"/>
      <c r="B44" s="634"/>
      <c r="C44" s="634"/>
      <c r="D44" s="634"/>
      <c r="E44" s="634"/>
      <c r="F44" s="634"/>
      <c r="G44" s="635"/>
      <c r="H44" s="589"/>
      <c r="I44" s="590"/>
      <c r="J44" s="601"/>
      <c r="K44" s="602"/>
      <c r="L44" s="601"/>
      <c r="M44" s="602"/>
      <c r="N44" s="601"/>
      <c r="O44" s="602"/>
      <c r="P44" s="609"/>
      <c r="Q44" s="610"/>
      <c r="R44" s="610"/>
      <c r="S44" s="610"/>
      <c r="T44" s="610"/>
      <c r="U44" s="610"/>
      <c r="V44" s="610"/>
      <c r="W44" s="610"/>
      <c r="X44" s="611"/>
    </row>
    <row r="45" spans="1:24">
      <c r="A45" s="627" t="s">
        <v>474</v>
      </c>
      <c r="B45" s="628"/>
      <c r="C45" s="628"/>
      <c r="D45" s="628"/>
      <c r="E45" s="628"/>
      <c r="F45" s="628"/>
      <c r="G45" s="629"/>
      <c r="H45" s="585"/>
      <c r="I45" s="586"/>
      <c r="J45" s="597"/>
      <c r="K45" s="598"/>
      <c r="L45" s="597"/>
      <c r="M45" s="598"/>
      <c r="N45" s="597"/>
      <c r="O45" s="598"/>
      <c r="P45" s="603"/>
      <c r="Q45" s="604"/>
      <c r="R45" s="604"/>
      <c r="S45" s="604"/>
      <c r="T45" s="604"/>
      <c r="U45" s="604"/>
      <c r="V45" s="604"/>
      <c r="W45" s="604"/>
      <c r="X45" s="605"/>
    </row>
    <row r="46" spans="1:24">
      <c r="A46" s="630"/>
      <c r="B46" s="631"/>
      <c r="C46" s="631"/>
      <c r="D46" s="631"/>
      <c r="E46" s="631"/>
      <c r="F46" s="631"/>
      <c r="G46" s="632"/>
      <c r="H46" s="587"/>
      <c r="I46" s="588"/>
      <c r="J46" s="599"/>
      <c r="K46" s="600"/>
      <c r="L46" s="599"/>
      <c r="M46" s="600"/>
      <c r="N46" s="599"/>
      <c r="O46" s="600"/>
      <c r="P46" s="606"/>
      <c r="Q46" s="607"/>
      <c r="R46" s="607"/>
      <c r="S46" s="607"/>
      <c r="T46" s="607"/>
      <c r="U46" s="607"/>
      <c r="V46" s="607"/>
      <c r="W46" s="607"/>
      <c r="X46" s="608"/>
    </row>
    <row r="47" spans="1:24">
      <c r="A47" s="633"/>
      <c r="B47" s="634"/>
      <c r="C47" s="634"/>
      <c r="D47" s="634"/>
      <c r="E47" s="634"/>
      <c r="F47" s="634"/>
      <c r="G47" s="635"/>
      <c r="H47" s="589"/>
      <c r="I47" s="590"/>
      <c r="J47" s="601"/>
      <c r="K47" s="602"/>
      <c r="L47" s="601"/>
      <c r="M47" s="602"/>
      <c r="N47" s="601"/>
      <c r="O47" s="602"/>
      <c r="P47" s="609"/>
      <c r="Q47" s="610"/>
      <c r="R47" s="610"/>
      <c r="S47" s="610"/>
      <c r="T47" s="610"/>
      <c r="U47" s="610"/>
      <c r="V47" s="610"/>
      <c r="W47" s="610"/>
      <c r="X47" s="611"/>
    </row>
    <row r="48" spans="1:24">
      <c r="A48" s="627" t="s">
        <v>475</v>
      </c>
      <c r="B48" s="628"/>
      <c r="C48" s="628"/>
      <c r="D48" s="628"/>
      <c r="E48" s="628"/>
      <c r="F48" s="628"/>
      <c r="G48" s="629"/>
      <c r="H48" s="585"/>
      <c r="I48" s="586"/>
      <c r="J48" s="597"/>
      <c r="K48" s="598"/>
      <c r="L48" s="597"/>
      <c r="M48" s="598"/>
      <c r="N48" s="597"/>
      <c r="O48" s="598"/>
      <c r="P48" s="612"/>
      <c r="Q48" s="613"/>
      <c r="R48" s="613"/>
      <c r="S48" s="613"/>
      <c r="T48" s="613"/>
      <c r="U48" s="613"/>
      <c r="V48" s="613"/>
      <c r="W48" s="613"/>
      <c r="X48" s="614"/>
    </row>
    <row r="49" spans="1:24">
      <c r="A49" s="630"/>
      <c r="B49" s="631"/>
      <c r="C49" s="631"/>
      <c r="D49" s="631"/>
      <c r="E49" s="631"/>
      <c r="F49" s="631"/>
      <c r="G49" s="632"/>
      <c r="H49" s="587"/>
      <c r="I49" s="588"/>
      <c r="J49" s="599"/>
      <c r="K49" s="600"/>
      <c r="L49" s="599"/>
      <c r="M49" s="600"/>
      <c r="N49" s="599"/>
      <c r="O49" s="600"/>
      <c r="P49" s="615"/>
      <c r="Q49" s="616"/>
      <c r="R49" s="616"/>
      <c r="S49" s="616"/>
      <c r="T49" s="616"/>
      <c r="U49" s="616"/>
      <c r="V49" s="616"/>
      <c r="W49" s="616"/>
      <c r="X49" s="617"/>
    </row>
    <row r="50" spans="1:24">
      <c r="A50" s="633"/>
      <c r="B50" s="634"/>
      <c r="C50" s="634"/>
      <c r="D50" s="634"/>
      <c r="E50" s="634"/>
      <c r="F50" s="634"/>
      <c r="G50" s="635"/>
      <c r="H50" s="589"/>
      <c r="I50" s="590"/>
      <c r="J50" s="601"/>
      <c r="K50" s="602"/>
      <c r="L50" s="601"/>
      <c r="M50" s="602"/>
      <c r="N50" s="601"/>
      <c r="O50" s="602"/>
      <c r="P50" s="618"/>
      <c r="Q50" s="619"/>
      <c r="R50" s="619"/>
      <c r="S50" s="619"/>
      <c r="T50" s="619"/>
      <c r="U50" s="619"/>
      <c r="V50" s="619"/>
      <c r="W50" s="619"/>
      <c r="X50" s="620"/>
    </row>
    <row r="51" spans="1:24">
      <c r="A51" s="627" t="s">
        <v>476</v>
      </c>
      <c r="B51" s="628"/>
      <c r="C51" s="628"/>
      <c r="D51" s="628"/>
      <c r="E51" s="628"/>
      <c r="F51" s="628"/>
      <c r="G51" s="629"/>
      <c r="H51" s="585"/>
      <c r="I51" s="586"/>
      <c r="J51" s="597"/>
      <c r="K51" s="598"/>
      <c r="L51" s="597"/>
      <c r="M51" s="598"/>
      <c r="N51" s="597"/>
      <c r="O51" s="598"/>
      <c r="P51" s="612"/>
      <c r="Q51" s="613"/>
      <c r="R51" s="613"/>
      <c r="S51" s="613"/>
      <c r="T51" s="613"/>
      <c r="U51" s="613"/>
      <c r="V51" s="613"/>
      <c r="W51" s="613"/>
      <c r="X51" s="614"/>
    </row>
    <row r="52" spans="1:24">
      <c r="A52" s="630"/>
      <c r="B52" s="631"/>
      <c r="C52" s="631"/>
      <c r="D52" s="631"/>
      <c r="E52" s="631"/>
      <c r="F52" s="631"/>
      <c r="G52" s="632"/>
      <c r="H52" s="587"/>
      <c r="I52" s="588"/>
      <c r="J52" s="599"/>
      <c r="K52" s="600"/>
      <c r="L52" s="599"/>
      <c r="M52" s="600"/>
      <c r="N52" s="599"/>
      <c r="O52" s="600"/>
      <c r="P52" s="615"/>
      <c r="Q52" s="616"/>
      <c r="R52" s="616"/>
      <c r="S52" s="616"/>
      <c r="T52" s="616"/>
      <c r="U52" s="616"/>
      <c r="V52" s="616"/>
      <c r="W52" s="616"/>
      <c r="X52" s="617"/>
    </row>
    <row r="53" spans="1:24">
      <c r="A53" s="633"/>
      <c r="B53" s="634"/>
      <c r="C53" s="634"/>
      <c r="D53" s="634"/>
      <c r="E53" s="634"/>
      <c r="F53" s="634"/>
      <c r="G53" s="635"/>
      <c r="H53" s="589"/>
      <c r="I53" s="590"/>
      <c r="J53" s="601"/>
      <c r="K53" s="602"/>
      <c r="L53" s="601"/>
      <c r="M53" s="602"/>
      <c r="N53" s="601"/>
      <c r="O53" s="602"/>
      <c r="P53" s="618"/>
      <c r="Q53" s="619"/>
      <c r="R53" s="619"/>
      <c r="S53" s="619"/>
      <c r="T53" s="619"/>
      <c r="U53" s="619"/>
      <c r="V53" s="619"/>
      <c r="W53" s="619"/>
      <c r="X53" s="620"/>
    </row>
    <row r="54" spans="1:24">
      <c r="A54" s="627" t="s">
        <v>477</v>
      </c>
      <c r="B54" s="628"/>
      <c r="C54" s="628"/>
      <c r="D54" s="628"/>
      <c r="E54" s="628"/>
      <c r="F54" s="628"/>
      <c r="G54" s="629"/>
      <c r="H54" s="585"/>
      <c r="I54" s="586"/>
      <c r="J54" s="597"/>
      <c r="K54" s="598"/>
      <c r="L54" s="597"/>
      <c r="M54" s="598"/>
      <c r="N54" s="597"/>
      <c r="O54" s="598"/>
      <c r="P54" s="612"/>
      <c r="Q54" s="613"/>
      <c r="R54" s="613"/>
      <c r="S54" s="613"/>
      <c r="T54" s="613"/>
      <c r="U54" s="613"/>
      <c r="V54" s="613"/>
      <c r="W54" s="613"/>
      <c r="X54" s="614"/>
    </row>
    <row r="55" spans="1:24">
      <c r="A55" s="630"/>
      <c r="B55" s="631"/>
      <c r="C55" s="631"/>
      <c r="D55" s="631"/>
      <c r="E55" s="631"/>
      <c r="F55" s="631"/>
      <c r="G55" s="632"/>
      <c r="H55" s="587"/>
      <c r="I55" s="588"/>
      <c r="J55" s="599"/>
      <c r="K55" s="600"/>
      <c r="L55" s="599"/>
      <c r="M55" s="600"/>
      <c r="N55" s="599"/>
      <c r="O55" s="600"/>
      <c r="P55" s="615"/>
      <c r="Q55" s="616"/>
      <c r="R55" s="616"/>
      <c r="S55" s="616"/>
      <c r="T55" s="616"/>
      <c r="U55" s="616"/>
      <c r="V55" s="616"/>
      <c r="W55" s="616"/>
      <c r="X55" s="617"/>
    </row>
    <row r="56" spans="1:24">
      <c r="A56" s="633"/>
      <c r="B56" s="634"/>
      <c r="C56" s="634"/>
      <c r="D56" s="634"/>
      <c r="E56" s="634"/>
      <c r="F56" s="634"/>
      <c r="G56" s="635"/>
      <c r="H56" s="589"/>
      <c r="I56" s="590"/>
      <c r="J56" s="601"/>
      <c r="K56" s="602"/>
      <c r="L56" s="601"/>
      <c r="M56" s="602"/>
      <c r="N56" s="601"/>
      <c r="O56" s="602"/>
      <c r="P56" s="618"/>
      <c r="Q56" s="619"/>
      <c r="R56" s="619"/>
      <c r="S56" s="619"/>
      <c r="T56" s="619"/>
      <c r="U56" s="619"/>
      <c r="V56" s="619"/>
      <c r="W56" s="619"/>
      <c r="X56" s="620"/>
    </row>
    <row r="57" spans="1:24">
      <c r="A57" s="627" t="s">
        <v>478</v>
      </c>
      <c r="B57" s="628"/>
      <c r="C57" s="628"/>
      <c r="D57" s="628"/>
      <c r="E57" s="628"/>
      <c r="F57" s="628"/>
      <c r="G57" s="629"/>
      <c r="H57" s="585"/>
      <c r="I57" s="586"/>
      <c r="J57" s="597"/>
      <c r="K57" s="598"/>
      <c r="L57" s="597"/>
      <c r="M57" s="598"/>
      <c r="N57" s="597"/>
      <c r="O57" s="598"/>
      <c r="P57" s="612"/>
      <c r="Q57" s="613"/>
      <c r="R57" s="613"/>
      <c r="S57" s="613"/>
      <c r="T57" s="613"/>
      <c r="U57" s="613"/>
      <c r="V57" s="613"/>
      <c r="W57" s="613"/>
      <c r="X57" s="614"/>
    </row>
    <row r="58" spans="1:24">
      <c r="A58" s="630"/>
      <c r="B58" s="631"/>
      <c r="C58" s="631"/>
      <c r="D58" s="631"/>
      <c r="E58" s="631"/>
      <c r="F58" s="631"/>
      <c r="G58" s="632"/>
      <c r="H58" s="587"/>
      <c r="I58" s="588"/>
      <c r="J58" s="599"/>
      <c r="K58" s="600"/>
      <c r="L58" s="599"/>
      <c r="M58" s="600"/>
      <c r="N58" s="599"/>
      <c r="O58" s="600"/>
      <c r="P58" s="615"/>
      <c r="Q58" s="616"/>
      <c r="R58" s="616"/>
      <c r="S58" s="616"/>
      <c r="T58" s="616"/>
      <c r="U58" s="616"/>
      <c r="V58" s="616"/>
      <c r="W58" s="616"/>
      <c r="X58" s="617"/>
    </row>
    <row r="59" spans="1:24">
      <c r="A59" s="633"/>
      <c r="B59" s="634"/>
      <c r="C59" s="634"/>
      <c r="D59" s="634"/>
      <c r="E59" s="634"/>
      <c r="F59" s="634"/>
      <c r="G59" s="635"/>
      <c r="H59" s="589"/>
      <c r="I59" s="590"/>
      <c r="J59" s="601"/>
      <c r="K59" s="602"/>
      <c r="L59" s="601"/>
      <c r="M59" s="602"/>
      <c r="N59" s="601"/>
      <c r="O59" s="602"/>
      <c r="P59" s="618"/>
      <c r="Q59" s="619"/>
      <c r="R59" s="619"/>
      <c r="S59" s="619"/>
      <c r="T59" s="619"/>
      <c r="U59" s="619"/>
      <c r="V59" s="619"/>
      <c r="W59" s="619"/>
      <c r="X59" s="620"/>
    </row>
    <row r="60" spans="1:24">
      <c r="A60" s="139"/>
      <c r="B60" s="139"/>
      <c r="C60" s="140"/>
      <c r="D60" s="140"/>
      <c r="E60" s="140"/>
      <c r="F60" s="140"/>
      <c r="G60" s="140"/>
      <c r="H60" s="141"/>
      <c r="I60" s="141"/>
      <c r="J60" s="101"/>
      <c r="K60" s="101"/>
      <c r="L60" s="101"/>
      <c r="M60" s="101"/>
      <c r="N60" s="101"/>
      <c r="O60" s="101"/>
      <c r="P60" s="101"/>
      <c r="Q60" s="101"/>
      <c r="R60" s="101"/>
      <c r="S60" s="101"/>
      <c r="T60" s="101"/>
      <c r="U60" s="101"/>
      <c r="V60" s="101"/>
      <c r="W60" s="101"/>
      <c r="X60" s="101"/>
    </row>
    <row r="61" spans="1:24">
      <c r="A61" s="142"/>
      <c r="B61" s="143"/>
      <c r="C61" s="144"/>
      <c r="D61" s="144"/>
      <c r="E61" s="144"/>
      <c r="F61" s="144"/>
      <c r="G61" s="144"/>
      <c r="H61" s="144"/>
      <c r="I61" s="144"/>
      <c r="J61" s="145"/>
      <c r="K61" s="145"/>
      <c r="L61" s="145"/>
      <c r="M61" s="145"/>
      <c r="N61" s="145"/>
      <c r="O61" s="145"/>
      <c r="P61" s="145"/>
      <c r="Q61" s="145"/>
      <c r="R61" s="145"/>
      <c r="S61" s="145"/>
      <c r="T61" s="145"/>
      <c r="U61" s="145"/>
      <c r="V61" s="145"/>
      <c r="W61" s="145"/>
      <c r="X61" s="146"/>
    </row>
    <row r="62" spans="1:24" customHeight="1" ht="20.15" s="152" customFormat="1">
      <c r="A62" s="645" t="s">
        <v>479</v>
      </c>
      <c r="B62" s="646"/>
      <c r="C62" s="646"/>
      <c r="D62" s="646"/>
      <c r="E62" s="646"/>
      <c r="F62" s="646"/>
      <c r="G62" s="646"/>
      <c r="H62" s="646"/>
      <c r="I62" s="646"/>
      <c r="J62" s="646"/>
      <c r="K62" s="646"/>
      <c r="L62" s="646"/>
      <c r="M62" s="646"/>
      <c r="N62" s="646"/>
      <c r="O62" s="646"/>
      <c r="P62" s="646"/>
      <c r="Q62" s="646"/>
      <c r="R62" s="646"/>
      <c r="S62" s="646"/>
      <c r="T62" s="646"/>
      <c r="U62" s="646"/>
      <c r="V62" s="646"/>
      <c r="W62" s="646"/>
      <c r="X62" s="647"/>
    </row>
    <row r="63" spans="1:24">
      <c r="A63" s="148"/>
      <c r="B63" s="129"/>
      <c r="C63" s="149"/>
      <c r="D63" s="149"/>
      <c r="E63" s="149"/>
      <c r="F63" s="149"/>
      <c r="G63" s="149"/>
      <c r="H63" s="149"/>
      <c r="I63" s="149"/>
      <c r="J63" s="130"/>
      <c r="K63" s="130"/>
      <c r="L63" s="130"/>
      <c r="M63" s="130"/>
      <c r="N63" s="130"/>
      <c r="O63" s="130"/>
      <c r="P63" s="130"/>
      <c r="Q63" s="130"/>
      <c r="R63" s="130"/>
      <c r="S63" s="130"/>
      <c r="T63" s="130"/>
      <c r="U63" s="130"/>
      <c r="V63" s="130"/>
      <c r="W63" s="130"/>
      <c r="X63" s="150"/>
    </row>
    <row r="64" spans="1:24">
      <c r="A64" s="627" t="s">
        <v>480</v>
      </c>
      <c r="B64" s="628"/>
      <c r="C64" s="628"/>
      <c r="D64" s="628"/>
      <c r="E64" s="628"/>
      <c r="F64" s="628"/>
      <c r="G64" s="629"/>
      <c r="H64" s="621"/>
      <c r="I64" s="622"/>
      <c r="J64" s="603"/>
      <c r="K64" s="605"/>
      <c r="L64" s="597"/>
      <c r="M64" s="598"/>
      <c r="N64" s="603"/>
      <c r="O64" s="605"/>
      <c r="P64" s="612"/>
      <c r="Q64" s="613"/>
      <c r="R64" s="613"/>
      <c r="S64" s="613"/>
      <c r="T64" s="613"/>
      <c r="U64" s="613"/>
      <c r="V64" s="613"/>
      <c r="W64" s="613"/>
      <c r="X64" s="614"/>
    </row>
    <row r="65" spans="1:24">
      <c r="A65" s="630"/>
      <c r="B65" s="631"/>
      <c r="C65" s="631"/>
      <c r="D65" s="631"/>
      <c r="E65" s="631"/>
      <c r="F65" s="631"/>
      <c r="G65" s="632"/>
      <c r="H65" s="623"/>
      <c r="I65" s="624"/>
      <c r="J65" s="606"/>
      <c r="K65" s="608"/>
      <c r="L65" s="599"/>
      <c r="M65" s="600"/>
      <c r="N65" s="606"/>
      <c r="O65" s="608"/>
      <c r="P65" s="615"/>
      <c r="Q65" s="616"/>
      <c r="R65" s="616"/>
      <c r="S65" s="616"/>
      <c r="T65" s="616"/>
      <c r="U65" s="616"/>
      <c r="V65" s="616"/>
      <c r="W65" s="616"/>
      <c r="X65" s="617"/>
    </row>
    <row r="66" spans="1:24">
      <c r="A66" s="633"/>
      <c r="B66" s="634"/>
      <c r="C66" s="634"/>
      <c r="D66" s="634"/>
      <c r="E66" s="634"/>
      <c r="F66" s="634"/>
      <c r="G66" s="635"/>
      <c r="H66" s="625"/>
      <c r="I66" s="626"/>
      <c r="J66" s="609"/>
      <c r="K66" s="611"/>
      <c r="L66" s="601"/>
      <c r="M66" s="602"/>
      <c r="N66" s="609"/>
      <c r="O66" s="611"/>
      <c r="P66" s="618"/>
      <c r="Q66" s="619"/>
      <c r="R66" s="619"/>
      <c r="S66" s="619"/>
      <c r="T66" s="619"/>
      <c r="U66" s="619"/>
      <c r="V66" s="619"/>
      <c r="W66" s="619"/>
      <c r="X66" s="620"/>
    </row>
    <row r="67" spans="1:24">
      <c r="A67" s="627" t="s">
        <v>481</v>
      </c>
      <c r="B67" s="628"/>
      <c r="C67" s="628"/>
      <c r="D67" s="628"/>
      <c r="E67" s="628"/>
      <c r="F67" s="628"/>
      <c r="G67" s="629"/>
      <c r="H67" s="621"/>
      <c r="I67" s="622"/>
      <c r="J67" s="597"/>
      <c r="K67" s="598"/>
      <c r="L67" s="603"/>
      <c r="M67" s="605"/>
      <c r="N67" s="603"/>
      <c r="O67" s="605"/>
      <c r="P67" s="612"/>
      <c r="Q67" s="613"/>
      <c r="R67" s="613"/>
      <c r="S67" s="613"/>
      <c r="T67" s="613"/>
      <c r="U67" s="613"/>
      <c r="V67" s="613"/>
      <c r="W67" s="613"/>
      <c r="X67" s="614"/>
    </row>
    <row r="68" spans="1:24">
      <c r="A68" s="630"/>
      <c r="B68" s="631"/>
      <c r="C68" s="631"/>
      <c r="D68" s="631"/>
      <c r="E68" s="631"/>
      <c r="F68" s="631"/>
      <c r="G68" s="632"/>
      <c r="H68" s="623"/>
      <c r="I68" s="624"/>
      <c r="J68" s="599"/>
      <c r="K68" s="600"/>
      <c r="L68" s="606"/>
      <c r="M68" s="608"/>
      <c r="N68" s="606"/>
      <c r="O68" s="608"/>
      <c r="P68" s="615"/>
      <c r="Q68" s="616"/>
      <c r="R68" s="616"/>
      <c r="S68" s="616"/>
      <c r="T68" s="616"/>
      <c r="U68" s="616"/>
      <c r="V68" s="616"/>
      <c r="W68" s="616"/>
      <c r="X68" s="617"/>
    </row>
    <row r="69" spans="1:24">
      <c r="A69" s="633"/>
      <c r="B69" s="634"/>
      <c r="C69" s="634"/>
      <c r="D69" s="634"/>
      <c r="E69" s="634"/>
      <c r="F69" s="634"/>
      <c r="G69" s="635"/>
      <c r="H69" s="625"/>
      <c r="I69" s="626"/>
      <c r="J69" s="601"/>
      <c r="K69" s="602"/>
      <c r="L69" s="609"/>
      <c r="M69" s="611"/>
      <c r="N69" s="609"/>
      <c r="O69" s="611"/>
      <c r="P69" s="618"/>
      <c r="Q69" s="619"/>
      <c r="R69" s="619"/>
      <c r="S69" s="619"/>
      <c r="T69" s="619"/>
      <c r="U69" s="619"/>
      <c r="V69" s="619"/>
      <c r="W69" s="619"/>
      <c r="X69" s="620"/>
    </row>
    <row r="70" spans="1:24">
      <c r="A70" s="627" t="s">
        <v>482</v>
      </c>
      <c r="B70" s="628"/>
      <c r="C70" s="628"/>
      <c r="D70" s="628"/>
      <c r="E70" s="628"/>
      <c r="F70" s="628"/>
      <c r="G70" s="629"/>
      <c r="H70" s="585"/>
      <c r="I70" s="586"/>
      <c r="J70" s="603"/>
      <c r="K70" s="605"/>
      <c r="L70" s="603"/>
      <c r="M70" s="605"/>
      <c r="N70" s="603"/>
      <c r="O70" s="605"/>
      <c r="P70" s="612"/>
      <c r="Q70" s="613"/>
      <c r="R70" s="613"/>
      <c r="S70" s="613"/>
      <c r="T70" s="613"/>
      <c r="U70" s="613"/>
      <c r="V70" s="613"/>
      <c r="W70" s="613"/>
      <c r="X70" s="614"/>
    </row>
    <row r="71" spans="1:24">
      <c r="A71" s="630"/>
      <c r="B71" s="631"/>
      <c r="C71" s="631"/>
      <c r="D71" s="631"/>
      <c r="E71" s="631"/>
      <c r="F71" s="631"/>
      <c r="G71" s="632"/>
      <c r="H71" s="587"/>
      <c r="I71" s="588"/>
      <c r="J71" s="606"/>
      <c r="K71" s="608"/>
      <c r="L71" s="606"/>
      <c r="M71" s="608"/>
      <c r="N71" s="606"/>
      <c r="O71" s="608"/>
      <c r="P71" s="615"/>
      <c r="Q71" s="616"/>
      <c r="R71" s="616"/>
      <c r="S71" s="616"/>
      <c r="T71" s="616"/>
      <c r="U71" s="616"/>
      <c r="V71" s="616"/>
      <c r="W71" s="616"/>
      <c r="X71" s="617"/>
    </row>
    <row r="72" spans="1:24">
      <c r="A72" s="633"/>
      <c r="B72" s="634"/>
      <c r="C72" s="634"/>
      <c r="D72" s="634"/>
      <c r="E72" s="634"/>
      <c r="F72" s="634"/>
      <c r="G72" s="635"/>
      <c r="H72" s="589"/>
      <c r="I72" s="590"/>
      <c r="J72" s="609"/>
      <c r="K72" s="611"/>
      <c r="L72" s="609"/>
      <c r="M72" s="611"/>
      <c r="N72" s="609"/>
      <c r="O72" s="611"/>
      <c r="P72" s="618"/>
      <c r="Q72" s="619"/>
      <c r="R72" s="619"/>
      <c r="S72" s="619"/>
      <c r="T72" s="619"/>
      <c r="U72" s="619"/>
      <c r="V72" s="619"/>
      <c r="W72" s="619"/>
      <c r="X72" s="620"/>
    </row>
    <row r="73" spans="1:24">
      <c r="A73" s="627" t="s">
        <v>483</v>
      </c>
      <c r="B73" s="628"/>
      <c r="C73" s="628"/>
      <c r="D73" s="628"/>
      <c r="E73" s="628"/>
      <c r="F73" s="628"/>
      <c r="G73" s="629"/>
      <c r="H73" s="585"/>
      <c r="I73" s="586"/>
      <c r="J73" s="603"/>
      <c r="K73" s="605"/>
      <c r="L73" s="603"/>
      <c r="M73" s="605"/>
      <c r="N73" s="603"/>
      <c r="O73" s="605"/>
      <c r="P73" s="603"/>
      <c r="Q73" s="604"/>
      <c r="R73" s="604"/>
      <c r="S73" s="604"/>
      <c r="T73" s="604"/>
      <c r="U73" s="604"/>
      <c r="V73" s="604"/>
      <c r="W73" s="604"/>
      <c r="X73" s="605"/>
    </row>
    <row r="74" spans="1:24">
      <c r="A74" s="630"/>
      <c r="B74" s="631"/>
      <c r="C74" s="631"/>
      <c r="D74" s="631"/>
      <c r="E74" s="631"/>
      <c r="F74" s="631"/>
      <c r="G74" s="632"/>
      <c r="H74" s="587"/>
      <c r="I74" s="588"/>
      <c r="J74" s="606"/>
      <c r="K74" s="608"/>
      <c r="L74" s="606"/>
      <c r="M74" s="608"/>
      <c r="N74" s="606"/>
      <c r="O74" s="608"/>
      <c r="P74" s="606"/>
      <c r="Q74" s="607"/>
      <c r="R74" s="607"/>
      <c r="S74" s="607"/>
      <c r="T74" s="607"/>
      <c r="U74" s="607"/>
      <c r="V74" s="607"/>
      <c r="W74" s="607"/>
      <c r="X74" s="608"/>
    </row>
    <row r="75" spans="1:24">
      <c r="A75" s="633"/>
      <c r="B75" s="634"/>
      <c r="C75" s="634"/>
      <c r="D75" s="634"/>
      <c r="E75" s="634"/>
      <c r="F75" s="634"/>
      <c r="G75" s="635"/>
      <c r="H75" s="589"/>
      <c r="I75" s="590"/>
      <c r="J75" s="609"/>
      <c r="K75" s="611"/>
      <c r="L75" s="609"/>
      <c r="M75" s="611"/>
      <c r="N75" s="609"/>
      <c r="O75" s="611"/>
      <c r="P75" s="609"/>
      <c r="Q75" s="610"/>
      <c r="R75" s="610"/>
      <c r="S75" s="610"/>
      <c r="T75" s="610"/>
      <c r="U75" s="610"/>
      <c r="V75" s="610"/>
      <c r="W75" s="610"/>
      <c r="X75" s="611"/>
    </row>
    <row r="76" spans="1:24">
      <c r="A76" s="141"/>
      <c r="B76" s="141"/>
      <c r="C76" s="141"/>
      <c r="D76" s="141"/>
      <c r="E76" s="141"/>
      <c r="F76" s="141"/>
      <c r="G76" s="141"/>
      <c r="H76" s="141"/>
      <c r="I76" s="141"/>
      <c r="J76" s="101"/>
      <c r="K76" s="101"/>
      <c r="L76" s="101"/>
      <c r="M76" s="101"/>
      <c r="N76" s="101"/>
      <c r="O76" s="101"/>
      <c r="P76" s="101"/>
      <c r="Q76" s="101"/>
      <c r="R76" s="101"/>
      <c r="S76" s="101"/>
      <c r="T76" s="101"/>
      <c r="U76" s="101"/>
      <c r="V76" s="101"/>
      <c r="W76" s="101"/>
      <c r="X76" s="101"/>
    </row>
    <row r="77" spans="1:24">
      <c r="A77" s="141"/>
      <c r="B77" s="141"/>
      <c r="C77" s="141"/>
      <c r="D77" s="141"/>
      <c r="E77" s="141"/>
      <c r="F77" s="141"/>
      <c r="G77" s="141"/>
      <c r="H77" s="141"/>
      <c r="I77" s="141"/>
      <c r="J77" s="101"/>
      <c r="K77" s="101"/>
      <c r="L77" s="101"/>
      <c r="M77" s="101"/>
      <c r="N77" s="101"/>
      <c r="O77" s="101"/>
      <c r="P77" s="101"/>
      <c r="Q77" s="101"/>
      <c r="R77" s="101"/>
      <c r="S77" s="101"/>
      <c r="T77" s="101"/>
      <c r="U77" s="101"/>
      <c r="V77" s="101"/>
      <c r="W77" s="101"/>
      <c r="X77" s="101"/>
    </row>
    <row r="78" spans="1:24">
      <c r="A78" s="141"/>
      <c r="B78" s="141"/>
      <c r="C78" s="141"/>
      <c r="D78" s="141"/>
      <c r="E78" s="141"/>
      <c r="F78" s="141"/>
      <c r="G78" s="141"/>
      <c r="H78" s="141"/>
      <c r="I78" s="141"/>
      <c r="J78" s="101"/>
      <c r="K78" s="101"/>
      <c r="L78" s="101"/>
      <c r="M78" s="101"/>
      <c r="N78" s="101"/>
      <c r="O78" s="101"/>
      <c r="P78" s="101"/>
      <c r="Q78" s="101"/>
      <c r="R78" s="101"/>
      <c r="S78" s="101"/>
      <c r="T78" s="101"/>
      <c r="U78" s="101"/>
      <c r="V78" s="101"/>
      <c r="W78" s="101"/>
      <c r="X78" s="101"/>
    </row>
    <row r="79" spans="1:24" customHeight="1" ht="15">
      <c r="A79" s="141"/>
      <c r="B79" s="141"/>
      <c r="C79" s="141"/>
      <c r="D79" s="141"/>
      <c r="E79" s="141"/>
      <c r="F79" s="141"/>
      <c r="G79" s="141"/>
      <c r="H79" s="141"/>
      <c r="I79" s="141"/>
      <c r="J79" s="101"/>
      <c r="K79" s="101"/>
      <c r="L79" s="101"/>
      <c r="M79" s="101"/>
      <c r="N79" s="101"/>
      <c r="O79" s="101"/>
      <c r="P79" s="101"/>
      <c r="Q79" s="101"/>
      <c r="R79" s="101"/>
      <c r="S79" s="101"/>
      <c r="T79" s="101"/>
      <c r="U79" s="101"/>
      <c r="V79" s="101"/>
      <c r="W79" s="101"/>
      <c r="X79" s="101"/>
    </row>
    <row r="80" spans="1:24">
      <c r="A80" s="141"/>
      <c r="B80" s="141"/>
      <c r="C80" s="141"/>
      <c r="D80" s="141"/>
      <c r="E80" s="141"/>
      <c r="F80" s="141"/>
      <c r="G80" s="141"/>
      <c r="H80" s="141"/>
      <c r="I80" s="141"/>
      <c r="J80" s="636" t="s">
        <v>484</v>
      </c>
      <c r="K80" s="637"/>
      <c r="L80" s="637"/>
      <c r="M80" s="637"/>
      <c r="N80" s="637"/>
      <c r="O80" s="638"/>
      <c r="P80" s="101"/>
      <c r="Q80" s="101"/>
      <c r="R80" s="101"/>
      <c r="S80" s="101"/>
      <c r="T80" s="101"/>
      <c r="U80" s="101"/>
      <c r="V80" s="101"/>
      <c r="W80" s="101"/>
      <c r="X80" s="101"/>
    </row>
    <row r="81" spans="1:24">
      <c r="A81" s="151"/>
      <c r="B81" s="140"/>
      <c r="C81" s="140"/>
      <c r="D81" s="140"/>
      <c r="E81" s="140"/>
      <c r="F81" s="140"/>
      <c r="G81" s="140"/>
      <c r="H81" s="140"/>
      <c r="I81" s="140"/>
      <c r="J81" s="639"/>
      <c r="K81" s="640"/>
      <c r="L81" s="640"/>
      <c r="M81" s="640"/>
      <c r="N81" s="640"/>
      <c r="O81" s="641"/>
      <c r="P81" s="147"/>
      <c r="Q81" s="147"/>
      <c r="R81" s="147"/>
      <c r="S81" s="147"/>
      <c r="T81" s="147"/>
      <c r="U81" s="147"/>
      <c r="V81" s="147"/>
      <c r="W81" s="147"/>
      <c r="X81" s="147"/>
    </row>
    <row r="82" spans="1:24" customHeight="1" ht="15">
      <c r="A82" s="151"/>
      <c r="B82" s="140"/>
      <c r="C82" s="140"/>
      <c r="D82" s="140"/>
      <c r="E82" s="140"/>
      <c r="F82" s="140"/>
      <c r="G82" s="140"/>
      <c r="H82" s="140"/>
      <c r="I82" s="140"/>
      <c r="J82" s="642"/>
      <c r="K82" s="643"/>
      <c r="L82" s="643"/>
      <c r="M82" s="643"/>
      <c r="N82" s="643"/>
      <c r="O82" s="644"/>
      <c r="P82" s="147"/>
      <c r="Q82" s="147"/>
      <c r="R82" s="147"/>
      <c r="S82" s="147"/>
      <c r="T82" s="147"/>
      <c r="U82" s="147"/>
      <c r="V82" s="147"/>
      <c r="W82" s="147"/>
      <c r="X82" s="147"/>
    </row>
    <row r="83" spans="1:24" customHeight="1" ht="15">
      <c r="A83" s="151"/>
      <c r="B83" s="140"/>
      <c r="C83" s="140"/>
      <c r="D83" s="140"/>
      <c r="E83" s="140"/>
      <c r="F83" s="140"/>
      <c r="G83" s="140"/>
      <c r="H83" s="140"/>
      <c r="I83" s="140"/>
      <c r="J83" s="161"/>
      <c r="K83" s="161"/>
      <c r="L83" s="161"/>
      <c r="M83" s="161"/>
      <c r="N83" s="161"/>
      <c r="O83" s="161"/>
      <c r="P83" s="147"/>
      <c r="Q83" s="147"/>
      <c r="R83" s="147"/>
      <c r="S83" s="147"/>
      <c r="T83" s="147"/>
      <c r="U83" s="147"/>
      <c r="V83" s="147"/>
      <c r="W83" s="147"/>
      <c r="X83" s="147"/>
    </row>
    <row r="84" spans="1:24">
      <c r="A84" s="151"/>
      <c r="B84" s="140"/>
      <c r="C84" s="140"/>
      <c r="D84" s="140"/>
      <c r="E84" s="140"/>
      <c r="F84" s="140"/>
      <c r="G84" s="140"/>
      <c r="H84" s="140"/>
      <c r="I84" s="140"/>
      <c r="J84" s="160"/>
      <c r="K84" s="160"/>
      <c r="L84" s="160"/>
      <c r="M84" s="160"/>
      <c r="N84" s="160"/>
      <c r="O84" s="160"/>
      <c r="P84" s="147"/>
      <c r="Q84" s="147"/>
      <c r="R84" s="147"/>
      <c r="S84" s="147"/>
      <c r="T84" s="147"/>
      <c r="U84" s="147"/>
      <c r="V84" s="147"/>
      <c r="W84" s="147"/>
      <c r="X84" s="147"/>
    </row>
    <row r="85" spans="1:24" customHeight="1" ht="15">
      <c r="A85" s="141"/>
      <c r="B85" s="141"/>
      <c r="C85" s="141"/>
      <c r="D85" s="141"/>
      <c r="E85" s="141"/>
      <c r="F85" s="141"/>
      <c r="G85" s="141"/>
      <c r="H85" s="141"/>
      <c r="I85" s="141"/>
      <c r="J85" s="159"/>
      <c r="K85" s="159"/>
      <c r="L85" s="159"/>
      <c r="M85" s="159"/>
      <c r="N85" s="159"/>
      <c r="O85" s="159"/>
      <c r="P85" s="101"/>
      <c r="Q85" s="101"/>
      <c r="R85" s="101"/>
      <c r="S85" s="101"/>
      <c r="T85" s="101"/>
      <c r="U85" s="101"/>
      <c r="V85" s="101"/>
      <c r="W85" s="101"/>
      <c r="X85" s="101"/>
    </row>
    <row r="86" spans="1:24" customHeight="1" ht="16">
      <c r="A86" s="562" t="s">
        <v>485</v>
      </c>
      <c r="B86" s="563"/>
      <c r="C86" s="563"/>
      <c r="D86" s="563"/>
      <c r="E86" s="563"/>
      <c r="F86" s="563"/>
      <c r="G86" s="563"/>
      <c r="H86" s="563"/>
      <c r="I86" s="563"/>
      <c r="J86" s="563"/>
      <c r="K86" s="563"/>
      <c r="L86" s="563"/>
      <c r="M86" s="563"/>
      <c r="N86" s="563"/>
      <c r="O86" s="563"/>
      <c r="P86" s="563"/>
      <c r="Q86" s="563"/>
      <c r="R86" s="563"/>
      <c r="S86" s="563"/>
      <c r="T86" s="563"/>
      <c r="U86" s="563"/>
      <c r="V86" s="563"/>
      <c r="W86" s="563"/>
      <c r="X86" s="564"/>
    </row>
    <row r="87" spans="1:24">
      <c r="A87" s="565" t="s">
        <v>87</v>
      </c>
      <c r="B87" s="566"/>
      <c r="C87" s="567" t="s">
        <v>486</v>
      </c>
      <c r="D87" s="568"/>
      <c r="E87" s="568"/>
      <c r="F87" s="568"/>
      <c r="G87" s="568"/>
      <c r="H87" s="566"/>
      <c r="I87" s="567" t="s">
        <v>487</v>
      </c>
      <c r="J87" s="568"/>
      <c r="K87" s="568"/>
      <c r="L87" s="568"/>
      <c r="M87" s="568"/>
      <c r="N87" s="568"/>
      <c r="O87" s="568"/>
      <c r="P87" s="568"/>
      <c r="Q87" s="566"/>
      <c r="R87" s="567" t="s">
        <v>488</v>
      </c>
      <c r="S87" s="568"/>
      <c r="T87" s="568"/>
      <c r="U87" s="568"/>
      <c r="V87" s="568"/>
      <c r="W87" s="568"/>
      <c r="X87" s="569"/>
    </row>
    <row r="88" spans="1:24" customHeight="1" ht="30" s="157" customFormat="1">
      <c r="A88" s="555" t="s">
        <v>489</v>
      </c>
      <c r="B88" s="570"/>
      <c r="C88" s="557" t="s">
        <v>490</v>
      </c>
      <c r="D88" s="571"/>
      <c r="E88" s="571"/>
      <c r="F88" s="571"/>
      <c r="G88" s="571"/>
      <c r="H88" s="572"/>
      <c r="I88" s="560" t="s">
        <v>491</v>
      </c>
      <c r="J88" s="558"/>
      <c r="K88" s="558"/>
      <c r="L88" s="558"/>
      <c r="M88" s="558"/>
      <c r="N88" s="558"/>
      <c r="O88" s="558"/>
      <c r="P88" s="558"/>
      <c r="Q88" s="559"/>
      <c r="R88" s="560" t="s">
        <v>492</v>
      </c>
      <c r="S88" s="558"/>
      <c r="T88" s="558"/>
      <c r="U88" s="558"/>
      <c r="V88" s="558"/>
      <c r="W88" s="558"/>
      <c r="X88" s="561"/>
    </row>
    <row r="89" spans="1:24" customHeight="1" ht="30">
      <c r="A89" s="555"/>
      <c r="B89" s="570"/>
      <c r="C89" s="557"/>
      <c r="D89" s="571"/>
      <c r="E89" s="571"/>
      <c r="F89" s="571"/>
      <c r="G89" s="571"/>
      <c r="H89" s="572"/>
      <c r="I89" s="560"/>
      <c r="J89" s="558"/>
      <c r="K89" s="558"/>
      <c r="L89" s="558"/>
      <c r="M89" s="558"/>
      <c r="N89" s="558"/>
      <c r="O89" s="558"/>
      <c r="P89" s="558"/>
      <c r="Q89" s="559"/>
      <c r="R89" s="560"/>
      <c r="S89" s="558"/>
      <c r="T89" s="558"/>
      <c r="U89" s="558"/>
      <c r="V89" s="558"/>
      <c r="W89" s="558"/>
      <c r="X89" s="561"/>
    </row>
    <row r="90" spans="1:24" customHeight="1" ht="30" s="101" customFormat="1">
      <c r="A90" s="554"/>
      <c r="B90" s="552"/>
      <c r="C90" s="550"/>
      <c r="D90" s="551"/>
      <c r="E90" s="551"/>
      <c r="F90" s="551"/>
      <c r="G90" s="551"/>
      <c r="H90" s="552"/>
      <c r="I90" s="550"/>
      <c r="J90" s="551"/>
      <c r="K90" s="551"/>
      <c r="L90" s="551"/>
      <c r="M90" s="551"/>
      <c r="N90" s="551"/>
      <c r="O90" s="551"/>
      <c r="P90" s="551"/>
      <c r="Q90" s="552"/>
      <c r="R90" s="550"/>
      <c r="S90" s="551"/>
      <c r="T90" s="551"/>
      <c r="U90" s="551"/>
      <c r="V90" s="551"/>
      <c r="W90" s="551"/>
      <c r="X90" s="553"/>
    </row>
    <row r="91" spans="1:24" customHeight="1" ht="13.5" s="101" customFormat="1">
      <c r="A91" s="334"/>
      <c r="B91" s="334"/>
      <c r="C91" s="334"/>
      <c r="D91" s="334"/>
      <c r="E91" s="334"/>
      <c r="F91" s="334"/>
      <c r="G91" s="334"/>
      <c r="H91" s="334"/>
      <c r="I91" s="334"/>
      <c r="J91" s="334"/>
      <c r="K91" s="334"/>
      <c r="L91" s="334"/>
      <c r="M91" s="334"/>
      <c r="N91" s="334"/>
      <c r="O91" s="334"/>
      <c r="P91" s="334"/>
      <c r="Q91" s="334"/>
      <c r="R91" s="334"/>
      <c r="S91" s="334"/>
      <c r="T91" s="334"/>
      <c r="U91" s="334"/>
      <c r="V91" s="334"/>
      <c r="W91" s="334"/>
      <c r="X91" s="334"/>
    </row>
    <row r="92" spans="1:24" customHeight="1" ht="13.5" s="101" customFormat="1">
      <c r="A92" s="342"/>
      <c r="B92" s="342"/>
      <c r="C92" s="342"/>
      <c r="D92" s="342"/>
      <c r="E92" s="342"/>
      <c r="F92" s="342"/>
      <c r="G92" s="342"/>
      <c r="H92" s="342"/>
      <c r="I92" s="342"/>
      <c r="J92" s="342"/>
      <c r="K92" s="342"/>
      <c r="L92" s="342"/>
      <c r="M92" s="342"/>
      <c r="N92" s="342"/>
      <c r="O92" s="342"/>
      <c r="P92" s="342"/>
      <c r="Q92" s="342"/>
      <c r="R92" s="342"/>
      <c r="S92" s="342"/>
      <c r="T92" s="342"/>
      <c r="U92" s="342"/>
      <c r="V92" s="342"/>
      <c r="W92" s="342"/>
      <c r="X92" s="342"/>
    </row>
    <row r="93" spans="1:24" customHeight="1" ht="16" s="101" customFormat="1">
      <c r="A93" s="562" t="s">
        <v>493</v>
      </c>
      <c r="B93" s="563"/>
      <c r="C93" s="563"/>
      <c r="D93" s="563"/>
      <c r="E93" s="563"/>
      <c r="F93" s="563"/>
      <c r="G93" s="563"/>
      <c r="H93" s="563"/>
      <c r="I93" s="563"/>
      <c r="J93" s="563"/>
      <c r="K93" s="563"/>
      <c r="L93" s="563"/>
      <c r="M93" s="563"/>
      <c r="N93" s="563"/>
      <c r="O93" s="563"/>
      <c r="P93" s="563"/>
      <c r="Q93" s="563"/>
      <c r="R93" s="563"/>
      <c r="S93" s="563"/>
      <c r="T93" s="563"/>
      <c r="U93" s="563"/>
      <c r="V93" s="563"/>
      <c r="W93" s="563"/>
      <c r="X93" s="564"/>
    </row>
    <row r="94" spans="1:24" s="101" customFormat="1">
      <c r="A94" s="565" t="s">
        <v>87</v>
      </c>
      <c r="B94" s="566"/>
      <c r="C94" s="567" t="s">
        <v>486</v>
      </c>
      <c r="D94" s="568"/>
      <c r="E94" s="568"/>
      <c r="F94" s="568"/>
      <c r="G94" s="568"/>
      <c r="H94" s="566"/>
      <c r="I94" s="567" t="s">
        <v>487</v>
      </c>
      <c r="J94" s="568"/>
      <c r="K94" s="568"/>
      <c r="L94" s="568"/>
      <c r="M94" s="568"/>
      <c r="N94" s="568"/>
      <c r="O94" s="568"/>
      <c r="P94" s="568"/>
      <c r="Q94" s="566"/>
      <c r="R94" s="567" t="s">
        <v>488</v>
      </c>
      <c r="S94" s="568"/>
      <c r="T94" s="568"/>
      <c r="U94" s="568"/>
      <c r="V94" s="568"/>
      <c r="W94" s="568"/>
      <c r="X94" s="569"/>
    </row>
    <row r="95" spans="1:24" customHeight="1" ht="30" s="157" customFormat="1">
      <c r="A95" s="555" t="s">
        <v>494</v>
      </c>
      <c r="B95" s="556"/>
      <c r="C95" s="557" t="s">
        <v>495</v>
      </c>
      <c r="D95" s="558"/>
      <c r="E95" s="558"/>
      <c r="F95" s="558"/>
      <c r="G95" s="558"/>
      <c r="H95" s="559"/>
      <c r="I95" s="560" t="s">
        <v>496</v>
      </c>
      <c r="J95" s="558"/>
      <c r="K95" s="558"/>
      <c r="L95" s="558"/>
      <c r="M95" s="558"/>
      <c r="N95" s="558"/>
      <c r="O95" s="558"/>
      <c r="P95" s="558"/>
      <c r="Q95" s="559"/>
      <c r="R95" s="560" t="s">
        <v>497</v>
      </c>
      <c r="S95" s="558"/>
      <c r="T95" s="558"/>
      <c r="U95" s="558"/>
      <c r="V95" s="558"/>
      <c r="W95" s="558"/>
      <c r="X95" s="561"/>
    </row>
    <row r="96" spans="1:24" customHeight="1" ht="30">
      <c r="A96" s="555" t="s">
        <v>498</v>
      </c>
      <c r="B96" s="556"/>
      <c r="C96" s="557" t="s">
        <v>495</v>
      </c>
      <c r="D96" s="558"/>
      <c r="E96" s="558"/>
      <c r="F96" s="558"/>
      <c r="G96" s="558"/>
      <c r="H96" s="559"/>
      <c r="I96" s="560" t="s">
        <v>496</v>
      </c>
      <c r="J96" s="558"/>
      <c r="K96" s="558"/>
      <c r="L96" s="558"/>
      <c r="M96" s="558"/>
      <c r="N96" s="558"/>
      <c r="O96" s="558"/>
      <c r="P96" s="558"/>
      <c r="Q96" s="559"/>
      <c r="R96" s="560" t="s">
        <v>497</v>
      </c>
      <c r="S96" s="558"/>
      <c r="T96" s="558"/>
      <c r="U96" s="558"/>
      <c r="V96" s="558"/>
      <c r="W96" s="558"/>
      <c r="X96" s="561"/>
    </row>
    <row r="97" spans="1:24" customHeight="1" ht="30">
      <c r="A97" s="555" t="s">
        <v>499</v>
      </c>
      <c r="B97" s="556"/>
      <c r="C97" s="557" t="s">
        <v>495</v>
      </c>
      <c r="D97" s="558"/>
      <c r="E97" s="558"/>
      <c r="F97" s="558"/>
      <c r="G97" s="558"/>
      <c r="H97" s="559"/>
      <c r="I97" s="560" t="s">
        <v>500</v>
      </c>
      <c r="J97" s="558"/>
      <c r="K97" s="558"/>
      <c r="L97" s="558"/>
      <c r="M97" s="558"/>
      <c r="N97" s="558"/>
      <c r="O97" s="558"/>
      <c r="P97" s="558"/>
      <c r="Q97" s="559"/>
      <c r="R97" s="560" t="s">
        <v>501</v>
      </c>
      <c r="S97" s="558"/>
      <c r="T97" s="558"/>
      <c r="U97" s="558"/>
      <c r="V97" s="558"/>
      <c r="W97" s="558"/>
      <c r="X97" s="561"/>
    </row>
    <row r="98" spans="1:24" customHeight="1" ht="30">
      <c r="A98" s="555" t="s">
        <v>502</v>
      </c>
      <c r="B98" s="556"/>
      <c r="C98" s="557" t="s">
        <v>495</v>
      </c>
      <c r="D98" s="558"/>
      <c r="E98" s="558"/>
      <c r="F98" s="558"/>
      <c r="G98" s="558"/>
      <c r="H98" s="559"/>
      <c r="I98" s="560" t="s">
        <v>500</v>
      </c>
      <c r="J98" s="558"/>
      <c r="K98" s="558"/>
      <c r="L98" s="558"/>
      <c r="M98" s="558"/>
      <c r="N98" s="558"/>
      <c r="O98" s="558"/>
      <c r="P98" s="558"/>
      <c r="Q98" s="559"/>
      <c r="R98" s="560" t="s">
        <v>501</v>
      </c>
      <c r="S98" s="558"/>
      <c r="T98" s="558"/>
      <c r="U98" s="558"/>
      <c r="V98" s="558"/>
      <c r="W98" s="558"/>
      <c r="X98" s="561"/>
    </row>
    <row r="99" spans="1:24" customHeight="1" ht="30">
      <c r="A99" s="555" t="s">
        <v>503</v>
      </c>
      <c r="B99" s="556"/>
      <c r="C99" s="557" t="s">
        <v>495</v>
      </c>
      <c r="D99" s="558"/>
      <c r="E99" s="558"/>
      <c r="F99" s="558"/>
      <c r="G99" s="558"/>
      <c r="H99" s="559"/>
      <c r="I99" s="560" t="s">
        <v>500</v>
      </c>
      <c r="J99" s="558"/>
      <c r="K99" s="558"/>
      <c r="L99" s="558"/>
      <c r="M99" s="558"/>
      <c r="N99" s="558"/>
      <c r="O99" s="558"/>
      <c r="P99" s="558"/>
      <c r="Q99" s="559"/>
      <c r="R99" s="560" t="s">
        <v>501</v>
      </c>
      <c r="S99" s="558"/>
      <c r="T99" s="558"/>
      <c r="U99" s="558"/>
      <c r="V99" s="558"/>
      <c r="W99" s="558"/>
      <c r="X99" s="561"/>
    </row>
    <row r="100" spans="1:24" customHeight="1" ht="30">
      <c r="A100" s="555" t="s">
        <v>504</v>
      </c>
      <c r="B100" s="556"/>
      <c r="C100" s="557" t="s">
        <v>495</v>
      </c>
      <c r="D100" s="558"/>
      <c r="E100" s="558"/>
      <c r="F100" s="558"/>
      <c r="G100" s="558"/>
      <c r="H100" s="559"/>
      <c r="I100" s="560" t="s">
        <v>505</v>
      </c>
      <c r="J100" s="558"/>
      <c r="K100" s="558"/>
      <c r="L100" s="558"/>
      <c r="M100" s="558"/>
      <c r="N100" s="558"/>
      <c r="O100" s="558"/>
      <c r="P100" s="558"/>
      <c r="Q100" s="559"/>
      <c r="R100" s="560" t="s">
        <v>506</v>
      </c>
      <c r="S100" s="558"/>
      <c r="T100" s="558"/>
      <c r="U100" s="558"/>
      <c r="V100" s="558"/>
      <c r="W100" s="558"/>
      <c r="X100" s="561"/>
    </row>
    <row r="101" spans="1:24" customHeight="1" ht="30">
      <c r="A101" s="555" t="s">
        <v>507</v>
      </c>
      <c r="B101" s="556"/>
      <c r="C101" s="557" t="s">
        <v>495</v>
      </c>
      <c r="D101" s="558"/>
      <c r="E101" s="558"/>
      <c r="F101" s="558"/>
      <c r="G101" s="558"/>
      <c r="H101" s="559"/>
      <c r="I101" s="560" t="s">
        <v>505</v>
      </c>
      <c r="J101" s="558"/>
      <c r="K101" s="558"/>
      <c r="L101" s="558"/>
      <c r="M101" s="558"/>
      <c r="N101" s="558"/>
      <c r="O101" s="558"/>
      <c r="P101" s="558"/>
      <c r="Q101" s="559"/>
      <c r="R101" s="560" t="s">
        <v>506</v>
      </c>
      <c r="S101" s="558"/>
      <c r="T101" s="558"/>
      <c r="U101" s="558"/>
      <c r="V101" s="558"/>
      <c r="W101" s="558"/>
      <c r="X101" s="561"/>
    </row>
    <row r="102" spans="1:24" customHeight="1" ht="30">
      <c r="A102" s="555" t="s">
        <v>508</v>
      </c>
      <c r="B102" s="556"/>
      <c r="C102" s="557" t="s">
        <v>495</v>
      </c>
      <c r="D102" s="558"/>
      <c r="E102" s="558"/>
      <c r="F102" s="558"/>
      <c r="G102" s="558"/>
      <c r="H102" s="559"/>
      <c r="I102" s="560" t="s">
        <v>509</v>
      </c>
      <c r="J102" s="558"/>
      <c r="K102" s="558"/>
      <c r="L102" s="558"/>
      <c r="M102" s="558"/>
      <c r="N102" s="558"/>
      <c r="O102" s="558"/>
      <c r="P102" s="558"/>
      <c r="Q102" s="559"/>
      <c r="R102" s="560" t="s">
        <v>510</v>
      </c>
      <c r="S102" s="558"/>
      <c r="T102" s="558"/>
      <c r="U102" s="558"/>
      <c r="V102" s="558"/>
      <c r="W102" s="558"/>
      <c r="X102" s="561"/>
    </row>
    <row r="103" spans="1:24" customHeight="1" ht="30">
      <c r="A103" s="555" t="s">
        <v>511</v>
      </c>
      <c r="B103" s="556"/>
      <c r="C103" s="557" t="s">
        <v>495</v>
      </c>
      <c r="D103" s="558"/>
      <c r="E103" s="558"/>
      <c r="F103" s="558"/>
      <c r="G103" s="558"/>
      <c r="H103" s="559"/>
      <c r="I103" s="560" t="s">
        <v>509</v>
      </c>
      <c r="J103" s="558"/>
      <c r="K103" s="558"/>
      <c r="L103" s="558"/>
      <c r="M103" s="558"/>
      <c r="N103" s="558"/>
      <c r="O103" s="558"/>
      <c r="P103" s="558"/>
      <c r="Q103" s="559"/>
      <c r="R103" s="560" t="s">
        <v>510</v>
      </c>
      <c r="S103" s="558"/>
      <c r="T103" s="558"/>
      <c r="U103" s="558"/>
      <c r="V103" s="558"/>
      <c r="W103" s="558"/>
      <c r="X103" s="561"/>
    </row>
    <row r="104" spans="1:24" customHeight="1" ht="30">
      <c r="A104" s="555" t="s">
        <v>512</v>
      </c>
      <c r="B104" s="556"/>
      <c r="C104" s="557" t="s">
        <v>495</v>
      </c>
      <c r="D104" s="558"/>
      <c r="E104" s="558"/>
      <c r="F104" s="558"/>
      <c r="G104" s="558"/>
      <c r="H104" s="559"/>
      <c r="I104" s="560" t="s">
        <v>509</v>
      </c>
      <c r="J104" s="558"/>
      <c r="K104" s="558"/>
      <c r="L104" s="558"/>
      <c r="M104" s="558"/>
      <c r="N104" s="558"/>
      <c r="O104" s="558"/>
      <c r="P104" s="558"/>
      <c r="Q104" s="559"/>
      <c r="R104" s="560" t="s">
        <v>510</v>
      </c>
      <c r="S104" s="558"/>
      <c r="T104" s="558"/>
      <c r="U104" s="558"/>
      <c r="V104" s="558"/>
      <c r="W104" s="558"/>
      <c r="X104" s="561"/>
    </row>
    <row r="105" spans="1:24" customHeight="1" ht="30">
      <c r="A105" s="555"/>
      <c r="B105" s="556"/>
      <c r="C105" s="557"/>
      <c r="D105" s="558"/>
      <c r="E105" s="558"/>
      <c r="F105" s="558"/>
      <c r="G105" s="558"/>
      <c r="H105" s="559"/>
      <c r="I105" s="560"/>
      <c r="J105" s="558"/>
      <c r="K105" s="558"/>
      <c r="L105" s="558"/>
      <c r="M105" s="558"/>
      <c r="N105" s="558"/>
      <c r="O105" s="558"/>
      <c r="P105" s="558"/>
      <c r="Q105" s="559"/>
      <c r="R105" s="560"/>
      <c r="S105" s="558"/>
      <c r="T105" s="558"/>
      <c r="U105" s="558"/>
      <c r="V105" s="558"/>
      <c r="W105" s="558"/>
      <c r="X105" s="561"/>
    </row>
    <row r="106" spans="1:24" customHeight="1" ht="30" s="101" customFormat="1">
      <c r="A106" s="554"/>
      <c r="B106" s="552"/>
      <c r="C106" s="550"/>
      <c r="D106" s="551"/>
      <c r="E106" s="551"/>
      <c r="F106" s="551"/>
      <c r="G106" s="551"/>
      <c r="H106" s="552"/>
      <c r="I106" s="550"/>
      <c r="J106" s="551"/>
      <c r="K106" s="551"/>
      <c r="L106" s="551"/>
      <c r="M106" s="551"/>
      <c r="N106" s="551"/>
      <c r="O106" s="551"/>
      <c r="P106" s="551"/>
      <c r="Q106" s="552"/>
      <c r="R106" s="550"/>
      <c r="S106" s="551"/>
      <c r="T106" s="551"/>
      <c r="U106" s="551"/>
      <c r="V106" s="551"/>
      <c r="W106" s="551"/>
      <c r="X106" s="553"/>
    </row>
    <row r="107" spans="1:24" customHeight="1" ht="18.75" s="101" customFormat="1">
      <c r="A107" s="334"/>
      <c r="B107" s="334"/>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row>
    <row r="108" spans="1:24" customHeight="1" ht="12.75" s="101" customFormat="1">
      <c r="A108" s="342"/>
      <c r="B108" s="342"/>
      <c r="C108" s="342"/>
      <c r="D108" s="342"/>
      <c r="E108" s="342"/>
      <c r="F108" s="342"/>
      <c r="G108" s="342"/>
      <c r="H108" s="342"/>
      <c r="I108" s="342"/>
      <c r="J108" s="342"/>
      <c r="K108" s="342"/>
      <c r="L108" s="342"/>
      <c r="M108" s="342"/>
      <c r="N108" s="342"/>
      <c r="O108" s="342"/>
      <c r="P108" s="342"/>
      <c r="Q108" s="342"/>
      <c r="R108" s="342"/>
      <c r="S108" s="342"/>
      <c r="T108" s="342"/>
      <c r="U108" s="342"/>
      <c r="V108" s="342"/>
      <c r="W108" s="342"/>
      <c r="X108" s="342"/>
    </row>
    <row r="109" spans="1:24" customHeight="1" ht="16" s="101" customFormat="1">
      <c r="A109" s="562" t="s">
        <v>513</v>
      </c>
      <c r="B109" s="563"/>
      <c r="C109" s="563"/>
      <c r="D109" s="563"/>
      <c r="E109" s="563"/>
      <c r="F109" s="563"/>
      <c r="G109" s="563"/>
      <c r="H109" s="563"/>
      <c r="I109" s="563"/>
      <c r="J109" s="563"/>
      <c r="K109" s="563"/>
      <c r="L109" s="563"/>
      <c r="M109" s="563"/>
      <c r="N109" s="563"/>
      <c r="O109" s="563"/>
      <c r="P109" s="563"/>
      <c r="Q109" s="563"/>
      <c r="R109" s="563"/>
      <c r="S109" s="563"/>
      <c r="T109" s="563"/>
      <c r="U109" s="563"/>
      <c r="V109" s="563"/>
      <c r="W109" s="563"/>
      <c r="X109" s="564"/>
    </row>
    <row r="110" spans="1:24" s="101" customFormat="1">
      <c r="A110" s="565" t="s">
        <v>87</v>
      </c>
      <c r="B110" s="566"/>
      <c r="C110" s="567" t="s">
        <v>486</v>
      </c>
      <c r="D110" s="568"/>
      <c r="E110" s="568"/>
      <c r="F110" s="568"/>
      <c r="G110" s="568"/>
      <c r="H110" s="566"/>
      <c r="I110" s="567" t="s">
        <v>487</v>
      </c>
      <c r="J110" s="568"/>
      <c r="K110" s="568"/>
      <c r="L110" s="568"/>
      <c r="M110" s="568"/>
      <c r="N110" s="568"/>
      <c r="O110" s="568"/>
      <c r="P110" s="568"/>
      <c r="Q110" s="566"/>
      <c r="R110" s="567" t="s">
        <v>488</v>
      </c>
      <c r="S110" s="568"/>
      <c r="T110" s="568"/>
      <c r="U110" s="568"/>
      <c r="V110" s="568"/>
      <c r="W110" s="568"/>
      <c r="X110" s="569"/>
    </row>
    <row r="111" spans="1:24" customHeight="1" ht="30" s="157" customFormat="1">
      <c r="A111" s="555" t="s">
        <v>514</v>
      </c>
      <c r="B111" s="556"/>
      <c r="C111" s="557" t="s">
        <v>495</v>
      </c>
      <c r="D111" s="558"/>
      <c r="E111" s="558"/>
      <c r="F111" s="558"/>
      <c r="G111" s="558"/>
      <c r="H111" s="559"/>
      <c r="I111" s="560" t="s">
        <v>515</v>
      </c>
      <c r="J111" s="558"/>
      <c r="K111" s="558"/>
      <c r="L111" s="558"/>
      <c r="M111" s="558"/>
      <c r="N111" s="558"/>
      <c r="O111" s="558"/>
      <c r="P111" s="558"/>
      <c r="Q111" s="559"/>
      <c r="R111" s="560" t="s">
        <v>516</v>
      </c>
      <c r="S111" s="558"/>
      <c r="T111" s="558"/>
      <c r="U111" s="558"/>
      <c r="V111" s="558"/>
      <c r="W111" s="558"/>
      <c r="X111" s="561"/>
    </row>
    <row r="112" spans="1:24" customHeight="1" ht="30">
      <c r="A112" s="555" t="s">
        <v>517</v>
      </c>
      <c r="B112" s="556"/>
      <c r="C112" s="557" t="s">
        <v>490</v>
      </c>
      <c r="D112" s="558"/>
      <c r="E112" s="558"/>
      <c r="F112" s="558"/>
      <c r="G112" s="558"/>
      <c r="H112" s="559"/>
      <c r="I112" s="560" t="s">
        <v>518</v>
      </c>
      <c r="J112" s="558"/>
      <c r="K112" s="558"/>
      <c r="L112" s="558"/>
      <c r="M112" s="558"/>
      <c r="N112" s="558"/>
      <c r="O112" s="558"/>
      <c r="P112" s="558"/>
      <c r="Q112" s="559"/>
      <c r="R112" s="560" t="s">
        <v>519</v>
      </c>
      <c r="S112" s="558"/>
      <c r="T112" s="558"/>
      <c r="U112" s="558"/>
      <c r="V112" s="558"/>
      <c r="W112" s="558"/>
      <c r="X112" s="561"/>
    </row>
    <row r="113" spans="1:24" customHeight="1" ht="30">
      <c r="A113" s="555" t="s">
        <v>520</v>
      </c>
      <c r="B113" s="556"/>
      <c r="C113" s="557" t="s">
        <v>490</v>
      </c>
      <c r="D113" s="558"/>
      <c r="E113" s="558"/>
      <c r="F113" s="558"/>
      <c r="G113" s="558"/>
      <c r="H113" s="559"/>
      <c r="I113" s="560" t="s">
        <v>518</v>
      </c>
      <c r="J113" s="558"/>
      <c r="K113" s="558"/>
      <c r="L113" s="558"/>
      <c r="M113" s="558"/>
      <c r="N113" s="558"/>
      <c r="O113" s="558"/>
      <c r="P113" s="558"/>
      <c r="Q113" s="559"/>
      <c r="R113" s="560" t="s">
        <v>519</v>
      </c>
      <c r="S113" s="558"/>
      <c r="T113" s="558"/>
      <c r="U113" s="558"/>
      <c r="V113" s="558"/>
      <c r="W113" s="558"/>
      <c r="X113" s="561"/>
    </row>
    <row r="114" spans="1:24" customHeight="1" ht="30">
      <c r="A114" s="555" t="s">
        <v>521</v>
      </c>
      <c r="B114" s="556"/>
      <c r="C114" s="557" t="s">
        <v>490</v>
      </c>
      <c r="D114" s="558"/>
      <c r="E114" s="558"/>
      <c r="F114" s="558"/>
      <c r="G114" s="558"/>
      <c r="H114" s="559"/>
      <c r="I114" s="560" t="s">
        <v>518</v>
      </c>
      <c r="J114" s="558"/>
      <c r="K114" s="558"/>
      <c r="L114" s="558"/>
      <c r="M114" s="558"/>
      <c r="N114" s="558"/>
      <c r="O114" s="558"/>
      <c r="P114" s="558"/>
      <c r="Q114" s="559"/>
      <c r="R114" s="560" t="s">
        <v>519</v>
      </c>
      <c r="S114" s="558"/>
      <c r="T114" s="558"/>
      <c r="U114" s="558"/>
      <c r="V114" s="558"/>
      <c r="W114" s="558"/>
      <c r="X114" s="561"/>
    </row>
    <row r="115" spans="1:24" customHeight="1" ht="30">
      <c r="A115" s="555" t="s">
        <v>522</v>
      </c>
      <c r="B115" s="556"/>
      <c r="C115" s="557" t="s">
        <v>495</v>
      </c>
      <c r="D115" s="558"/>
      <c r="E115" s="558"/>
      <c r="F115" s="558"/>
      <c r="G115" s="558"/>
      <c r="H115" s="559"/>
      <c r="I115" s="560" t="s">
        <v>523</v>
      </c>
      <c r="J115" s="558"/>
      <c r="K115" s="558"/>
      <c r="L115" s="558"/>
      <c r="M115" s="558"/>
      <c r="N115" s="558"/>
      <c r="O115" s="558"/>
      <c r="P115" s="558"/>
      <c r="Q115" s="559"/>
      <c r="R115" s="560" t="s">
        <v>524</v>
      </c>
      <c r="S115" s="558"/>
      <c r="T115" s="558"/>
      <c r="U115" s="558"/>
      <c r="V115" s="558"/>
      <c r="W115" s="558"/>
      <c r="X115" s="561"/>
    </row>
    <row r="116" spans="1:24" customHeight="1" ht="30">
      <c r="A116" s="555" t="s">
        <v>525</v>
      </c>
      <c r="B116" s="556"/>
      <c r="C116" s="557" t="s">
        <v>495</v>
      </c>
      <c r="D116" s="558"/>
      <c r="E116" s="558"/>
      <c r="F116" s="558"/>
      <c r="G116" s="558"/>
      <c r="H116" s="559"/>
      <c r="I116" s="560" t="s">
        <v>526</v>
      </c>
      <c r="J116" s="558"/>
      <c r="K116" s="558"/>
      <c r="L116" s="558"/>
      <c r="M116" s="558"/>
      <c r="N116" s="558"/>
      <c r="O116" s="558"/>
      <c r="P116" s="558"/>
      <c r="Q116" s="559"/>
      <c r="R116" s="560" t="s">
        <v>527</v>
      </c>
      <c r="S116" s="558"/>
      <c r="T116" s="558"/>
      <c r="U116" s="558"/>
      <c r="V116" s="558"/>
      <c r="W116" s="558"/>
      <c r="X116" s="561"/>
    </row>
    <row r="117" spans="1:24" customHeight="1" ht="30">
      <c r="A117" s="555" t="s">
        <v>528</v>
      </c>
      <c r="B117" s="556"/>
      <c r="C117" s="557" t="s">
        <v>490</v>
      </c>
      <c r="D117" s="558"/>
      <c r="E117" s="558"/>
      <c r="F117" s="558"/>
      <c r="G117" s="558"/>
      <c r="H117" s="559"/>
      <c r="I117" s="560" t="s">
        <v>529</v>
      </c>
      <c r="J117" s="558"/>
      <c r="K117" s="558"/>
      <c r="L117" s="558"/>
      <c r="M117" s="558"/>
      <c r="N117" s="558"/>
      <c r="O117" s="558"/>
      <c r="P117" s="558"/>
      <c r="Q117" s="559"/>
      <c r="R117" s="560" t="s">
        <v>530</v>
      </c>
      <c r="S117" s="558"/>
      <c r="T117" s="558"/>
      <c r="U117" s="558"/>
      <c r="V117" s="558"/>
      <c r="W117" s="558"/>
      <c r="X117" s="561"/>
    </row>
    <row r="118" spans="1:24" customHeight="1" ht="30">
      <c r="A118" s="555" t="s">
        <v>522</v>
      </c>
      <c r="B118" s="556"/>
      <c r="C118" s="557" t="s">
        <v>490</v>
      </c>
      <c r="D118" s="558"/>
      <c r="E118" s="558"/>
      <c r="F118" s="558"/>
      <c r="G118" s="558"/>
      <c r="H118" s="559"/>
      <c r="I118" s="560" t="s">
        <v>529</v>
      </c>
      <c r="J118" s="558"/>
      <c r="K118" s="558"/>
      <c r="L118" s="558"/>
      <c r="M118" s="558"/>
      <c r="N118" s="558"/>
      <c r="O118" s="558"/>
      <c r="P118" s="558"/>
      <c r="Q118" s="559"/>
      <c r="R118" s="560" t="s">
        <v>530</v>
      </c>
      <c r="S118" s="558"/>
      <c r="T118" s="558"/>
      <c r="U118" s="558"/>
      <c r="V118" s="558"/>
      <c r="W118" s="558"/>
      <c r="X118" s="561"/>
    </row>
    <row r="119" spans="1:24" customHeight="1" ht="30">
      <c r="A119" s="555" t="s">
        <v>531</v>
      </c>
      <c r="B119" s="556"/>
      <c r="C119" s="557" t="s">
        <v>495</v>
      </c>
      <c r="D119" s="558"/>
      <c r="E119" s="558"/>
      <c r="F119" s="558"/>
      <c r="G119" s="558"/>
      <c r="H119" s="559"/>
      <c r="I119" s="560" t="s">
        <v>532</v>
      </c>
      <c r="J119" s="558"/>
      <c r="K119" s="558"/>
      <c r="L119" s="558"/>
      <c r="M119" s="558"/>
      <c r="N119" s="558"/>
      <c r="O119" s="558"/>
      <c r="P119" s="558"/>
      <c r="Q119" s="559"/>
      <c r="R119" s="560" t="s">
        <v>533</v>
      </c>
      <c r="S119" s="558"/>
      <c r="T119" s="558"/>
      <c r="U119" s="558"/>
      <c r="V119" s="558"/>
      <c r="W119" s="558"/>
      <c r="X119" s="561"/>
    </row>
    <row r="120" spans="1:24" customHeight="1" ht="30">
      <c r="A120" s="555" t="s">
        <v>534</v>
      </c>
      <c r="B120" s="556"/>
      <c r="C120" s="557" t="s">
        <v>490</v>
      </c>
      <c r="D120" s="558"/>
      <c r="E120" s="558"/>
      <c r="F120" s="558"/>
      <c r="G120" s="558"/>
      <c r="H120" s="559"/>
      <c r="I120" s="560" t="s">
        <v>535</v>
      </c>
      <c r="J120" s="558"/>
      <c r="K120" s="558"/>
      <c r="L120" s="558"/>
      <c r="M120" s="558"/>
      <c r="N120" s="558"/>
      <c r="O120" s="558"/>
      <c r="P120" s="558"/>
      <c r="Q120" s="559"/>
      <c r="R120" s="560" t="s">
        <v>536</v>
      </c>
      <c r="S120" s="558"/>
      <c r="T120" s="558"/>
      <c r="U120" s="558"/>
      <c r="V120" s="558"/>
      <c r="W120" s="558"/>
      <c r="X120" s="561"/>
    </row>
    <row r="121" spans="1:24" customHeight="1" ht="30">
      <c r="A121" s="555" t="s">
        <v>537</v>
      </c>
      <c r="B121" s="556"/>
      <c r="C121" s="557" t="s">
        <v>490</v>
      </c>
      <c r="D121" s="558"/>
      <c r="E121" s="558"/>
      <c r="F121" s="558"/>
      <c r="G121" s="558"/>
      <c r="H121" s="559"/>
      <c r="I121" s="560" t="s">
        <v>538</v>
      </c>
      <c r="J121" s="558"/>
      <c r="K121" s="558"/>
      <c r="L121" s="558"/>
      <c r="M121" s="558"/>
      <c r="N121" s="558"/>
      <c r="O121" s="558"/>
      <c r="P121" s="558"/>
      <c r="Q121" s="559"/>
      <c r="R121" s="560" t="s">
        <v>539</v>
      </c>
      <c r="S121" s="558"/>
      <c r="T121" s="558"/>
      <c r="U121" s="558"/>
      <c r="V121" s="558"/>
      <c r="W121" s="558"/>
      <c r="X121" s="561"/>
    </row>
    <row r="122" spans="1:24" customHeight="1" ht="30">
      <c r="A122" s="555"/>
      <c r="B122" s="556"/>
      <c r="C122" s="557"/>
      <c r="D122" s="558"/>
      <c r="E122" s="558"/>
      <c r="F122" s="558"/>
      <c r="G122" s="558"/>
      <c r="H122" s="559"/>
      <c r="I122" s="560"/>
      <c r="J122" s="558"/>
      <c r="K122" s="558"/>
      <c r="L122" s="558"/>
      <c r="M122" s="558"/>
      <c r="N122" s="558"/>
      <c r="O122" s="558"/>
      <c r="P122" s="558"/>
      <c r="Q122" s="559"/>
      <c r="R122" s="560"/>
      <c r="S122" s="558"/>
      <c r="T122" s="558"/>
      <c r="U122" s="558"/>
      <c r="V122" s="558"/>
      <c r="W122" s="558"/>
      <c r="X122" s="561"/>
    </row>
    <row r="123" spans="1:24" customHeight="1" ht="30" s="101" customFormat="1">
      <c r="A123" s="554"/>
      <c r="B123" s="552"/>
      <c r="C123" s="550"/>
      <c r="D123" s="551"/>
      <c r="E123" s="551"/>
      <c r="F123" s="551"/>
      <c r="G123" s="551"/>
      <c r="H123" s="552"/>
      <c r="I123" s="550"/>
      <c r="J123" s="551"/>
      <c r="K123" s="551"/>
      <c r="L123" s="551"/>
      <c r="M123" s="551"/>
      <c r="N123" s="551"/>
      <c r="O123" s="551"/>
      <c r="P123" s="551"/>
      <c r="Q123" s="552"/>
      <c r="R123" s="550"/>
      <c r="S123" s="551"/>
      <c r="T123" s="551"/>
      <c r="U123" s="551"/>
      <c r="V123" s="551"/>
      <c r="W123" s="551"/>
      <c r="X123" s="553"/>
    </row>
    <row r="124" spans="1:24" customHeight="1" ht="13.5" s="101" customFormat="1">
      <c r="A124" s="334"/>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row>
    <row r="125" spans="1:24" customHeight="1" ht="13.5" s="101" customFormat="1">
      <c r="A125" s="338"/>
      <c r="B125" s="338"/>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row>
    <row r="126" spans="1:24" customHeight="1" ht="16" s="101" customFormat="1">
      <c r="A126" s="562" t="s">
        <v>551</v>
      </c>
      <c r="B126" s="563"/>
      <c r="C126" s="563"/>
      <c r="D126" s="563"/>
      <c r="E126" s="563"/>
      <c r="F126" s="563"/>
      <c r="G126" s="563"/>
      <c r="H126" s="563"/>
      <c r="I126" s="563"/>
      <c r="J126" s="563"/>
      <c r="K126" s="563"/>
      <c r="L126" s="563"/>
      <c r="M126" s="563"/>
      <c r="N126" s="563"/>
      <c r="O126" s="563"/>
      <c r="P126" s="563"/>
      <c r="Q126" s="563"/>
      <c r="R126" s="563"/>
      <c r="S126" s="563"/>
      <c r="T126" s="563"/>
      <c r="U126" s="563"/>
      <c r="V126" s="563"/>
      <c r="W126" s="563"/>
      <c r="X126" s="564"/>
    </row>
    <row r="127" spans="1:24" s="101" customFormat="1">
      <c r="A127" s="565" t="s">
        <v>87</v>
      </c>
      <c r="B127" s="566"/>
      <c r="C127" s="567" t="s">
        <v>486</v>
      </c>
      <c r="D127" s="568"/>
      <c r="E127" s="568"/>
      <c r="F127" s="568"/>
      <c r="G127" s="568"/>
      <c r="H127" s="566"/>
      <c r="I127" s="567" t="s">
        <v>487</v>
      </c>
      <c r="J127" s="568"/>
      <c r="K127" s="568"/>
      <c r="L127" s="568"/>
      <c r="M127" s="568"/>
      <c r="N127" s="568"/>
      <c r="O127" s="568"/>
      <c r="P127" s="568"/>
      <c r="Q127" s="566"/>
      <c r="R127" s="567" t="s">
        <v>488</v>
      </c>
      <c r="S127" s="568"/>
      <c r="T127" s="568"/>
      <c r="U127" s="568"/>
      <c r="V127" s="568"/>
      <c r="W127" s="568"/>
      <c r="X127" s="569"/>
    </row>
    <row r="128" spans="1:24" customHeight="1" ht="30" s="157" customFormat="1">
      <c r="A128" s="555"/>
      <c r="B128" s="556"/>
      <c r="C128" s="557"/>
      <c r="D128" s="558"/>
      <c r="E128" s="558"/>
      <c r="F128" s="558"/>
      <c r="G128" s="558"/>
      <c r="H128" s="559"/>
      <c r="I128" s="560"/>
      <c r="J128" s="558"/>
      <c r="K128" s="558"/>
      <c r="L128" s="558"/>
      <c r="M128" s="558"/>
      <c r="N128" s="558"/>
      <c r="O128" s="558"/>
      <c r="P128" s="558"/>
      <c r="Q128" s="559"/>
      <c r="R128" s="560"/>
      <c r="S128" s="558"/>
      <c r="T128" s="558"/>
      <c r="U128" s="558"/>
      <c r="V128" s="558"/>
      <c r="W128" s="558"/>
      <c r="X128" s="561"/>
    </row>
    <row r="129" spans="1:24" customHeight="1" ht="30" s="101" customFormat="1">
      <c r="A129" s="554"/>
      <c r="B129" s="552"/>
      <c r="C129" s="550"/>
      <c r="D129" s="551"/>
      <c r="E129" s="551"/>
      <c r="F129" s="551"/>
      <c r="G129" s="551"/>
      <c r="H129" s="552"/>
      <c r="I129" s="550"/>
      <c r="J129" s="551"/>
      <c r="K129" s="551"/>
      <c r="L129" s="551"/>
      <c r="M129" s="551"/>
      <c r="N129" s="551"/>
      <c r="O129" s="551"/>
      <c r="P129" s="551"/>
      <c r="Q129" s="552"/>
      <c r="R129" s="550"/>
      <c r="S129" s="551"/>
      <c r="T129" s="551"/>
      <c r="U129" s="551"/>
      <c r="V129" s="551"/>
      <c r="W129" s="551"/>
      <c r="X129" s="553"/>
    </row>
    <row r="130" spans="1:24" customHeight="1" ht="15" s="87" customFormat="1">
      <c r="A130" s="334"/>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row>
    <row r="131" spans="1:24" customHeight="1" ht="15" s="87" customFormat="1">
      <c r="A131" s="338"/>
      <c r="B131" s="338"/>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row>
    <row r="132" spans="1:24" customHeight="1" ht="16" s="87" customFormat="1">
      <c r="A132" s="562" t="s">
        <v>550</v>
      </c>
      <c r="B132" s="563"/>
      <c r="C132" s="563"/>
      <c r="D132" s="563"/>
      <c r="E132" s="563"/>
      <c r="F132" s="563"/>
      <c r="G132" s="563"/>
      <c r="H132" s="563"/>
      <c r="I132" s="563"/>
      <c r="J132" s="563"/>
      <c r="K132" s="563"/>
      <c r="L132" s="563"/>
      <c r="M132" s="563"/>
      <c r="N132" s="563"/>
      <c r="O132" s="563"/>
      <c r="P132" s="563"/>
      <c r="Q132" s="563"/>
      <c r="R132" s="563"/>
      <c r="S132" s="563"/>
      <c r="T132" s="563"/>
      <c r="U132" s="563"/>
      <c r="V132" s="563"/>
      <c r="W132" s="563"/>
      <c r="X132" s="564"/>
    </row>
    <row r="133" spans="1:24" s="101" customFormat="1">
      <c r="A133" s="565" t="s">
        <v>87</v>
      </c>
      <c r="B133" s="566"/>
      <c r="C133" s="567" t="s">
        <v>486</v>
      </c>
      <c r="D133" s="568"/>
      <c r="E133" s="568"/>
      <c r="F133" s="568"/>
      <c r="G133" s="568"/>
      <c r="H133" s="566"/>
      <c r="I133" s="567" t="s">
        <v>487</v>
      </c>
      <c r="J133" s="568"/>
      <c r="K133" s="568"/>
      <c r="L133" s="568"/>
      <c r="M133" s="568"/>
      <c r="N133" s="568"/>
      <c r="O133" s="568"/>
      <c r="P133" s="568"/>
      <c r="Q133" s="566"/>
      <c r="R133" s="567" t="s">
        <v>488</v>
      </c>
      <c r="S133" s="568"/>
      <c r="T133" s="568"/>
      <c r="U133" s="568"/>
      <c r="V133" s="568"/>
      <c r="W133" s="568"/>
      <c r="X133" s="569"/>
    </row>
    <row r="134" spans="1:24" customHeight="1" ht="30" s="157" customFormat="1">
      <c r="A134" s="555"/>
      <c r="B134" s="556"/>
      <c r="C134" s="557"/>
      <c r="D134" s="558"/>
      <c r="E134" s="558"/>
      <c r="F134" s="558"/>
      <c r="G134" s="558"/>
      <c r="H134" s="559"/>
      <c r="I134" s="560"/>
      <c r="J134" s="558"/>
      <c r="K134" s="558"/>
      <c r="L134" s="558"/>
      <c r="M134" s="558"/>
      <c r="N134" s="558"/>
      <c r="O134" s="558"/>
      <c r="P134" s="558"/>
      <c r="Q134" s="559"/>
      <c r="R134" s="560"/>
      <c r="S134" s="558"/>
      <c r="T134" s="558"/>
      <c r="U134" s="558"/>
      <c r="V134" s="558"/>
      <c r="W134" s="558"/>
      <c r="X134" s="561"/>
    </row>
    <row r="135" spans="1:24" customHeight="1" ht="30" s="157" customFormat="1">
      <c r="A135" s="555"/>
      <c r="B135" s="556"/>
      <c r="C135" s="557"/>
      <c r="D135" s="558"/>
      <c r="E135" s="558"/>
      <c r="F135" s="558"/>
      <c r="G135" s="558"/>
      <c r="H135" s="559"/>
      <c r="I135" s="560"/>
      <c r="J135" s="558"/>
      <c r="K135" s="558"/>
      <c r="L135" s="558"/>
      <c r="M135" s="558"/>
      <c r="N135" s="558"/>
      <c r="O135" s="558"/>
      <c r="P135" s="558"/>
      <c r="Q135" s="559"/>
      <c r="R135" s="560"/>
      <c r="S135" s="558"/>
      <c r="T135" s="558"/>
      <c r="U135" s="558"/>
      <c r="V135" s="558"/>
      <c r="W135" s="558"/>
      <c r="X135" s="561"/>
    </row>
    <row r="136" spans="1:24" customHeight="1" ht="30" s="101" customFormat="1">
      <c r="A136" s="554"/>
      <c r="B136" s="552"/>
      <c r="C136" s="550"/>
      <c r="D136" s="551"/>
      <c r="E136" s="551"/>
      <c r="F136" s="551"/>
      <c r="G136" s="551"/>
      <c r="H136" s="552"/>
      <c r="I136" s="550"/>
      <c r="J136" s="551"/>
      <c r="K136" s="551"/>
      <c r="L136" s="551"/>
      <c r="M136" s="551"/>
      <c r="N136" s="551"/>
      <c r="O136" s="551"/>
      <c r="P136" s="551"/>
      <c r="Q136" s="552"/>
      <c r="R136" s="550"/>
      <c r="S136" s="551"/>
      <c r="T136" s="551"/>
      <c r="U136" s="551"/>
      <c r="V136" s="551"/>
      <c r="W136" s="551"/>
      <c r="X136" s="553"/>
    </row>
    <row r="137" spans="1:24" customHeight="1" ht="13.5" s="101" customFormat="1">
      <c r="A137" s="141"/>
      <c r="B137" s="141"/>
      <c r="C137" s="141"/>
      <c r="D137" s="141"/>
      <c r="E137" s="141"/>
      <c r="F137" s="141"/>
      <c r="G137" s="141"/>
      <c r="H137" s="141"/>
      <c r="I137" s="141"/>
      <c r="X137" s="101"/>
    </row>
    <row r="138" spans="1:24" customHeight="1" ht="13.5" s="101" customFormat="1">
      <c r="A138" s="141"/>
      <c r="B138" s="141"/>
      <c r="C138" s="141"/>
      <c r="D138" s="141"/>
      <c r="E138" s="141"/>
      <c r="F138" s="141"/>
      <c r="G138" s="141"/>
      <c r="H138" s="141"/>
      <c r="I138" s="141"/>
      <c r="X138" s="101"/>
    </row>
    <row r="139" spans="1:24" customHeight="1" ht="18.5" s="101" customFormat="1">
      <c r="A139" s="153" t="s">
        <v>549</v>
      </c>
      <c r="B139" s="154"/>
      <c r="C139" s="154"/>
      <c r="D139" s="154"/>
      <c r="E139" s="154"/>
      <c r="F139" s="154"/>
      <c r="G139" s="154"/>
      <c r="H139" s="154"/>
      <c r="I139" s="154"/>
      <c r="J139" s="155"/>
      <c r="K139" s="155"/>
      <c r="L139" s="155"/>
      <c r="M139" s="155"/>
      <c r="N139" s="155"/>
      <c r="O139" s="155"/>
      <c r="P139" s="155"/>
      <c r="Q139" s="155"/>
      <c r="R139" s="155"/>
      <c r="S139" s="155"/>
      <c r="T139" s="155"/>
      <c r="U139" s="155"/>
      <c r="V139" s="155"/>
      <c r="W139" s="155"/>
      <c r="X139" s="156"/>
    </row>
    <row r="140" spans="1:24" customHeight="1" ht="13" s="101" customFormat="1">
      <c r="A140" s="141"/>
      <c r="B140" s="141"/>
      <c r="C140" s="141"/>
      <c r="D140" s="141"/>
      <c r="E140" s="141"/>
      <c r="F140" s="141"/>
      <c r="G140" s="141"/>
      <c r="H140" s="141"/>
      <c r="I140" s="141"/>
      <c r="X140" s="101"/>
    </row>
    <row r="141" spans="1:24" customHeight="1" ht="13" s="101" customFormat="1">
      <c r="A141" s="141"/>
      <c r="B141" s="141"/>
      <c r="C141" s="141"/>
      <c r="D141" s="141"/>
      <c r="E141" s="141"/>
      <c r="F141" s="141"/>
      <c r="G141" s="141"/>
      <c r="H141" s="141"/>
      <c r="I141" s="141"/>
      <c r="X141" s="101"/>
    </row>
    <row r="142" spans="1:24" customHeight="1" ht="13" s="101" customFormat="1">
      <c r="A142" s="657"/>
      <c r="B142" s="658"/>
      <c r="C142" s="659"/>
      <c r="D142" s="657" t="s">
        <v>548</v>
      </c>
      <c r="E142" s="658"/>
      <c r="F142" s="659"/>
      <c r="G142" s="657" t="s">
        <v>547</v>
      </c>
      <c r="H142" s="658"/>
      <c r="I142" s="659"/>
      <c r="J142" s="657" t="s">
        <v>546</v>
      </c>
      <c r="K142" s="658"/>
      <c r="L142" s="659"/>
      <c r="M142" s="648" t="s">
        <v>545</v>
      </c>
      <c r="N142" s="649"/>
      <c r="O142" s="650"/>
      <c r="P142" s="648" t="s">
        <v>544</v>
      </c>
      <c r="Q142" s="649"/>
      <c r="R142" s="650"/>
      <c r="S142" s="648" t="s">
        <v>543</v>
      </c>
      <c r="T142" s="649"/>
      <c r="U142" s="650"/>
      <c r="V142" s="648" t="s">
        <v>542</v>
      </c>
      <c r="W142" s="649"/>
      <c r="X142" s="650"/>
    </row>
    <row r="143" spans="1:24" customHeight="1" ht="13" s="101" customFormat="1">
      <c r="A143" s="663"/>
      <c r="B143" s="664"/>
      <c r="C143" s="665"/>
      <c r="D143" s="663"/>
      <c r="E143" s="664"/>
      <c r="F143" s="665"/>
      <c r="G143" s="663"/>
      <c r="H143" s="664"/>
      <c r="I143" s="665"/>
      <c r="J143" s="663"/>
      <c r="K143" s="664"/>
      <c r="L143" s="665"/>
      <c r="M143" s="651"/>
      <c r="N143" s="652"/>
      <c r="O143" s="653"/>
      <c r="P143" s="651"/>
      <c r="Q143" s="652"/>
      <c r="R143" s="653"/>
      <c r="S143" s="651"/>
      <c r="T143" s="652"/>
      <c r="U143" s="653"/>
      <c r="V143" s="651"/>
      <c r="W143" s="652"/>
      <c r="X143" s="653"/>
    </row>
    <row r="144" spans="1:24" customHeight="1" ht="13" s="101" customFormat="1">
      <c r="A144" s="660"/>
      <c r="B144" s="661"/>
      <c r="C144" s="662"/>
      <c r="D144" s="660"/>
      <c r="E144" s="661"/>
      <c r="F144" s="662"/>
      <c r="G144" s="660"/>
      <c r="H144" s="661"/>
      <c r="I144" s="662"/>
      <c r="J144" s="660"/>
      <c r="K144" s="661"/>
      <c r="L144" s="662"/>
      <c r="M144" s="654"/>
      <c r="N144" s="655"/>
      <c r="O144" s="656"/>
      <c r="P144" s="654"/>
      <c r="Q144" s="655"/>
      <c r="R144" s="656"/>
      <c r="S144" s="654"/>
      <c r="T144" s="655"/>
      <c r="U144" s="656"/>
      <c r="V144" s="654"/>
      <c r="W144" s="655"/>
      <c r="X144" s="656"/>
    </row>
    <row r="145" spans="1:24" customHeight="1" ht="13" s="101" customFormat="1">
      <c r="A145" s="657" t="s">
        <v>198</v>
      </c>
      <c r="B145" s="658"/>
      <c r="C145" s="659"/>
      <c r="D145" s="657"/>
      <c r="E145" s="658"/>
      <c r="F145" s="659"/>
      <c r="G145" s="657"/>
      <c r="H145" s="658"/>
      <c r="I145" s="659"/>
      <c r="J145" s="657"/>
      <c r="K145" s="658"/>
      <c r="L145" s="659"/>
      <c r="M145" s="657"/>
      <c r="N145" s="658"/>
      <c r="O145" s="659"/>
      <c r="P145" s="648"/>
      <c r="Q145" s="649"/>
      <c r="R145" s="650"/>
      <c r="S145" s="648"/>
      <c r="T145" s="649"/>
      <c r="U145" s="650"/>
      <c r="V145" s="648"/>
      <c r="W145" s="649"/>
      <c r="X145" s="650"/>
    </row>
    <row r="146" spans="1:24" customHeight="1" ht="13" s="101" customFormat="1">
      <c r="A146" s="660"/>
      <c r="B146" s="661"/>
      <c r="C146" s="662"/>
      <c r="D146" s="660"/>
      <c r="E146" s="661"/>
      <c r="F146" s="662"/>
      <c r="G146" s="660"/>
      <c r="H146" s="661"/>
      <c r="I146" s="662"/>
      <c r="J146" s="660"/>
      <c r="K146" s="661"/>
      <c r="L146" s="662"/>
      <c r="M146" s="660"/>
      <c r="N146" s="661"/>
      <c r="O146" s="662"/>
      <c r="P146" s="654"/>
      <c r="Q146" s="655"/>
      <c r="R146" s="656"/>
      <c r="S146" s="654"/>
      <c r="T146" s="655"/>
      <c r="U146" s="656"/>
      <c r="V146" s="654"/>
      <c r="W146" s="655"/>
      <c r="X146" s="656"/>
    </row>
    <row r="147" spans="1:24" customHeight="1" ht="12.75" s="101" customFormat="1">
      <c r="A147" s="657" t="s">
        <v>205</v>
      </c>
      <c r="B147" s="658"/>
      <c r="C147" s="659"/>
      <c r="D147" s="657"/>
      <c r="E147" s="658"/>
      <c r="F147" s="659"/>
      <c r="G147" s="657"/>
      <c r="H147" s="658"/>
      <c r="I147" s="659"/>
      <c r="J147" s="657"/>
      <c r="K147" s="658"/>
      <c r="L147" s="659"/>
      <c r="M147" s="657"/>
      <c r="N147" s="658"/>
      <c r="O147" s="659"/>
      <c r="P147" s="648"/>
      <c r="Q147" s="649"/>
      <c r="R147" s="650"/>
      <c r="S147" s="648"/>
      <c r="T147" s="649"/>
      <c r="U147" s="650"/>
      <c r="V147" s="648"/>
      <c r="W147" s="649"/>
      <c r="X147" s="650"/>
    </row>
    <row r="148" spans="1:24" customHeight="1" ht="13" s="101" customFormat="1">
      <c r="A148" s="660"/>
      <c r="B148" s="661"/>
      <c r="C148" s="662"/>
      <c r="D148" s="660"/>
      <c r="E148" s="661"/>
      <c r="F148" s="662"/>
      <c r="G148" s="660"/>
      <c r="H148" s="661"/>
      <c r="I148" s="662"/>
      <c r="J148" s="660"/>
      <c r="K148" s="661"/>
      <c r="L148" s="662"/>
      <c r="M148" s="660"/>
      <c r="N148" s="661"/>
      <c r="O148" s="662"/>
      <c r="P148" s="654"/>
      <c r="Q148" s="655"/>
      <c r="R148" s="656"/>
      <c r="S148" s="654"/>
      <c r="T148" s="655"/>
      <c r="U148" s="656"/>
      <c r="V148" s="654"/>
      <c r="W148" s="655"/>
      <c r="X148" s="656"/>
    </row>
    <row r="149" spans="1:24" customHeight="1" ht="13" s="101" customFormat="1">
      <c r="A149" s="657" t="s">
        <v>177</v>
      </c>
      <c r="B149" s="658"/>
      <c r="C149" s="659"/>
      <c r="D149" s="675"/>
      <c r="E149" s="676"/>
      <c r="F149" s="677"/>
      <c r="G149" s="675"/>
      <c r="H149" s="676"/>
      <c r="I149" s="677"/>
      <c r="J149" s="657"/>
      <c r="K149" s="658"/>
      <c r="L149" s="659"/>
      <c r="M149" s="657"/>
      <c r="N149" s="658"/>
      <c r="O149" s="659"/>
      <c r="P149" s="648"/>
      <c r="Q149" s="649"/>
      <c r="R149" s="650"/>
      <c r="S149" s="648"/>
      <c r="T149" s="649"/>
      <c r="U149" s="650"/>
      <c r="V149" s="648"/>
      <c r="W149" s="649"/>
      <c r="X149" s="650"/>
    </row>
    <row r="150" spans="1:24" customHeight="1" ht="13" s="101" customFormat="1">
      <c r="A150" s="660"/>
      <c r="B150" s="661"/>
      <c r="C150" s="662"/>
      <c r="D150" s="678"/>
      <c r="E150" s="679"/>
      <c r="F150" s="680"/>
      <c r="G150" s="678"/>
      <c r="H150" s="679"/>
      <c r="I150" s="680"/>
      <c r="J150" s="660"/>
      <c r="K150" s="661"/>
      <c r="L150" s="662"/>
      <c r="M150" s="660"/>
      <c r="N150" s="661"/>
      <c r="O150" s="662"/>
      <c r="P150" s="654"/>
      <c r="Q150" s="655"/>
      <c r="R150" s="656"/>
      <c r="S150" s="654"/>
      <c r="T150" s="655"/>
      <c r="U150" s="656"/>
      <c r="V150" s="654"/>
      <c r="W150" s="655"/>
      <c r="X150" s="656"/>
    </row>
    <row r="151" spans="1:24" customHeight="1" ht="13" s="101" customFormat="1">
      <c r="A151" s="657" t="s">
        <v>541</v>
      </c>
      <c r="B151" s="658"/>
      <c r="C151" s="659"/>
      <c r="D151" s="657"/>
      <c r="E151" s="658"/>
      <c r="F151" s="659"/>
      <c r="G151" s="675"/>
      <c r="H151" s="676"/>
      <c r="I151" s="677"/>
      <c r="J151" s="657"/>
      <c r="K151" s="658"/>
      <c r="L151" s="659"/>
      <c r="M151" s="657"/>
      <c r="N151" s="658"/>
      <c r="O151" s="659"/>
      <c r="P151" s="648"/>
      <c r="Q151" s="649"/>
      <c r="R151" s="650"/>
      <c r="S151" s="648"/>
      <c r="T151" s="649"/>
      <c r="U151" s="650"/>
      <c r="V151" s="648"/>
      <c r="W151" s="649"/>
      <c r="X151" s="650"/>
    </row>
    <row r="152" spans="1:24" customHeight="1" ht="13" s="101" customFormat="1">
      <c r="A152" s="660"/>
      <c r="B152" s="661"/>
      <c r="C152" s="662"/>
      <c r="D152" s="660"/>
      <c r="E152" s="661"/>
      <c r="F152" s="662"/>
      <c r="G152" s="678"/>
      <c r="H152" s="679"/>
      <c r="I152" s="680"/>
      <c r="J152" s="660"/>
      <c r="K152" s="661"/>
      <c r="L152" s="662"/>
      <c r="M152" s="660"/>
      <c r="N152" s="661"/>
      <c r="O152" s="662"/>
      <c r="P152" s="654"/>
      <c r="Q152" s="655"/>
      <c r="R152" s="656"/>
      <c r="S152" s="654"/>
      <c r="T152" s="655"/>
      <c r="U152" s="656"/>
      <c r="V152" s="654"/>
      <c r="W152" s="655"/>
      <c r="X152" s="656"/>
    </row>
    <row r="153" spans="1:24" customHeight="1" ht="13" s="101" customFormat="1">
      <c r="A153" s="657" t="s">
        <v>101</v>
      </c>
      <c r="B153" s="658"/>
      <c r="C153" s="659"/>
      <c r="D153" s="657"/>
      <c r="E153" s="658"/>
      <c r="F153" s="659"/>
      <c r="G153" s="675"/>
      <c r="H153" s="676"/>
      <c r="I153" s="677"/>
      <c r="J153" s="657"/>
      <c r="K153" s="658"/>
      <c r="L153" s="659"/>
      <c r="M153" s="657"/>
      <c r="N153" s="658"/>
      <c r="O153" s="659"/>
      <c r="P153" s="648"/>
      <c r="Q153" s="649"/>
      <c r="R153" s="650"/>
      <c r="S153" s="648"/>
      <c r="T153" s="649"/>
      <c r="U153" s="650"/>
      <c r="V153" s="648"/>
      <c r="W153" s="649"/>
      <c r="X153" s="650"/>
    </row>
    <row r="154" spans="1:24" customHeight="1" ht="13" s="101" customFormat="1">
      <c r="A154" s="660"/>
      <c r="B154" s="661"/>
      <c r="C154" s="662"/>
      <c r="D154" s="660"/>
      <c r="E154" s="661"/>
      <c r="F154" s="662"/>
      <c r="G154" s="678"/>
      <c r="H154" s="679"/>
      <c r="I154" s="680"/>
      <c r="J154" s="660"/>
      <c r="K154" s="661"/>
      <c r="L154" s="662"/>
      <c r="M154" s="660"/>
      <c r="N154" s="661"/>
      <c r="O154" s="662"/>
      <c r="P154" s="654"/>
      <c r="Q154" s="655"/>
      <c r="R154" s="656"/>
      <c r="S154" s="654"/>
      <c r="T154" s="655"/>
      <c r="U154" s="656"/>
      <c r="V154" s="654"/>
      <c r="W154" s="655"/>
      <c r="X154" s="656"/>
    </row>
    <row r="155" spans="1:24" customHeight="1" ht="13" s="101" customFormat="1">
      <c r="A155" s="657" t="s">
        <v>127</v>
      </c>
      <c r="B155" s="658"/>
      <c r="C155" s="659"/>
      <c r="D155" s="675"/>
      <c r="E155" s="676"/>
      <c r="F155" s="677"/>
      <c r="G155" s="675"/>
      <c r="H155" s="676"/>
      <c r="I155" s="677"/>
      <c r="J155" s="657"/>
      <c r="K155" s="658"/>
      <c r="L155" s="659"/>
      <c r="M155" s="657"/>
      <c r="N155" s="658"/>
      <c r="O155" s="659"/>
      <c r="P155" s="648"/>
      <c r="Q155" s="649"/>
      <c r="R155" s="650"/>
      <c r="S155" s="648"/>
      <c r="T155" s="649"/>
      <c r="U155" s="650"/>
      <c r="V155" s="648"/>
      <c r="W155" s="649"/>
      <c r="X155" s="650"/>
    </row>
    <row r="156" spans="1:24" customHeight="1" ht="13" s="101" customFormat="1">
      <c r="A156" s="660"/>
      <c r="B156" s="661"/>
      <c r="C156" s="662"/>
      <c r="D156" s="678"/>
      <c r="E156" s="679"/>
      <c r="F156" s="680"/>
      <c r="G156" s="678"/>
      <c r="H156" s="679"/>
      <c r="I156" s="680"/>
      <c r="J156" s="660"/>
      <c r="K156" s="661"/>
      <c r="L156" s="662"/>
      <c r="M156" s="660"/>
      <c r="N156" s="661"/>
      <c r="O156" s="662"/>
      <c r="P156" s="654"/>
      <c r="Q156" s="655"/>
      <c r="R156" s="656"/>
      <c r="S156" s="654"/>
      <c r="T156" s="655"/>
      <c r="U156" s="656"/>
      <c r="V156" s="654"/>
      <c r="W156" s="655"/>
      <c r="X156" s="656"/>
    </row>
    <row r="157" spans="1:24" customHeight="1" ht="13" s="101" customFormat="1">
      <c r="X157" s="101"/>
    </row>
    <row r="158" spans="1:24" customHeight="1" ht="13" s="101" customFormat="1">
      <c r="X158" s="101"/>
    </row>
    <row r="159" spans="1:24">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c r="X159" s="158"/>
    </row>
    <row r="160" spans="1:24">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row>
    <row r="161" spans="1:24">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row>
    <row r="162" spans="1:24">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row>
    <row r="163" spans="1:24">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row>
    <row r="164" spans="1:2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row>
    <row r="165" spans="1:24">
      <c r="A165" s="666" t="s">
        <v>540</v>
      </c>
      <c r="B165" s="667"/>
      <c r="C165" s="667"/>
      <c r="D165" s="667"/>
      <c r="E165" s="667"/>
      <c r="F165" s="667"/>
      <c r="G165" s="667"/>
      <c r="H165" s="667"/>
      <c r="I165" s="667"/>
      <c r="J165" s="667"/>
      <c r="K165" s="667"/>
      <c r="L165" s="667"/>
      <c r="M165" s="667"/>
      <c r="N165" s="667"/>
      <c r="O165" s="667"/>
      <c r="P165" s="667"/>
      <c r="Q165" s="667"/>
      <c r="R165" s="667"/>
      <c r="S165" s="667"/>
      <c r="T165" s="667"/>
      <c r="U165" s="667"/>
      <c r="V165" s="667"/>
      <c r="W165" s="668"/>
      <c r="X165" s="101"/>
    </row>
    <row r="166" spans="1:24">
      <c r="A166" s="669"/>
      <c r="B166" s="670"/>
      <c r="C166" s="670"/>
      <c r="D166" s="670"/>
      <c r="E166" s="670"/>
      <c r="F166" s="670"/>
      <c r="G166" s="670"/>
      <c r="H166" s="670"/>
      <c r="I166" s="670"/>
      <c r="J166" s="670"/>
      <c r="K166" s="670"/>
      <c r="L166" s="670"/>
      <c r="M166" s="670"/>
      <c r="N166" s="670"/>
      <c r="O166" s="670"/>
      <c r="P166" s="670"/>
      <c r="Q166" s="670"/>
      <c r="R166" s="670"/>
      <c r="S166" s="670"/>
      <c r="T166" s="670"/>
      <c r="U166" s="670"/>
      <c r="V166" s="670"/>
      <c r="W166" s="671"/>
      <c r="X166" s="101"/>
    </row>
    <row r="167" spans="1:24">
      <c r="A167" s="669"/>
      <c r="B167" s="670"/>
      <c r="C167" s="670"/>
      <c r="D167" s="670"/>
      <c r="E167" s="670"/>
      <c r="F167" s="670"/>
      <c r="G167" s="670"/>
      <c r="H167" s="670"/>
      <c r="I167" s="670"/>
      <c r="J167" s="670"/>
      <c r="K167" s="670"/>
      <c r="L167" s="670"/>
      <c r="M167" s="670"/>
      <c r="N167" s="670"/>
      <c r="O167" s="670"/>
      <c r="P167" s="670"/>
      <c r="Q167" s="670"/>
      <c r="R167" s="670"/>
      <c r="S167" s="670"/>
      <c r="T167" s="670"/>
      <c r="U167" s="670"/>
      <c r="V167" s="670"/>
      <c r="W167" s="671"/>
      <c r="X167" s="101"/>
    </row>
    <row r="168" spans="1:24">
      <c r="A168" s="669"/>
      <c r="B168" s="670"/>
      <c r="C168" s="670"/>
      <c r="D168" s="670"/>
      <c r="E168" s="670"/>
      <c r="F168" s="670"/>
      <c r="G168" s="670"/>
      <c r="H168" s="670"/>
      <c r="I168" s="670"/>
      <c r="J168" s="670"/>
      <c r="K168" s="670"/>
      <c r="L168" s="670"/>
      <c r="M168" s="670"/>
      <c r="N168" s="670"/>
      <c r="O168" s="670"/>
      <c r="P168" s="670"/>
      <c r="Q168" s="670"/>
      <c r="R168" s="670"/>
      <c r="S168" s="670"/>
      <c r="T168" s="670"/>
      <c r="U168" s="670"/>
      <c r="V168" s="670"/>
      <c r="W168" s="671"/>
      <c r="X168" s="101"/>
    </row>
    <row r="169" spans="1:24">
      <c r="A169" s="669"/>
      <c r="B169" s="670"/>
      <c r="C169" s="670"/>
      <c r="D169" s="670"/>
      <c r="E169" s="670"/>
      <c r="F169" s="670"/>
      <c r="G169" s="670"/>
      <c r="H169" s="670"/>
      <c r="I169" s="670"/>
      <c r="J169" s="670"/>
      <c r="K169" s="670"/>
      <c r="L169" s="670"/>
      <c r="M169" s="670"/>
      <c r="N169" s="670"/>
      <c r="O169" s="670"/>
      <c r="P169" s="670"/>
      <c r="Q169" s="670"/>
      <c r="R169" s="670"/>
      <c r="S169" s="670"/>
      <c r="T169" s="670"/>
      <c r="U169" s="670"/>
      <c r="V169" s="670"/>
      <c r="W169" s="671"/>
      <c r="X169" s="101"/>
    </row>
    <row r="170" spans="1:24">
      <c r="A170" s="669"/>
      <c r="B170" s="670"/>
      <c r="C170" s="670"/>
      <c r="D170" s="670"/>
      <c r="E170" s="670"/>
      <c r="F170" s="670"/>
      <c r="G170" s="670"/>
      <c r="H170" s="670"/>
      <c r="I170" s="670"/>
      <c r="J170" s="670"/>
      <c r="K170" s="670"/>
      <c r="L170" s="670"/>
      <c r="M170" s="670"/>
      <c r="N170" s="670"/>
      <c r="O170" s="670"/>
      <c r="P170" s="670"/>
      <c r="Q170" s="670"/>
      <c r="R170" s="670"/>
      <c r="S170" s="670"/>
      <c r="T170" s="670"/>
      <c r="U170" s="670"/>
      <c r="V170" s="670"/>
      <c r="W170" s="671"/>
      <c r="X170" s="101"/>
    </row>
    <row r="171" spans="1:24">
      <c r="A171" s="669"/>
      <c r="B171" s="670"/>
      <c r="C171" s="670"/>
      <c r="D171" s="670"/>
      <c r="E171" s="670"/>
      <c r="F171" s="670"/>
      <c r="G171" s="670"/>
      <c r="H171" s="670"/>
      <c r="I171" s="670"/>
      <c r="J171" s="670"/>
      <c r="K171" s="670"/>
      <c r="L171" s="670"/>
      <c r="M171" s="670"/>
      <c r="N171" s="670"/>
      <c r="O171" s="670"/>
      <c r="P171" s="670"/>
      <c r="Q171" s="670"/>
      <c r="R171" s="670"/>
      <c r="S171" s="670"/>
      <c r="T171" s="670"/>
      <c r="U171" s="670"/>
      <c r="V171" s="670"/>
      <c r="W171" s="671"/>
      <c r="X171" s="101"/>
    </row>
    <row r="172" spans="1:24">
      <c r="A172" s="669"/>
      <c r="B172" s="670"/>
      <c r="C172" s="670"/>
      <c r="D172" s="670"/>
      <c r="E172" s="670"/>
      <c r="F172" s="670"/>
      <c r="G172" s="670"/>
      <c r="H172" s="670"/>
      <c r="I172" s="670"/>
      <c r="J172" s="670"/>
      <c r="K172" s="670"/>
      <c r="L172" s="670"/>
      <c r="M172" s="670"/>
      <c r="N172" s="670"/>
      <c r="O172" s="670"/>
      <c r="P172" s="670"/>
      <c r="Q172" s="670"/>
      <c r="R172" s="670"/>
      <c r="S172" s="670"/>
      <c r="T172" s="670"/>
      <c r="U172" s="670"/>
      <c r="V172" s="670"/>
      <c r="W172" s="671"/>
      <c r="X172" s="101"/>
    </row>
    <row r="173" spans="1:24">
      <c r="A173" s="669"/>
      <c r="B173" s="670"/>
      <c r="C173" s="670"/>
      <c r="D173" s="670"/>
      <c r="E173" s="670"/>
      <c r="F173" s="670"/>
      <c r="G173" s="670"/>
      <c r="H173" s="670"/>
      <c r="I173" s="670"/>
      <c r="J173" s="670"/>
      <c r="K173" s="670"/>
      <c r="L173" s="670"/>
      <c r="M173" s="670"/>
      <c r="N173" s="670"/>
      <c r="O173" s="670"/>
      <c r="P173" s="670"/>
      <c r="Q173" s="670"/>
      <c r="R173" s="670"/>
      <c r="S173" s="670"/>
      <c r="T173" s="670"/>
      <c r="U173" s="670"/>
      <c r="V173" s="670"/>
      <c r="W173" s="671"/>
      <c r="X173" s="101"/>
    </row>
    <row r="174" spans="1:24">
      <c r="A174" s="669"/>
      <c r="B174" s="670"/>
      <c r="C174" s="670"/>
      <c r="D174" s="670"/>
      <c r="E174" s="670"/>
      <c r="F174" s="670"/>
      <c r="G174" s="670"/>
      <c r="H174" s="670"/>
      <c r="I174" s="670"/>
      <c r="J174" s="670"/>
      <c r="K174" s="670"/>
      <c r="L174" s="670"/>
      <c r="M174" s="670"/>
      <c r="N174" s="670"/>
      <c r="O174" s="670"/>
      <c r="P174" s="670"/>
      <c r="Q174" s="670"/>
      <c r="R174" s="670"/>
      <c r="S174" s="670"/>
      <c r="T174" s="670"/>
      <c r="U174" s="670"/>
      <c r="V174" s="670"/>
      <c r="W174" s="671"/>
      <c r="X174" s="101"/>
    </row>
    <row r="175" spans="1:24">
      <c r="A175" s="669"/>
      <c r="B175" s="670"/>
      <c r="C175" s="670"/>
      <c r="D175" s="670"/>
      <c r="E175" s="670"/>
      <c r="F175" s="670"/>
      <c r="G175" s="670"/>
      <c r="H175" s="670"/>
      <c r="I175" s="670"/>
      <c r="J175" s="670"/>
      <c r="K175" s="670"/>
      <c r="L175" s="670"/>
      <c r="M175" s="670"/>
      <c r="N175" s="670"/>
      <c r="O175" s="670"/>
      <c r="P175" s="670"/>
      <c r="Q175" s="670"/>
      <c r="R175" s="670"/>
      <c r="S175" s="670"/>
      <c r="T175" s="670"/>
      <c r="U175" s="670"/>
      <c r="V175" s="670"/>
      <c r="W175" s="671"/>
      <c r="X175" s="101"/>
    </row>
    <row r="176" spans="1:24">
      <c r="A176" s="672"/>
      <c r="B176" s="673"/>
      <c r="C176" s="673"/>
      <c r="D176" s="673"/>
      <c r="E176" s="673"/>
      <c r="F176" s="673"/>
      <c r="G176" s="673"/>
      <c r="H176" s="673"/>
      <c r="I176" s="673"/>
      <c r="J176" s="673"/>
      <c r="K176" s="673"/>
      <c r="L176" s="673"/>
      <c r="M176" s="673"/>
      <c r="N176" s="673"/>
      <c r="O176" s="673"/>
      <c r="P176" s="673"/>
      <c r="Q176" s="673"/>
      <c r="R176" s="673"/>
      <c r="S176" s="673"/>
      <c r="T176" s="673"/>
      <c r="U176" s="673"/>
      <c r="V176" s="673"/>
      <c r="W176" s="674"/>
      <c r="X176" s="101"/>
    </row>
  </sheetData>
  <sheetProtection formatCells="0" formatColumns="0" formatRows="0" insertColumns="0" insertRows="0" insertHyperlinks="0" deleteColumns="0" deleteRows="0" sort="0" autoFilter="0" pivotTables="0"/>
  <mergeCells>
    <mergeCell ref="V155:X156"/>
    <mergeCell ref="S147:U148"/>
    <mergeCell ref="V147:X148"/>
    <mergeCell ref="A149:C150"/>
    <mergeCell ref="D149:F150"/>
    <mergeCell ref="G149:I150"/>
    <mergeCell ref="J149:L150"/>
    <mergeCell ref="M149:O150"/>
    <mergeCell ref="S149:U150"/>
    <mergeCell ref="V149:X150"/>
    <mergeCell ref="P147:R148"/>
    <mergeCell ref="P149:R150"/>
    <mergeCell ref="A147:C148"/>
    <mergeCell ref="D147:F148"/>
    <mergeCell ref="G147:I148"/>
    <mergeCell ref="J147:L148"/>
    <mergeCell ref="M147:O148"/>
    <mergeCell ref="A165:W176"/>
    <mergeCell ref="P155:R156"/>
    <mergeCell ref="A155:C156"/>
    <mergeCell ref="D155:F156"/>
    <mergeCell ref="G155:I156"/>
    <mergeCell ref="J155:L156"/>
    <mergeCell ref="M155:O156"/>
    <mergeCell ref="S151:U152"/>
    <mergeCell ref="V151:X152"/>
    <mergeCell ref="A153:C154"/>
    <mergeCell ref="D153:F154"/>
    <mergeCell ref="G153:I154"/>
    <mergeCell ref="J153:L154"/>
    <mergeCell ref="M153:O154"/>
    <mergeCell ref="S153:U154"/>
    <mergeCell ref="V153:X154"/>
    <mergeCell ref="P151:R152"/>
    <mergeCell ref="P153:R154"/>
    <mergeCell ref="A151:C152"/>
    <mergeCell ref="D151:F152"/>
    <mergeCell ref="G151:I152"/>
    <mergeCell ref="J151:L152"/>
    <mergeCell ref="M151:O152"/>
    <mergeCell ref="S155:U156"/>
    <mergeCell ref="P142:R144"/>
    <mergeCell ref="S142:U144"/>
    <mergeCell ref="V142:X144"/>
    <mergeCell ref="A145:C146"/>
    <mergeCell ref="D145:F146"/>
    <mergeCell ref="G145:I146"/>
    <mergeCell ref="J145:L146"/>
    <mergeCell ref="M145:O146"/>
    <mergeCell ref="S145:U146"/>
    <mergeCell ref="V145:X146"/>
    <mergeCell ref="P145:R146"/>
    <mergeCell ref="A142:C144"/>
    <mergeCell ref="D142:F144"/>
    <mergeCell ref="G142:I144"/>
    <mergeCell ref="J142:L144"/>
    <mergeCell ref="M142:O144"/>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5:B95"/>
    <mergeCell ref="C95:H95"/>
    <mergeCell ref="I95:Q95"/>
    <mergeCell ref="R95:X95"/>
    <mergeCell ref="I90:Q90"/>
    <mergeCell ref="R90:X90"/>
    <mergeCell ref="A90:B90"/>
    <mergeCell ref="C90:H90"/>
    <mergeCell ref="A91:X92"/>
    <mergeCell ref="A93:X93"/>
    <mergeCell ref="A94:B94"/>
    <mergeCell ref="C94:H94"/>
    <mergeCell ref="I94:Q94"/>
    <mergeCell ref="R94:X94"/>
    <mergeCell ref="A106:B106"/>
    <mergeCell ref="C106:H106"/>
    <mergeCell ref="I106:Q106"/>
    <mergeCell ref="R106:X106"/>
    <mergeCell ref="A111:B111"/>
    <mergeCell ref="C111:H111"/>
    <mergeCell ref="I111:Q111"/>
    <mergeCell ref="R111:X111"/>
    <mergeCell ref="C110:H110"/>
    <mergeCell ref="I110:Q110"/>
    <mergeCell ref="R110:X110"/>
    <mergeCell ref="A107:X108"/>
    <mergeCell ref="A109:X109"/>
    <mergeCell ref="A110:B110"/>
    <mergeCell ref="A123:B123"/>
    <mergeCell ref="C123:H123"/>
    <mergeCell ref="I123:Q123"/>
    <mergeCell ref="R123:X123"/>
    <mergeCell ref="A128:B128"/>
    <mergeCell ref="C128:H128"/>
    <mergeCell ref="I128:Q128"/>
    <mergeCell ref="R128:X128"/>
    <mergeCell ref="A124:X125"/>
    <mergeCell ref="A126:X126"/>
    <mergeCell ref="A127:B127"/>
    <mergeCell ref="C127:H127"/>
    <mergeCell ref="I127:Q127"/>
    <mergeCell ref="R127:X127"/>
    <mergeCell ref="I136:Q136"/>
    <mergeCell ref="R136:X136"/>
    <mergeCell ref="A129:B129"/>
    <mergeCell ref="C129:H129"/>
    <mergeCell ref="I129:Q129"/>
    <mergeCell ref="R129:X129"/>
    <mergeCell ref="A134:B134"/>
    <mergeCell ref="C134:H134"/>
    <mergeCell ref="I134:Q134"/>
    <mergeCell ref="R134:X134"/>
    <mergeCell ref="A135:B135"/>
    <mergeCell ref="C135:H135"/>
    <mergeCell ref="I135:Q135"/>
    <mergeCell ref="R135:X135"/>
    <mergeCell ref="A130:X131"/>
    <mergeCell ref="A132:X132"/>
    <mergeCell ref="A133:B133"/>
    <mergeCell ref="C133:H133"/>
    <mergeCell ref="I133:Q133"/>
    <mergeCell ref="R133:X133"/>
    <mergeCell ref="A136:B136"/>
    <mergeCell ref="C136:H136"/>
    <mergeCell ref="A89:B89"/>
    <mergeCell ref="C89:H89"/>
    <mergeCell ref="I89:Q89"/>
    <mergeCell ref="R89:X89"/>
    <mergeCell ref="A96:B96"/>
    <mergeCell ref="C96:H96"/>
    <mergeCell ref="I96:Q96"/>
    <mergeCell ref="R96:X96"/>
    <mergeCell ref="A97:B97"/>
    <mergeCell ref="C97:H97"/>
    <mergeCell ref="I97:Q97"/>
    <mergeCell ref="R97:X97"/>
    <mergeCell ref="A98:B98"/>
    <mergeCell ref="C98:H98"/>
    <mergeCell ref="I98:Q98"/>
    <mergeCell ref="R98:X98"/>
    <mergeCell ref="A99:B99"/>
    <mergeCell ref="C99:H99"/>
    <mergeCell ref="I99:Q99"/>
    <mergeCell ref="R99:X99"/>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3:B103"/>
    <mergeCell ref="C103:H103"/>
    <mergeCell ref="I103:Q103"/>
    <mergeCell ref="R103:X103"/>
    <mergeCell ref="A104:B104"/>
    <mergeCell ref="C104:H104"/>
    <mergeCell ref="I104:Q104"/>
    <mergeCell ref="R104:X104"/>
    <mergeCell ref="A105:B105"/>
    <mergeCell ref="C105:H105"/>
    <mergeCell ref="I105:Q105"/>
    <mergeCell ref="R105:X105"/>
    <mergeCell ref="A112:B112"/>
    <mergeCell ref="C112:H112"/>
    <mergeCell ref="I112:Q112"/>
    <mergeCell ref="R112:X112"/>
    <mergeCell ref="A113:B113"/>
    <mergeCell ref="C113:H113"/>
    <mergeCell ref="I113:Q113"/>
    <mergeCell ref="R113:X113"/>
    <mergeCell ref="A114:B114"/>
    <mergeCell ref="C114:H114"/>
    <mergeCell ref="I114:Q114"/>
    <mergeCell ref="R114:X114"/>
    <mergeCell ref="A115:B115"/>
    <mergeCell ref="C115:H115"/>
    <mergeCell ref="I115:Q115"/>
    <mergeCell ref="R115:X115"/>
    <mergeCell ref="A116:B116"/>
    <mergeCell ref="C116:H116"/>
    <mergeCell ref="I116:Q116"/>
    <mergeCell ref="R116:X116"/>
    <mergeCell ref="A117:B117"/>
    <mergeCell ref="C117:H117"/>
    <mergeCell ref="I117:Q117"/>
    <mergeCell ref="R117:X117"/>
    <mergeCell ref="A118:B118"/>
    <mergeCell ref="C118:H118"/>
    <mergeCell ref="I118:Q118"/>
    <mergeCell ref="R118:X118"/>
    <mergeCell ref="A119:B119"/>
    <mergeCell ref="C119:H119"/>
    <mergeCell ref="I119:Q119"/>
    <mergeCell ref="R119:X119"/>
    <mergeCell ref="A120:B120"/>
    <mergeCell ref="C120:H120"/>
    <mergeCell ref="I120:Q120"/>
    <mergeCell ref="R120:X120"/>
    <mergeCell ref="A121:B121"/>
    <mergeCell ref="C121:H121"/>
    <mergeCell ref="I121:Q121"/>
    <mergeCell ref="R121:X121"/>
    <mergeCell ref="A122:B122"/>
    <mergeCell ref="C122:H122"/>
    <mergeCell ref="I122:Q122"/>
    <mergeCell ref="R122:X122"/>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5" t="s">
        <v>552</v>
      </c>
      <c r="B1" s="685"/>
      <c r="C1" s="685"/>
      <c r="E1" s="686" t="s">
        <v>553</v>
      </c>
      <c r="F1" s="688" t="s">
        <v>554</v>
      </c>
      <c r="G1" s="689"/>
      <c r="H1" s="690" t="s">
        <v>555</v>
      </c>
      <c r="I1" s="690"/>
      <c r="J1" s="690"/>
      <c r="K1" s="690"/>
      <c r="L1" s="690"/>
    </row>
    <row r="2" spans="1:12" customHeight="1" ht="15">
      <c r="E2" s="687"/>
      <c r="F2" s="162" t="s">
        <v>556</v>
      </c>
      <c r="G2" s="162" t="s">
        <v>2</v>
      </c>
      <c r="H2" s="162" t="s">
        <v>557</v>
      </c>
      <c r="I2" s="162" t="s">
        <v>558</v>
      </c>
      <c r="J2" s="162" t="s">
        <v>559</v>
      </c>
      <c r="K2" s="163" t="s">
        <v>560</v>
      </c>
      <c r="L2" s="163" t="s">
        <v>561</v>
      </c>
    </row>
    <row r="3" spans="1:12" customHeight="1" ht="36.5">
      <c r="A3" s="164" t="s">
        <v>562</v>
      </c>
      <c r="B3" s="691"/>
      <c r="C3" s="691"/>
      <c r="E3" s="165" t="s">
        <v>563</v>
      </c>
      <c r="F3" s="166"/>
      <c r="G3" s="166"/>
      <c r="H3" s="166"/>
      <c r="I3" s="166"/>
      <c r="J3" s="166"/>
      <c r="K3" s="166"/>
      <c r="L3" s="166"/>
    </row>
    <row r="4" spans="1:12" customHeight="1" ht="36.5">
      <c r="A4" s="167"/>
      <c r="E4" s="168" t="s">
        <v>564</v>
      </c>
      <c r="F4" s="166"/>
      <c r="G4" s="166"/>
      <c r="H4" s="166"/>
      <c r="I4" s="166"/>
      <c r="J4" s="166"/>
      <c r="K4" s="166"/>
      <c r="L4" s="166"/>
    </row>
    <row r="5" spans="1:12" customHeight="1" ht="24.5">
      <c r="A5" s="169" t="s">
        <v>565</v>
      </c>
      <c r="B5" s="170"/>
      <c r="C5" s="170"/>
      <c r="E5" s="168" t="s">
        <v>566</v>
      </c>
      <c r="F5" s="166"/>
      <c r="G5" s="166"/>
      <c r="H5" s="166"/>
      <c r="I5" s="166"/>
      <c r="J5" s="166"/>
      <c r="K5" s="166"/>
      <c r="L5" s="166"/>
    </row>
    <row r="6" spans="1:12" customHeight="1" ht="52.5">
      <c r="A6" s="171" t="s">
        <v>567</v>
      </c>
      <c r="B6" s="172"/>
      <c r="C6" s="172"/>
      <c r="E6" s="168" t="s">
        <v>568</v>
      </c>
      <c r="F6" s="166"/>
      <c r="G6" s="166"/>
      <c r="H6" s="166"/>
      <c r="I6" s="166"/>
      <c r="J6" s="166"/>
      <c r="K6" s="166"/>
      <c r="L6" s="166"/>
    </row>
    <row r="7" spans="1:12" customHeight="1" ht="36.5">
      <c r="A7" s="167"/>
      <c r="E7" s="168" t="s">
        <v>569</v>
      </c>
      <c r="F7" s="166"/>
      <c r="G7" s="166"/>
      <c r="H7" s="166"/>
      <c r="I7" s="166"/>
      <c r="J7" s="166"/>
      <c r="K7" s="166"/>
      <c r="L7" s="166"/>
    </row>
    <row r="8" spans="1:12" customHeight="1" ht="24.5">
      <c r="A8" s="684" t="s">
        <v>570</v>
      </c>
      <c r="B8" s="684"/>
      <c r="C8" s="684"/>
      <c r="E8" s="168" t="s">
        <v>571</v>
      </c>
      <c r="F8" s="166"/>
      <c r="G8" s="166"/>
      <c r="H8" s="166"/>
      <c r="I8" s="166"/>
      <c r="J8" s="166"/>
      <c r="K8" s="166"/>
      <c r="L8" s="166"/>
    </row>
    <row r="9" spans="1:12" customHeight="1" ht="24.5">
      <c r="A9" s="683" t="s">
        <v>572</v>
      </c>
      <c r="B9" s="683"/>
      <c r="C9" s="683"/>
      <c r="E9" s="168" t="s">
        <v>573</v>
      </c>
      <c r="F9" s="166"/>
      <c r="G9" s="166"/>
      <c r="H9" s="166"/>
      <c r="I9" s="166"/>
      <c r="J9" s="166"/>
      <c r="K9" s="166"/>
      <c r="L9" s="166"/>
    </row>
    <row r="10" spans="1:12" customHeight="1" ht="24.5">
      <c r="A10" s="683" t="s">
        <v>574</v>
      </c>
      <c r="B10" s="683"/>
      <c r="C10" s="683"/>
      <c r="E10" s="168" t="s">
        <v>575</v>
      </c>
      <c r="F10" s="166"/>
      <c r="G10" s="166"/>
      <c r="H10" s="166"/>
      <c r="I10" s="166"/>
      <c r="J10" s="166"/>
      <c r="K10" s="166"/>
      <c r="L10" s="166"/>
    </row>
    <row r="11" spans="1:12" customHeight="1" ht="36.75">
      <c r="A11" s="682" t="s">
        <v>576</v>
      </c>
      <c r="B11" s="682"/>
      <c r="C11" s="682"/>
      <c r="E11" s="168" t="s">
        <v>577</v>
      </c>
      <c r="F11" s="166"/>
      <c r="G11" s="166"/>
      <c r="H11" s="166"/>
      <c r="I11" s="166"/>
      <c r="J11" s="166"/>
      <c r="K11" s="166"/>
      <c r="L11" s="166"/>
    </row>
    <row r="12" spans="1:12" customHeight="1" ht="48.5">
      <c r="A12" s="682"/>
      <c r="B12" s="682"/>
      <c r="C12" s="682"/>
      <c r="E12" s="168" t="s">
        <v>578</v>
      </c>
      <c r="F12" s="166"/>
      <c r="G12" s="166"/>
      <c r="H12" s="166"/>
      <c r="I12" s="166"/>
      <c r="J12" s="166"/>
      <c r="K12" s="166"/>
      <c r="L12" s="166"/>
    </row>
    <row r="13" spans="1:12" customHeight="1" ht="24.5">
      <c r="A13" s="683" t="s">
        <v>579</v>
      </c>
      <c r="B13" s="683"/>
      <c r="C13" s="683"/>
      <c r="E13" s="168" t="s">
        <v>580</v>
      </c>
      <c r="F13" s="166"/>
      <c r="G13" s="166"/>
      <c r="H13" s="166"/>
      <c r="I13" s="166"/>
      <c r="J13" s="166"/>
      <c r="K13" s="166"/>
      <c r="L13" s="166"/>
    </row>
    <row r="14" spans="1:12" customHeight="1" ht="24.5">
      <c r="A14" s="682" t="s">
        <v>581</v>
      </c>
      <c r="B14" s="682"/>
      <c r="C14" s="682"/>
      <c r="E14" s="168" t="s">
        <v>582</v>
      </c>
      <c r="F14" s="166"/>
      <c r="G14" s="166"/>
      <c r="H14" s="166"/>
      <c r="I14" s="166"/>
      <c r="J14" s="166"/>
      <c r="K14" s="166"/>
      <c r="L14" s="166"/>
    </row>
    <row r="15" spans="1:12" customHeight="1" ht="24.5">
      <c r="A15" s="173"/>
      <c r="E15" s="168" t="s">
        <v>583</v>
      </c>
      <c r="F15" s="166"/>
      <c r="G15" s="166"/>
      <c r="H15" s="166"/>
      <c r="I15" s="166"/>
      <c r="J15" s="166"/>
      <c r="K15" s="166"/>
      <c r="L15" s="166"/>
    </row>
    <row r="16" spans="1:12" customHeight="1" ht="24.5">
      <c r="A16" s="681" t="s">
        <v>584</v>
      </c>
      <c r="B16" s="681"/>
      <c r="C16" s="681"/>
      <c r="E16" s="168" t="s">
        <v>585</v>
      </c>
      <c r="F16" s="166"/>
      <c r="G16" s="166"/>
      <c r="H16" s="166"/>
      <c r="I16" s="166"/>
      <c r="J16" s="166"/>
      <c r="K16" s="166"/>
      <c r="L16" s="166"/>
    </row>
    <row r="17" spans="1:12" customHeight="1" ht="36.5">
      <c r="A17" s="682" t="s">
        <v>586</v>
      </c>
      <c r="B17" s="682"/>
      <c r="C17" s="682"/>
      <c r="E17" s="168" t="s">
        <v>587</v>
      </c>
      <c r="F17" s="166"/>
      <c r="G17" s="166"/>
      <c r="H17" s="166"/>
      <c r="I17" s="166"/>
      <c r="J17" s="166"/>
      <c r="K17" s="166"/>
      <c r="L17" s="166"/>
    </row>
    <row r="18" spans="1:12" customHeight="1" ht="24.5">
      <c r="A18" s="682" t="s">
        <v>588</v>
      </c>
      <c r="B18" s="682"/>
      <c r="C18" s="682"/>
      <c r="E18" s="168" t="s">
        <v>589</v>
      </c>
      <c r="F18" s="166"/>
      <c r="G18" s="166"/>
      <c r="H18" s="166"/>
      <c r="I18" s="166"/>
      <c r="J18" s="166"/>
      <c r="K18" s="166"/>
      <c r="L18" s="166"/>
    </row>
    <row r="19" spans="1:12" customHeight="1" ht="15">
      <c r="A19" s="173"/>
      <c r="E19" s="168" t="s">
        <v>590</v>
      </c>
      <c r="F19" s="166"/>
      <c r="G19" s="166"/>
      <c r="H19" s="166"/>
      <c r="I19" s="166"/>
      <c r="J19" s="166"/>
      <c r="K19" s="166"/>
      <c r="L19" s="166"/>
    </row>
    <row r="20" spans="1:12" customHeight="1" ht="24.5">
      <c r="A20" s="681" t="s">
        <v>591</v>
      </c>
      <c r="B20" s="681"/>
      <c r="C20" s="681"/>
      <c r="E20" s="174" t="s">
        <v>592</v>
      </c>
      <c r="F20" s="166"/>
      <c r="G20" s="166"/>
      <c r="H20" s="166"/>
      <c r="I20" s="166"/>
      <c r="J20" s="166"/>
      <c r="K20" s="166"/>
      <c r="L20" s="166"/>
    </row>
    <row r="21" spans="1:12" customHeight="1" ht="36.5">
      <c r="A21" s="682" t="s">
        <v>593</v>
      </c>
      <c r="B21" s="682"/>
      <c r="C21" s="682"/>
      <c r="E21" s="175" t="s">
        <v>594</v>
      </c>
      <c r="F21" s="166"/>
      <c r="G21" s="166"/>
      <c r="H21" s="166"/>
      <c r="I21" s="166"/>
      <c r="J21" s="166"/>
      <c r="K21" s="166"/>
      <c r="L21" s="166"/>
    </row>
    <row r="22" spans="1:12">
      <c r="A22" s="173"/>
      <c r="E22" s="176"/>
      <c r="F22" s="176"/>
      <c r="G22" s="176"/>
      <c r="H22" s="176"/>
      <c r="I22" s="176"/>
      <c r="J22" s="176"/>
    </row>
    <row r="23" spans="1:12">
      <c r="A23" s="681" t="s">
        <v>595</v>
      </c>
      <c r="B23" s="681"/>
      <c r="C23" s="681"/>
      <c r="E23" s="176"/>
      <c r="F23" s="176"/>
      <c r="G23" s="176"/>
      <c r="H23" s="176"/>
      <c r="I23" s="176"/>
      <c r="J23" s="176"/>
    </row>
    <row r="24" spans="1:12">
      <c r="A24" s="682" t="s">
        <v>596</v>
      </c>
      <c r="B24" s="682"/>
      <c r="C24" s="682"/>
      <c r="E24" s="692" t="s">
        <v>597</v>
      </c>
      <c r="F24" s="692"/>
      <c r="G24" s="177"/>
      <c r="H24" s="177"/>
      <c r="I24" s="177"/>
      <c r="J24" s="177"/>
    </row>
    <row r="25" spans="1:12">
      <c r="A25" s="682" t="s">
        <v>598</v>
      </c>
      <c r="B25" s="682"/>
      <c r="C25" s="682"/>
      <c r="E25" s="693"/>
      <c r="F25" s="693"/>
      <c r="G25" s="693"/>
      <c r="H25" s="693"/>
      <c r="I25" s="693"/>
      <c r="J25" s="693"/>
    </row>
    <row r="26" spans="1:12">
      <c r="A26" s="682" t="s">
        <v>599</v>
      </c>
      <c r="B26" s="682"/>
      <c r="C26" s="682"/>
      <c r="E26" s="693"/>
      <c r="F26" s="693"/>
      <c r="G26" s="693"/>
      <c r="H26" s="693"/>
      <c r="I26" s="693"/>
      <c r="J26" s="693"/>
    </row>
    <row r="27" spans="1:12" customHeight="1" ht="27">
      <c r="A27" s="682" t="s">
        <v>600</v>
      </c>
      <c r="B27" s="682"/>
      <c r="C27" s="682"/>
      <c r="E27" s="693"/>
      <c r="F27" s="693"/>
      <c r="G27" s="693"/>
      <c r="H27" s="693"/>
      <c r="I27" s="693"/>
      <c r="J27" s="693"/>
    </row>
    <row r="28" spans="1:12">
      <c r="A28" s="682" t="s">
        <v>601</v>
      </c>
      <c r="B28" s="682"/>
      <c r="C28" s="682"/>
      <c r="E28" s="176"/>
      <c r="F28" s="176"/>
      <c r="G28" s="176"/>
      <c r="H28" s="176"/>
      <c r="I28" s="176"/>
      <c r="J28" s="176"/>
    </row>
    <row r="29" spans="1:12">
      <c r="A29" s="682" t="s">
        <v>602</v>
      </c>
      <c r="B29" s="682"/>
      <c r="C29" s="682"/>
      <c r="E29" s="692" t="s">
        <v>603</v>
      </c>
      <c r="F29" s="692"/>
      <c r="G29" s="177"/>
      <c r="H29" s="177"/>
      <c r="I29" s="177"/>
      <c r="J29" s="177"/>
    </row>
    <row r="30" spans="1:12">
      <c r="A30" s="173"/>
      <c r="E30" s="693"/>
      <c r="F30" s="693"/>
      <c r="G30" s="693"/>
      <c r="H30" s="693"/>
      <c r="I30" s="693"/>
      <c r="J30" s="693"/>
    </row>
    <row r="31" spans="1:12">
      <c r="A31" s="681" t="s">
        <v>604</v>
      </c>
      <c r="B31" s="681"/>
      <c r="C31" s="681"/>
      <c r="E31" s="693"/>
      <c r="F31" s="693"/>
      <c r="G31" s="693"/>
      <c r="H31" s="693"/>
      <c r="I31" s="693"/>
      <c r="J31" s="693"/>
    </row>
    <row r="32" spans="1:12">
      <c r="A32" s="682" t="s">
        <v>605</v>
      </c>
      <c r="B32" s="682"/>
      <c r="C32" s="682"/>
      <c r="E32" s="693"/>
      <c r="F32" s="693"/>
      <c r="G32" s="693"/>
      <c r="H32" s="693"/>
      <c r="I32" s="693"/>
      <c r="J32" s="693"/>
    </row>
    <row r="33" spans="1:12">
      <c r="A33" s="682" t="s">
        <v>606</v>
      </c>
      <c r="B33" s="682"/>
      <c r="C33" s="682"/>
      <c r="E33" s="178"/>
      <c r="F33" s="178"/>
      <c r="G33" s="178"/>
      <c r="H33" s="178"/>
      <c r="I33" s="178"/>
      <c r="J33" s="178"/>
    </row>
    <row r="34" spans="1:12">
      <c r="A34" s="682" t="s">
        <v>607</v>
      </c>
      <c r="B34" s="682"/>
      <c r="C34" s="682"/>
      <c r="E34" s="692" t="s">
        <v>608</v>
      </c>
      <c r="F34" s="692"/>
      <c r="G34" s="177"/>
      <c r="H34" s="177"/>
      <c r="I34" s="177"/>
      <c r="J34" s="177"/>
    </row>
    <row r="35" spans="1:12">
      <c r="A35" s="682" t="s">
        <v>609</v>
      </c>
      <c r="B35" s="682"/>
      <c r="C35" s="682"/>
      <c r="E35" s="693"/>
      <c r="F35" s="693"/>
      <c r="G35" s="693"/>
      <c r="H35" s="693"/>
      <c r="I35" s="693"/>
      <c r="J35" s="693"/>
    </row>
    <row r="36" spans="1:12">
      <c r="A36" s="173"/>
      <c r="E36" s="693"/>
      <c r="F36" s="693"/>
      <c r="G36" s="693"/>
      <c r="H36" s="693"/>
      <c r="I36" s="693"/>
      <c r="J36" s="693"/>
    </row>
    <row r="37" spans="1:12">
      <c r="A37" s="681" t="s">
        <v>610</v>
      </c>
      <c r="B37" s="681"/>
      <c r="C37" s="681"/>
      <c r="E37" s="693"/>
      <c r="F37" s="693"/>
      <c r="G37" s="693"/>
      <c r="H37" s="693"/>
      <c r="I37" s="693"/>
      <c r="J37" s="693"/>
    </row>
    <row r="38" spans="1:12" customHeight="1" ht="30.75">
      <c r="A38" s="682" t="s">
        <v>611</v>
      </c>
      <c r="B38" s="682"/>
      <c r="C38" s="682"/>
      <c r="E38" s="177"/>
      <c r="F38" s="177"/>
      <c r="G38" s="177"/>
      <c r="H38" s="177"/>
      <c r="I38" s="177"/>
      <c r="J38" s="177"/>
    </row>
    <row r="39" spans="1:12">
      <c r="A39" s="682" t="s">
        <v>612</v>
      </c>
      <c r="B39" s="682"/>
      <c r="C39" s="682"/>
      <c r="E39" s="692" t="s">
        <v>613</v>
      </c>
      <c r="F39" s="692"/>
      <c r="G39" s="177"/>
      <c r="H39" s="177"/>
      <c r="I39" s="177"/>
      <c r="J39" s="177"/>
    </row>
    <row r="40" spans="1:12">
      <c r="A40" s="682" t="s">
        <v>614</v>
      </c>
      <c r="B40" s="682"/>
      <c r="C40" s="682"/>
      <c r="E40" s="693"/>
      <c r="F40" s="693"/>
      <c r="G40" s="693"/>
      <c r="H40" s="693"/>
      <c r="I40" s="693"/>
      <c r="J40" s="693"/>
    </row>
    <row r="41" spans="1:12">
      <c r="A41" s="682" t="s">
        <v>615</v>
      </c>
      <c r="B41" s="682"/>
      <c r="C41" s="682"/>
      <c r="E41" s="693"/>
      <c r="F41" s="693"/>
      <c r="G41" s="693"/>
      <c r="H41" s="693"/>
      <c r="I41" s="693"/>
      <c r="J41" s="693"/>
    </row>
    <row r="42" spans="1:12">
      <c r="A42" s="682" t="s">
        <v>616</v>
      </c>
      <c r="B42" s="682"/>
      <c r="C42" s="682"/>
      <c r="E42" s="693"/>
      <c r="F42" s="693"/>
      <c r="G42" s="693"/>
      <c r="H42" s="693"/>
      <c r="I42" s="693"/>
      <c r="J42" s="693"/>
    </row>
    <row r="43" spans="1:12" customHeight="1" ht="25.5">
      <c r="A43" s="682" t="s">
        <v>617</v>
      </c>
      <c r="B43" s="682"/>
      <c r="C43" s="682"/>
      <c r="E43" s="177"/>
      <c r="F43" s="177"/>
      <c r="G43" s="177"/>
      <c r="H43" s="177"/>
      <c r="I43" s="177"/>
      <c r="J43" s="177"/>
    </row>
    <row r="44" spans="1:12">
      <c r="A44" s="682" t="s">
        <v>618</v>
      </c>
      <c r="B44" s="682"/>
      <c r="C44" s="682"/>
      <c r="E44" s="692" t="s">
        <v>619</v>
      </c>
      <c r="F44" s="692"/>
      <c r="G44" s="177"/>
      <c r="H44" s="177"/>
      <c r="I44" s="177"/>
      <c r="J44" s="177"/>
    </row>
    <row r="45" spans="1:12">
      <c r="E45" s="693"/>
      <c r="F45" s="693"/>
      <c r="G45" s="693"/>
      <c r="H45" s="693"/>
      <c r="I45" s="693"/>
      <c r="J45" s="693"/>
    </row>
    <row r="46" spans="1:12">
      <c r="A46" s="681" t="s">
        <v>620</v>
      </c>
      <c r="B46" s="681"/>
      <c r="C46" s="681"/>
      <c r="E46" s="693"/>
      <c r="F46" s="693"/>
      <c r="G46" s="693"/>
      <c r="H46" s="693"/>
      <c r="I46" s="693"/>
      <c r="J46" s="693"/>
    </row>
    <row r="47" spans="1:12">
      <c r="A47" s="682" t="s">
        <v>621</v>
      </c>
      <c r="B47" s="682"/>
      <c r="C47" s="682"/>
      <c r="E47" s="693"/>
      <c r="F47" s="693"/>
      <c r="G47" s="693"/>
      <c r="H47" s="693"/>
      <c r="I47" s="693"/>
      <c r="J47" s="693"/>
    </row>
    <row r="48" spans="1:12">
      <c r="A48" s="682" t="s">
        <v>622</v>
      </c>
      <c r="B48" s="682"/>
      <c r="C48" s="682"/>
      <c r="E48" s="177"/>
      <c r="F48" s="177"/>
      <c r="G48" s="177"/>
      <c r="H48" s="177"/>
      <c r="I48" s="177"/>
      <c r="J48" s="177"/>
    </row>
    <row r="49" spans="1:12">
      <c r="A49" s="173"/>
      <c r="E49" s="179"/>
      <c r="F49" s="179"/>
      <c r="G49" s="179"/>
      <c r="H49" s="179"/>
      <c r="I49" s="179"/>
      <c r="J49" s="179"/>
    </row>
    <row r="50" spans="1:12">
      <c r="A50" s="681" t="s">
        <v>623</v>
      </c>
      <c r="B50" s="681"/>
      <c r="C50" s="681"/>
      <c r="E50" s="180"/>
      <c r="F50" s="180"/>
      <c r="G50" s="180"/>
      <c r="H50" s="180"/>
      <c r="I50" s="180"/>
      <c r="J50" s="180"/>
    </row>
    <row r="51" spans="1:12">
      <c r="A51" s="683" t="s">
        <v>624</v>
      </c>
      <c r="B51" s="683"/>
      <c r="C51" s="683"/>
      <c r="E51" s="180"/>
      <c r="F51" s="180"/>
      <c r="G51" s="180"/>
      <c r="H51" s="180"/>
      <c r="I51" s="180"/>
      <c r="J51" s="180"/>
    </row>
    <row r="52" spans="1:12" customHeight="1" ht="25.5">
      <c r="A52" s="683" t="s">
        <v>625</v>
      </c>
      <c r="B52" s="683"/>
      <c r="C52" s="683"/>
      <c r="E52" s="180"/>
      <c r="F52" s="180"/>
      <c r="G52" s="180"/>
      <c r="H52" s="180"/>
      <c r="I52" s="180"/>
      <c r="J52" s="180"/>
    </row>
    <row r="53" spans="1:12">
      <c r="A53" s="683" t="s">
        <v>626</v>
      </c>
      <c r="B53" s="683"/>
      <c r="C53" s="683"/>
      <c r="E53" s="180"/>
      <c r="F53" s="180"/>
      <c r="G53" s="180"/>
      <c r="H53" s="180"/>
      <c r="I53" s="180"/>
      <c r="J53" s="180"/>
    </row>
    <row r="54" spans="1:12">
      <c r="A54" s="683" t="s">
        <v>627</v>
      </c>
      <c r="B54" s="683"/>
      <c r="C54" s="683"/>
      <c r="E54" s="179"/>
      <c r="F54" s="179"/>
      <c r="G54" s="179"/>
      <c r="H54" s="179"/>
      <c r="I54" s="179"/>
      <c r="J54" s="179"/>
    </row>
    <row r="55" spans="1:12">
      <c r="A55" s="683" t="s">
        <v>628</v>
      </c>
      <c r="B55" s="683"/>
      <c r="C55" s="683"/>
      <c r="E55" s="180"/>
      <c r="F55" s="180"/>
      <c r="G55" s="180"/>
      <c r="H55" s="180"/>
      <c r="I55" s="180"/>
      <c r="J55" s="180"/>
    </row>
    <row r="56" spans="1:12">
      <c r="A56" s="683" t="s">
        <v>629</v>
      </c>
      <c r="B56" s="683"/>
      <c r="C56" s="683"/>
      <c r="E56" s="180"/>
      <c r="F56" s="180"/>
      <c r="G56" s="180"/>
      <c r="H56" s="180"/>
      <c r="I56" s="180"/>
      <c r="J56" s="180"/>
    </row>
    <row r="57" spans="1:12">
      <c r="A57" s="683" t="s">
        <v>630</v>
      </c>
      <c r="B57" s="683"/>
      <c r="C57" s="683"/>
      <c r="E57" s="180"/>
      <c r="F57" s="180"/>
      <c r="G57" s="180"/>
      <c r="H57" s="180"/>
      <c r="I57" s="180"/>
      <c r="J57" s="180"/>
    </row>
    <row r="58" spans="1:12">
      <c r="A58" s="683" t="s">
        <v>631</v>
      </c>
      <c r="B58" s="683"/>
      <c r="C58" s="683"/>
      <c r="E58" s="180"/>
      <c r="F58" s="180"/>
      <c r="G58" s="180"/>
      <c r="H58" s="180"/>
      <c r="I58" s="180"/>
      <c r="J58" s="180"/>
    </row>
    <row r="59" spans="1:12">
      <c r="A59" s="173"/>
      <c r="E59" s="179"/>
      <c r="F59" s="179"/>
      <c r="G59" s="179"/>
      <c r="H59" s="179"/>
      <c r="I59" s="179"/>
      <c r="J59" s="179"/>
    </row>
    <row r="60" spans="1:12">
      <c r="A60" s="681" t="s">
        <v>632</v>
      </c>
      <c r="B60" s="681"/>
      <c r="C60" s="681"/>
      <c r="E60" s="180"/>
      <c r="F60" s="180"/>
      <c r="G60" s="180"/>
      <c r="H60" s="180"/>
      <c r="I60" s="180"/>
      <c r="J60" s="180"/>
    </row>
    <row r="61" spans="1:12" customHeight="1" ht="23.25">
      <c r="A61" s="682" t="s">
        <v>633</v>
      </c>
      <c r="B61" s="682"/>
      <c r="C61" s="682"/>
      <c r="E61" s="180"/>
      <c r="F61" s="180"/>
      <c r="G61" s="180"/>
      <c r="H61" s="180"/>
      <c r="I61" s="180"/>
      <c r="J61" s="180"/>
    </row>
    <row r="62" spans="1:12">
      <c r="A62" s="173"/>
      <c r="E62" s="180"/>
      <c r="F62" s="180"/>
      <c r="G62" s="180"/>
      <c r="H62" s="180"/>
      <c r="I62" s="180"/>
      <c r="J62" s="180"/>
    </row>
    <row r="63" spans="1:12">
      <c r="A63" s="681" t="s">
        <v>634</v>
      </c>
      <c r="B63" s="681"/>
      <c r="C63" s="681"/>
      <c r="E63" s="180"/>
      <c r="F63" s="180"/>
      <c r="G63" s="180"/>
      <c r="H63" s="180"/>
      <c r="I63" s="180"/>
      <c r="J63" s="180"/>
    </row>
    <row r="64" spans="1:12">
      <c r="A64" s="682" t="s">
        <v>635</v>
      </c>
      <c r="B64" s="682"/>
      <c r="C64" s="682"/>
      <c r="E64" s="179"/>
      <c r="F64" s="179"/>
      <c r="G64" s="179"/>
      <c r="H64" s="179"/>
      <c r="I64" s="179"/>
      <c r="J64" s="179"/>
    </row>
    <row r="65" spans="1:12">
      <c r="A65" s="683" t="s">
        <v>636</v>
      </c>
      <c r="B65" s="683"/>
      <c r="C65" s="683"/>
      <c r="E65" s="180"/>
      <c r="F65" s="180"/>
      <c r="G65" s="180"/>
      <c r="H65" s="180"/>
      <c r="I65" s="180"/>
      <c r="J65" s="180"/>
    </row>
    <row r="66" spans="1:12">
      <c r="A66" s="173"/>
      <c r="E66" s="180"/>
      <c r="F66" s="180"/>
      <c r="G66" s="180"/>
      <c r="H66" s="180"/>
      <c r="I66" s="180"/>
      <c r="J66" s="180"/>
    </row>
    <row r="67" spans="1:12">
      <c r="A67" s="681" t="s">
        <v>637</v>
      </c>
      <c r="B67" s="681"/>
      <c r="C67" s="681"/>
      <c r="E67" s="180"/>
      <c r="F67" s="180"/>
      <c r="G67" s="180"/>
      <c r="H67" s="180"/>
      <c r="I67" s="180"/>
      <c r="J67" s="180"/>
    </row>
    <row r="68" spans="1:12" customHeight="1" ht="15.75">
      <c r="A68" s="682" t="s">
        <v>638</v>
      </c>
      <c r="B68" s="682"/>
      <c r="C68" s="682"/>
      <c r="E68" s="180"/>
      <c r="F68" s="180"/>
      <c r="G68" s="180"/>
      <c r="H68" s="180"/>
      <c r="I68" s="180"/>
      <c r="J68" s="180"/>
    </row>
    <row r="69" spans="1:12">
      <c r="A69" s="682" t="s">
        <v>639</v>
      </c>
      <c r="B69" s="682"/>
      <c r="C69" s="682"/>
      <c r="E69" s="179"/>
      <c r="F69" s="179"/>
      <c r="G69" s="179"/>
      <c r="H69" s="179"/>
      <c r="I69" s="179"/>
      <c r="J69" s="179"/>
    </row>
    <row r="70" spans="1:12" customHeight="1" ht="26.25">
      <c r="A70" s="682" t="s">
        <v>640</v>
      </c>
      <c r="B70" s="682"/>
      <c r="C70" s="682"/>
      <c r="E70" s="180"/>
      <c r="F70" s="180"/>
      <c r="G70" s="180"/>
      <c r="H70" s="180"/>
      <c r="I70" s="180"/>
      <c r="J70" s="180"/>
    </row>
    <row r="71" spans="1:12">
      <c r="A71" s="682" t="s">
        <v>641</v>
      </c>
      <c r="B71" s="682"/>
      <c r="C71" s="682"/>
      <c r="E71" s="180"/>
      <c r="F71" s="180"/>
      <c r="G71" s="180"/>
      <c r="H71" s="180"/>
      <c r="I71" s="180"/>
      <c r="J71" s="180"/>
    </row>
    <row r="72" spans="1:12">
      <c r="A72" s="682" t="s">
        <v>642</v>
      </c>
      <c r="B72" s="682"/>
      <c r="C72" s="682"/>
      <c r="E72" s="180"/>
      <c r="F72" s="180"/>
      <c r="G72" s="180"/>
      <c r="H72" s="180"/>
      <c r="I72" s="180"/>
      <c r="J72" s="180"/>
    </row>
    <row r="73" spans="1:12">
      <c r="A73" s="173"/>
      <c r="E73" s="180"/>
      <c r="F73" s="180"/>
      <c r="G73" s="180"/>
      <c r="H73" s="180"/>
      <c r="I73" s="180"/>
      <c r="J73" s="180"/>
    </row>
    <row r="74" spans="1:12">
      <c r="A74" s="681" t="s">
        <v>643</v>
      </c>
      <c r="B74" s="681"/>
      <c r="C74" s="681"/>
      <c r="E74" s="179"/>
      <c r="F74" s="179"/>
      <c r="G74" s="179"/>
      <c r="H74" s="179"/>
      <c r="I74" s="179"/>
      <c r="J74" s="179"/>
    </row>
    <row r="75" spans="1:12">
      <c r="A75" s="694" t="s">
        <v>644</v>
      </c>
      <c r="B75" s="694"/>
      <c r="C75" s="694"/>
      <c r="E75" s="180"/>
      <c r="F75" s="180"/>
      <c r="G75" s="180"/>
      <c r="H75" s="180"/>
      <c r="I75" s="180"/>
      <c r="J75" s="180"/>
    </row>
    <row r="76" spans="1:12">
      <c r="A76" s="173"/>
      <c r="E76" s="180"/>
      <c r="F76" s="180"/>
      <c r="G76" s="180"/>
      <c r="H76" s="180"/>
      <c r="I76" s="180"/>
      <c r="J76" s="180"/>
    </row>
    <row r="77" spans="1:12">
      <c r="A77" s="681" t="s">
        <v>645</v>
      </c>
      <c r="B77" s="681"/>
      <c r="C77" s="681"/>
      <c r="E77" s="180"/>
      <c r="F77" s="180"/>
      <c r="G77" s="180"/>
      <c r="H77" s="180"/>
      <c r="I77" s="180"/>
      <c r="J77" s="180"/>
    </row>
    <row r="78" spans="1:12">
      <c r="A78" s="694" t="s">
        <v>646</v>
      </c>
      <c r="B78" s="694"/>
      <c r="C78" s="694"/>
      <c r="E78" s="180"/>
      <c r="F78" s="180"/>
      <c r="G78" s="180"/>
      <c r="H78" s="180"/>
      <c r="I78" s="180"/>
      <c r="J78" s="180"/>
    </row>
    <row r="79" spans="1:12" customHeight="1" ht="29.25">
      <c r="A79" s="682" t="s">
        <v>647</v>
      </c>
      <c r="B79" s="682"/>
      <c r="C79" s="682"/>
      <c r="E79" s="179"/>
      <c r="F79" s="179"/>
      <c r="G79" s="179"/>
      <c r="H79" s="179"/>
      <c r="I79" s="179"/>
      <c r="J79" s="179"/>
    </row>
    <row r="80" spans="1:12">
      <c r="A80" s="683" t="s">
        <v>648</v>
      </c>
      <c r="B80" s="683"/>
      <c r="C80" s="683"/>
      <c r="E80" s="180"/>
      <c r="F80" s="180"/>
      <c r="G80" s="180"/>
      <c r="H80" s="180"/>
      <c r="I80" s="180"/>
      <c r="J80" s="180"/>
    </row>
    <row r="81" spans="1:12">
      <c r="A81" s="173"/>
      <c r="E81" s="180"/>
      <c r="F81" s="180"/>
      <c r="G81" s="180"/>
      <c r="H81" s="180"/>
      <c r="I81" s="180"/>
      <c r="J81" s="180"/>
    </row>
    <row r="82" spans="1:12">
      <c r="A82" s="695" t="s">
        <v>649</v>
      </c>
      <c r="B82" s="695"/>
      <c r="C82" s="695"/>
      <c r="E82" s="180"/>
      <c r="F82" s="180"/>
      <c r="G82" s="180"/>
      <c r="H82" s="180"/>
      <c r="I82" s="180"/>
      <c r="J82" s="180"/>
    </row>
    <row r="83" spans="1:12">
      <c r="A83" s="683" t="s">
        <v>650</v>
      </c>
      <c r="B83" s="683"/>
      <c r="C83" s="683"/>
      <c r="E83" s="180"/>
      <c r="F83" s="180"/>
      <c r="G83" s="180"/>
      <c r="H83" s="180"/>
      <c r="I83" s="180"/>
      <c r="J83" s="180"/>
    </row>
    <row r="84" spans="1:12">
      <c r="A84" s="173"/>
      <c r="E84" s="179"/>
      <c r="F84" s="179"/>
      <c r="G84" s="179"/>
      <c r="H84" s="179"/>
      <c r="I84" s="179"/>
      <c r="J84" s="179"/>
    </row>
    <row r="85" spans="1:12">
      <c r="A85" s="695" t="s">
        <v>651</v>
      </c>
      <c r="B85" s="695"/>
      <c r="C85" s="695"/>
      <c r="E85" s="180"/>
      <c r="F85" s="180"/>
      <c r="G85" s="180"/>
      <c r="H85" s="180"/>
      <c r="I85" s="180"/>
      <c r="J85" s="180"/>
    </row>
    <row r="86" spans="1:12">
      <c r="A86" s="181" t="s">
        <v>652</v>
      </c>
      <c r="E86" s="180"/>
      <c r="F86" s="180"/>
      <c r="G86" s="180"/>
      <c r="H86" s="180"/>
      <c r="I86" s="180"/>
      <c r="J86" s="180"/>
    </row>
    <row r="87" spans="1:12">
      <c r="A87" s="173"/>
      <c r="E87" s="180"/>
      <c r="F87" s="180"/>
      <c r="G87" s="180"/>
      <c r="H87" s="180"/>
      <c r="I87" s="180"/>
      <c r="J87" s="180"/>
    </row>
    <row r="88" spans="1:12">
      <c r="A88" s="681" t="s">
        <v>653</v>
      </c>
      <c r="B88" s="681"/>
      <c r="C88" s="681"/>
      <c r="E88" s="180"/>
      <c r="F88" s="180"/>
      <c r="G88" s="180"/>
      <c r="H88" s="180"/>
      <c r="I88" s="180"/>
      <c r="J88" s="180"/>
    </row>
    <row r="89" spans="1:12">
      <c r="A89" s="173" t="s">
        <v>654</v>
      </c>
      <c r="E89" s="179"/>
      <c r="F89" s="179"/>
      <c r="G89" s="179"/>
      <c r="H89" s="179"/>
      <c r="I89" s="179"/>
      <c r="J89" s="179"/>
    </row>
    <row r="90" spans="1:12">
      <c r="A90" s="173" t="s">
        <v>655</v>
      </c>
      <c r="E90" s="180"/>
      <c r="F90" s="180"/>
      <c r="G90" s="180"/>
      <c r="H90" s="180"/>
      <c r="I90" s="180"/>
      <c r="J90" s="180"/>
    </row>
    <row r="91" spans="1:12">
      <c r="A91" s="173" t="s">
        <v>656</v>
      </c>
      <c r="E91" s="180"/>
      <c r="F91" s="180"/>
      <c r="G91" s="180"/>
      <c r="H91" s="180"/>
      <c r="I91" s="180"/>
      <c r="J91" s="180"/>
    </row>
    <row r="92" spans="1:12">
      <c r="A92" s="173" t="s">
        <v>657</v>
      </c>
      <c r="E92" s="180"/>
      <c r="F92" s="180"/>
      <c r="G92" s="180"/>
      <c r="H92" s="180"/>
      <c r="I92" s="180"/>
      <c r="J92" s="180"/>
    </row>
    <row r="93" spans="1:12">
      <c r="E93" s="180"/>
      <c r="F93" s="180"/>
      <c r="G93" s="180"/>
      <c r="H93" s="180"/>
      <c r="I93" s="180"/>
      <c r="J93" s="180"/>
    </row>
    <row r="94" spans="1:12">
      <c r="E94" s="179"/>
      <c r="F94" s="179"/>
      <c r="G94" s="179"/>
      <c r="H94" s="179"/>
      <c r="I94" s="179"/>
      <c r="J94" s="179"/>
    </row>
    <row r="95" spans="1:12">
      <c r="E95" s="180"/>
      <c r="F95" s="180"/>
      <c r="G95" s="180"/>
      <c r="H95" s="180"/>
      <c r="I95" s="180"/>
      <c r="J95" s="180"/>
    </row>
    <row r="96" spans="1:12">
      <c r="E96" s="180"/>
      <c r="F96" s="180"/>
      <c r="G96" s="180"/>
      <c r="H96" s="180"/>
      <c r="I96" s="180"/>
      <c r="J96" s="180"/>
    </row>
    <row r="97" spans="1:12">
      <c r="E97" s="180"/>
      <c r="F97" s="180"/>
      <c r="G97" s="180"/>
      <c r="H97" s="180"/>
      <c r="I97" s="180"/>
      <c r="J97" s="180"/>
    </row>
    <row r="98" spans="1:12">
      <c r="E98" s="180"/>
      <c r="F98" s="180"/>
      <c r="G98" s="180"/>
      <c r="H98" s="180"/>
      <c r="I98" s="180"/>
      <c r="J98" s="180"/>
    </row>
    <row r="99" spans="1:12">
      <c r="E99" s="180"/>
      <c r="F99" s="180"/>
      <c r="G99" s="180"/>
      <c r="H99" s="180"/>
      <c r="I99" s="180"/>
      <c r="J99" s="180"/>
    </row>
    <row r="100" spans="1:12">
      <c r="E100" s="179"/>
      <c r="F100" s="179"/>
      <c r="G100" s="179"/>
      <c r="H100" s="179"/>
      <c r="I100" s="179"/>
      <c r="J100" s="179"/>
    </row>
    <row r="101" spans="1:12">
      <c r="E101" s="180"/>
      <c r="F101" s="180"/>
      <c r="G101" s="180"/>
      <c r="H101" s="180"/>
      <c r="I101" s="180"/>
      <c r="J101" s="180"/>
    </row>
    <row r="102" spans="1:12">
      <c r="E102" s="180"/>
      <c r="F102" s="180"/>
      <c r="G102" s="180"/>
      <c r="H102" s="180"/>
      <c r="I102" s="180"/>
      <c r="J102" s="180"/>
    </row>
    <row r="103" spans="1:12">
      <c r="E103" s="180"/>
      <c r="F103" s="180"/>
      <c r="G103" s="180"/>
      <c r="H103" s="180"/>
      <c r="I103" s="180"/>
      <c r="J103" s="180"/>
    </row>
    <row r="104" spans="1:12">
      <c r="E104" s="180"/>
      <c r="F104" s="180"/>
      <c r="G104" s="180"/>
      <c r="H104" s="180"/>
      <c r="I104" s="180"/>
      <c r="J104" s="180"/>
    </row>
    <row r="105" spans="1:12">
      <c r="E105" s="180"/>
      <c r="F105" s="180"/>
      <c r="G105" s="180"/>
      <c r="H105" s="180"/>
      <c r="I105" s="180"/>
      <c r="J105" s="180"/>
    </row>
    <row r="106" spans="1:12">
      <c r="E106" s="180"/>
      <c r="F106" s="180"/>
      <c r="G106" s="180"/>
      <c r="H106" s="180"/>
      <c r="I106" s="180"/>
      <c r="J106" s="180"/>
    </row>
    <row r="107" spans="1:12">
      <c r="E107" s="179"/>
      <c r="F107" s="179"/>
      <c r="G107" s="179"/>
      <c r="H107" s="179"/>
      <c r="I107" s="179"/>
      <c r="J107" s="179"/>
    </row>
    <row r="108" spans="1:12">
      <c r="E108" s="180"/>
      <c r="F108" s="180"/>
      <c r="G108" s="180"/>
      <c r="H108" s="180"/>
      <c r="I108" s="180"/>
      <c r="J108" s="180"/>
    </row>
    <row r="109" spans="1:12">
      <c r="E109" s="180"/>
      <c r="F109" s="180"/>
      <c r="G109" s="180"/>
      <c r="H109" s="180"/>
      <c r="I109" s="180"/>
      <c r="J109" s="180"/>
    </row>
    <row r="110" spans="1:12">
      <c r="E110" s="180"/>
      <c r="F110" s="180"/>
      <c r="G110" s="180"/>
      <c r="H110" s="180"/>
      <c r="I110" s="180"/>
      <c r="J110" s="180"/>
    </row>
    <row r="111" spans="1:12">
      <c r="E111" s="180"/>
      <c r="F111" s="180"/>
      <c r="G111" s="180"/>
      <c r="H111" s="180"/>
      <c r="I111" s="180"/>
      <c r="J111" s="180"/>
    </row>
    <row r="112" spans="1:12">
      <c r="E112" s="180"/>
      <c r="F112" s="180"/>
      <c r="G112" s="180"/>
      <c r="H112" s="180"/>
      <c r="I112" s="180"/>
      <c r="J112" s="180"/>
    </row>
    <row r="113" spans="1:12">
      <c r="E113" s="180"/>
      <c r="F113" s="180"/>
      <c r="G113" s="180"/>
      <c r="H113" s="180"/>
      <c r="I113" s="180"/>
      <c r="J113" s="180"/>
    </row>
    <row r="114" spans="1:12">
      <c r="E114" s="179"/>
      <c r="F114" s="179"/>
      <c r="G114" s="179"/>
      <c r="H114" s="179"/>
      <c r="I114" s="179"/>
      <c r="J114" s="179"/>
    </row>
    <row r="115" spans="1:12">
      <c r="E115" s="180"/>
      <c r="F115" s="180"/>
      <c r="G115" s="180"/>
      <c r="H115" s="180"/>
      <c r="I115" s="180"/>
      <c r="J115" s="180"/>
    </row>
    <row r="116" spans="1:12">
      <c r="E116" s="180"/>
      <c r="F116" s="180"/>
      <c r="G116" s="180"/>
      <c r="H116" s="180"/>
      <c r="I116" s="180"/>
      <c r="J116" s="180"/>
    </row>
    <row r="117" spans="1:12">
      <c r="E117" s="180"/>
      <c r="F117" s="180"/>
      <c r="G117" s="180"/>
      <c r="H117" s="180"/>
      <c r="I117" s="180"/>
      <c r="J117" s="180"/>
    </row>
    <row r="118" spans="1:12">
      <c r="E118" s="180"/>
      <c r="F118" s="180"/>
      <c r="G118" s="180"/>
      <c r="H118" s="180"/>
      <c r="I118" s="180"/>
      <c r="J118" s="180"/>
    </row>
    <row r="119" spans="1:12">
      <c r="E119" s="180"/>
      <c r="F119" s="180"/>
      <c r="G119" s="180"/>
      <c r="H119" s="180"/>
      <c r="I119" s="180"/>
      <c r="J119" s="180"/>
    </row>
    <row r="120" spans="1:12">
      <c r="E120" s="180"/>
      <c r="F120" s="180"/>
      <c r="G120" s="180"/>
      <c r="H120" s="180"/>
      <c r="I120" s="180"/>
      <c r="J120" s="180"/>
    </row>
    <row r="121" spans="1:12">
      <c r="E121" s="180"/>
      <c r="F121" s="180"/>
      <c r="G121" s="180"/>
      <c r="H121" s="180"/>
      <c r="I121" s="180"/>
      <c r="J121" s="180"/>
    </row>
    <row r="122" spans="1:12">
      <c r="E122" s="179"/>
      <c r="F122" s="179"/>
      <c r="G122" s="179"/>
      <c r="H122" s="179"/>
      <c r="I122" s="179"/>
      <c r="J122" s="179"/>
    </row>
    <row r="123" spans="1:12">
      <c r="E123" s="180"/>
      <c r="F123" s="180"/>
      <c r="G123" s="180"/>
      <c r="H123" s="180"/>
      <c r="I123" s="180"/>
      <c r="J123" s="180"/>
    </row>
    <row r="124" spans="1:12">
      <c r="E124" s="180"/>
      <c r="F124" s="180"/>
      <c r="G124" s="180"/>
      <c r="H124" s="180"/>
      <c r="I124" s="180"/>
      <c r="J124" s="180"/>
    </row>
    <row r="125" spans="1:12">
      <c r="E125" s="180"/>
      <c r="F125" s="180"/>
      <c r="G125" s="180"/>
      <c r="H125" s="180"/>
      <c r="I125" s="180"/>
      <c r="J125" s="180"/>
    </row>
    <row r="126" spans="1:12">
      <c r="E126" s="180"/>
      <c r="F126" s="180"/>
      <c r="G126" s="180"/>
      <c r="H126" s="180"/>
      <c r="I126" s="180"/>
      <c r="J126" s="180"/>
    </row>
    <row r="127" spans="1:12">
      <c r="E127" s="180"/>
      <c r="F127" s="180"/>
      <c r="G127" s="180"/>
      <c r="H127" s="180"/>
      <c r="I127" s="180"/>
      <c r="J127" s="180"/>
    </row>
    <row r="128" spans="1:12" customHeight="1" ht="35.25">
      <c r="E128" s="182"/>
      <c r="F128" s="182"/>
      <c r="H128" s="183"/>
      <c r="I128" s="183"/>
      <c r="J128" s="183"/>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