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récapitulative'!$A$2:$V$18</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<sst xmlns="http://schemas.openxmlformats.org/spreadsheetml/2006/main" uniqueCount="528">
  <si>
    <t>CARNET DE STAGE</t>
  </si>
  <si>
    <t>ORTHOPEDIE</t>
  </si>
  <si>
    <t>2e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</si>
  <si>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</si>
  <si>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</si>
  <si>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</si>
  <si>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</si>
  <si>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</si>
  <si>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</si>
  <si>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</si>
  <si>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</si>
  <si>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</si>
  <si>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</si>
  <si>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</si>
  <si>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</si>
  <si>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</si>
  <si>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</si>
  <si>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</si>
  <si>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</si>
  <si>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</si>
  <si>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</si>
  <si>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</si>
  <si>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</si>
  <si>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</si>
  <si>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</si>
  <si>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</si>
  <si>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</si>
  <si>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</si>
  <si>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01-10-2018</t>
  </si>
  <si>
    <t xml:space="preserve">  Année de stage</t>
  </si>
  <si>
    <t xml:space="preserve">    2</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</si>
  <si>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</si>
  <si>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</si>
  <si>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</si>
  <si>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</si>
  <si>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</si>
  <si>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prénom2</t>
  </si>
  <si>
    <t>NomO</t>
  </si>
  <si>
    <t xml:space="preserve">  Superviseurs</t>
  </si>
  <si>
    <t xml:space="preserve">  id:     B</t>
  </si>
  <si>
    <t>prénom0</t>
  </si>
  <si>
    <t>NomA</t>
  </si>
  <si>
    <t xml:space="preserve">  id:     C</t>
  </si>
  <si>
    <t>prénom1</t>
  </si>
  <si>
    <t>NomH</t>
  </si>
  <si>
    <t xml:space="preserve">  id:     D</t>
  </si>
  <si>
    <t>prénom3</t>
  </si>
  <si>
    <t>NomV</t>
  </si>
  <si>
    <t>Date</t>
  </si>
  <si>
    <t>Nomenclature</t>
  </si>
  <si>
    <t>Nature des prestations</t>
  </si>
  <si>
    <t>Prestations du Candidat</t>
  </si>
  <si>
    <t>ASSISTANT</t>
  </si>
  <si>
    <t>CODE âiné</t>
  </si>
  <si>
    <t>OPERATEUR</t>
  </si>
  <si>
    <t>1er</t>
  </si>
  <si>
    <t>2ème</t>
  </si>
  <si>
    <t>seul</t>
  </si>
  <si>
    <t>+âiné</t>
  </si>
  <si>
    <t xml:space="preserve">  07-10-2018</t>
  </si>
  <si>
    <t xml:space="preserve">  2001197</t>
  </si>
  <si>
    <t xml:space="preserve">  Acte fictif n° 7</t>
  </si>
  <si>
    <t>A</t>
  </si>
  <si>
    <t xml:space="preserve">  08-10-2018</t>
  </si>
  <si>
    <t xml:space="preserve">  2004590</t>
  </si>
  <si>
    <t xml:space="preserve">  Acte fictif n° 27</t>
  </si>
  <si>
    <t xml:space="preserve">  2003231</t>
  </si>
  <si>
    <t xml:space="preserve">  Acte fictif n° 19</t>
  </si>
  <si>
    <t xml:space="preserve">  19-10-2018</t>
  </si>
  <si>
    <t xml:space="preserve">  21-10-2018</t>
  </si>
  <si>
    <t xml:space="preserve">  29-10-2018</t>
  </si>
  <si>
    <t xml:space="preserve">  2001872</t>
  </si>
  <si>
    <t xml:space="preserve">  Acte fictif n° 11</t>
  </si>
  <si>
    <t xml:space="preserve">  13-12-2018</t>
  </si>
  <si>
    <t xml:space="preserve">  14-12-2018</t>
  </si>
  <si>
    <t xml:space="preserve">  23-12-2018</t>
  </si>
  <si>
    <t xml:space="preserve">  2003915</t>
  </si>
  <si>
    <t xml:space="preserve">  Acte fictif n° 23</t>
  </si>
  <si>
    <t xml:space="preserve">  24-12-2018</t>
  </si>
  <si>
    <t xml:space="preserve">  25-12-2018</t>
  </si>
  <si>
    <t xml:space="preserve">  23-01-2019</t>
  </si>
  <si>
    <t xml:space="preserve">  2005274</t>
  </si>
  <si>
    <t xml:space="preserve">  Acte fictif n° 31</t>
  </si>
  <si>
    <t xml:space="preserve">  24-01-2019</t>
  </si>
  <si>
    <t xml:space="preserve">  28-01-2019</t>
  </si>
  <si>
    <t xml:space="preserve">  10-02-2019</t>
  </si>
  <si>
    <t xml:space="preserve">  2000513</t>
  </si>
  <si>
    <t xml:space="preserve">  Acte fictif n° 3</t>
  </si>
  <si>
    <t xml:space="preserve">  17-02-2019</t>
  </si>
  <si>
    <t xml:space="preserve">  27-02-2019</t>
  </si>
  <si>
    <t xml:space="preserve">  01-03-2019</t>
  </si>
  <si>
    <t xml:space="preserve">  06-03-2019</t>
  </si>
  <si>
    <t xml:space="preserve">  06-04-2019</t>
  </si>
  <si>
    <t xml:space="preserve">  07-04-2019</t>
  </si>
  <si>
    <t xml:space="preserve">  2002556</t>
  </si>
  <si>
    <t xml:space="preserve">  Acte fictif n° 15</t>
  </si>
  <si>
    <t xml:space="preserve">  06-05-2019</t>
  </si>
  <si>
    <t xml:space="preserve">  17-05-2019</t>
  </si>
  <si>
    <t xml:space="preserve">  19-05-2019</t>
  </si>
  <si>
    <t xml:space="preserve">  23-05-2019</t>
  </si>
  <si>
    <t xml:space="preserve">  2006633</t>
  </si>
  <si>
    <t xml:space="preserve">  Acte fictif n° 39</t>
  </si>
  <si>
    <t xml:space="preserve">  29-05-2019</t>
  </si>
  <si>
    <t xml:space="preserve">  12-06-2019</t>
  </si>
  <si>
    <t xml:space="preserve">  20-06-2019</t>
  </si>
  <si>
    <t xml:space="preserve">  2005958</t>
  </si>
  <si>
    <t xml:space="preserve">  Acte fictif n° 35</t>
  </si>
  <si>
    <t xml:space="preserve">  22-06-2019</t>
  </si>
  <si>
    <t xml:space="preserve">  26-06-2019</t>
  </si>
  <si>
    <t xml:space="preserve">  29-06-2019</t>
  </si>
  <si>
    <t xml:space="preserve">  04-07-2019</t>
  </si>
  <si>
    <t xml:space="preserve">  20-08-2019</t>
  </si>
  <si>
    <t xml:space="preserve">  28-08-2019</t>
  </si>
  <si>
    <t xml:space="preserve">  29-08-2019</t>
  </si>
  <si>
    <t xml:space="preserve">  01-09-2019</t>
  </si>
  <si>
    <t xml:space="preserve">  07-09-2019</t>
  </si>
  <si>
    <t xml:space="preserve">  14-09-2019</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</si>
  <si>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</si>
  <si>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</si>
  <si>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</si>
  <si>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</si>
  <si>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</si>
  <si>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</si>
  <si>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</si>
  <si>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</si>
  <si>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</si>
  <si>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</si>
  <si>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prénom2</t>
  </si>
  <si>
    <t>90%</t>
  </si>
  <si>
    <t>10%</t>
  </si>
  <si>
    <t xml:space="preserve"> Collaborateurs</t>
  </si>
  <si>
    <t xml:space="preserve">   Dr   prénom0</t>
  </si>
  <si>
    <t>0%</t>
  </si>
  <si>
    <t xml:space="preserve">   Dr   prénom1</t>
  </si>
  <si>
    <t xml:space="preserve">   Dr   prénom3</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</si>
  <si>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</si>
  <si>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</si>
  <si>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</si>
  <si>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</si>
  <si>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</si>
  <si>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</si>
  <si>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</si>
  <si>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</si>
  <si>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</si>
  <si>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</si>
  <si>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</si>
  <si>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</si>
  <si>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</si>
  <si>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</si>
  <si>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</si>
  <si>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</si>
  <si>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</si>
  <si>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</si>
  <si>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</si>
  <si>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</si>
  <si>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</si>
  <si>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</si>
  <si>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</si>
  <si>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 xml:space="preserve">  2000000</t>
  </si>
  <si>
    <t xml:space="preserve">  Acte fictif n° 0</t>
  </si>
  <si>
    <t>Sous total</t>
  </si>
  <si>
    <t>HUMERUS</t>
  </si>
  <si>
    <t>11.11%</t>
  </si>
  <si>
    <t>COUDE</t>
  </si>
  <si>
    <t>AVANT-BRAS</t>
  </si>
  <si>
    <t>25%</t>
  </si>
  <si>
    <t xml:space="preserve">  2005616</t>
  </si>
  <si>
    <t xml:space="preserve">  Acte fictif n° 33</t>
  </si>
  <si>
    <t>POIGNET-MAIN</t>
  </si>
  <si>
    <t xml:space="preserve">  2000684</t>
  </si>
  <si>
    <t xml:space="preserve">  Acte fictif n° 4</t>
  </si>
  <si>
    <t>RACHIS</t>
  </si>
  <si>
    <t xml:space="preserve">  2003402</t>
  </si>
  <si>
    <t xml:space="preserve">  Acte fictif n° 20</t>
  </si>
  <si>
    <t>66.67%</t>
  </si>
  <si>
    <t xml:space="preserve">  2000855</t>
  </si>
  <si>
    <t xml:space="preserve">  Acte fictif n° 5</t>
  </si>
  <si>
    <t>BASSIN</t>
  </si>
  <si>
    <t xml:space="preserve">  2003573</t>
  </si>
  <si>
    <t xml:space="preserve">  Acte fictif n° 21</t>
  </si>
  <si>
    <t>100%</t>
  </si>
  <si>
    <t>HANCHE</t>
  </si>
  <si>
    <t xml:space="preserve">  2006291</t>
  </si>
  <si>
    <t xml:space="preserve">  Acte fictif n° 37</t>
  </si>
  <si>
    <t>FEMUR PROXIMAL</t>
  </si>
  <si>
    <t>14.29%</t>
  </si>
  <si>
    <t>FEMUR DIAPHYSE</t>
  </si>
  <si>
    <t xml:space="preserve">  2004086</t>
  </si>
  <si>
    <t xml:space="preserve">  Acte fictif n° 24</t>
  </si>
  <si>
    <t>50%</t>
  </si>
  <si>
    <t>FEMUR DISTAL</t>
  </si>
  <si>
    <t>GENOU</t>
  </si>
  <si>
    <t>JAMBE</t>
  </si>
  <si>
    <t xml:space="preserve">  2002043</t>
  </si>
  <si>
    <t xml:space="preserve">  Acte fictif n° 12</t>
  </si>
  <si>
    <t>CHEVILLE</t>
  </si>
  <si>
    <t>PIED</t>
  </si>
  <si>
    <t>TOTAL GENERAL</t>
  </si>
  <si>
    <t>TRAUMATOLOGIE</t>
  </si>
  <si>
    <t xml:space="preserve">  2002727</t>
  </si>
  <si>
    <t xml:space="preserve">  Acte fictif n° 16</t>
  </si>
  <si>
    <t xml:space="preserve">  2002898</t>
  </si>
  <si>
    <t xml:space="preserve">  Acte fictif n° 17</t>
  </si>
  <si>
    <t>12.5%</t>
  </si>
  <si>
    <t xml:space="preserve">  2004257</t>
  </si>
  <si>
    <t xml:space="preserve">  Acte fictif n° 25</t>
  </si>
  <si>
    <t>CHIRURGIE GENERALE</t>
  </si>
  <si>
    <t>TYPE DE CHIRURGIE</t>
  </si>
  <si>
    <t>DIGESTIVE</t>
  </si>
  <si>
    <t xml:space="preserve">  2001368</t>
  </si>
  <si>
    <t xml:space="preserve">  Acte fictif n° 8</t>
  </si>
  <si>
    <t>GENERAL</t>
  </si>
  <si>
    <t xml:space="preserve">  2001530</t>
  </si>
  <si>
    <t xml:space="preserve">  Acte fictif n° 9</t>
  </si>
  <si>
    <t>UROLOGIE</t>
  </si>
  <si>
    <t>VASCULAIRE</t>
  </si>
  <si>
    <t xml:space="preserve">  2004761</t>
  </si>
  <si>
    <t xml:space="preserve">  Acte fictif n° 28</t>
  </si>
  <si>
    <t>THORACIQUE</t>
  </si>
  <si>
    <t xml:space="preserve">  2004932</t>
  </si>
  <si>
    <t xml:space="preserve">  Acte fictif n° 29</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</si>
  <si>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</si>
  <si>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</si>
  <si>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</si>
  <si>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</si>
  <si>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</si>
  <si>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</si>
  <si>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</si>
  <si>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</si>
  <si>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2</t>
  </si>
  <si>
    <t>DATE</t>
  </si>
  <si>
    <t xml:space="preserve">  Type de consultation</t>
  </si>
  <si>
    <t xml:space="preserve">  OCTOBRE</t>
  </si>
  <si>
    <t>03-10-18</t>
  </si>
  <si>
    <t xml:space="preserve">  Orthopédie</t>
  </si>
  <si>
    <t xml:space="preserve">  Nb de patient</t>
  </si>
  <si>
    <t xml:space="preserve">  Traumatologie</t>
  </si>
  <si>
    <t xml:space="preserve">  NOVEMBRE</t>
  </si>
  <si>
    <t>01-11-18</t>
  </si>
  <si>
    <t>03-11-18</t>
  </si>
  <si>
    <t>05-11-18</t>
  </si>
  <si>
    <t>07-11-18</t>
  </si>
  <si>
    <t>09-11-18</t>
  </si>
  <si>
    <t>11-11-18</t>
  </si>
  <si>
    <t>13-11-18</t>
  </si>
  <si>
    <t>15-11-18</t>
  </si>
  <si>
    <t>25-11-18</t>
  </si>
  <si>
    <t xml:space="preserve">  Digestive</t>
  </si>
  <si>
    <t xml:space="preserve">  Urologie</t>
  </si>
  <si>
    <t xml:space="preserve">  DECEMBRE</t>
  </si>
  <si>
    <t xml:space="preserve">  Vasculaire</t>
  </si>
  <si>
    <t xml:space="preserve">  Plastique</t>
  </si>
  <si>
    <t xml:space="preserve">  JANVIER</t>
  </si>
  <si>
    <t xml:space="preserve">  FEVRIER</t>
  </si>
  <si>
    <t xml:space="preserve">  MARS</t>
  </si>
  <si>
    <t xml:space="preserve">  AVRIL</t>
  </si>
  <si>
    <t>22-04-19</t>
  </si>
  <si>
    <t xml:space="preserve">  MAI</t>
  </si>
  <si>
    <t xml:space="preserve">  JUIN</t>
  </si>
  <si>
    <t xml:space="preserve">  JUILLET</t>
  </si>
  <si>
    <t>25-07-19</t>
  </si>
  <si>
    <t xml:space="preserve">  AOUT</t>
  </si>
  <si>
    <t>02-08-19</t>
  </si>
  <si>
    <t>07-08-19</t>
  </si>
  <si>
    <t>16-08-19</t>
  </si>
  <si>
    <t xml:space="preserve">  SEPTEMBRE</t>
  </si>
  <si>
    <t>08-09-19</t>
  </si>
  <si>
    <t>22-09-19</t>
  </si>
  <si>
    <t>06-09-19</t>
  </si>
  <si>
    <t xml:space="preserve">  105</t>
  </si>
  <si>
    <t xml:space="preserve">  44</t>
  </si>
  <si>
    <t xml:space="preserve">  112</t>
  </si>
  <si>
    <t xml:space="preserve">  46</t>
  </si>
  <si>
    <t xml:space="preserve">  32</t>
  </si>
  <si>
    <t xml:space="preserve">  14</t>
  </si>
  <si>
    <t xml:space="preserve">  LISTE RECAPITULATIVE DES GARDES</t>
  </si>
  <si>
    <t xml:space="preserve"> Info complémentaire</t>
  </si>
  <si>
    <t>21-10-18</t>
  </si>
  <si>
    <t>Nb total de gardes</t>
  </si>
  <si>
    <t>Nb patients traités</t>
  </si>
  <si>
    <t>30-11-18</t>
  </si>
  <si>
    <t>03-12-18</t>
  </si>
  <si>
    <t>06-12-18</t>
  </si>
  <si>
    <t>09-12-18</t>
  </si>
  <si>
    <t>24-01-19</t>
  </si>
  <si>
    <t>22-05-19</t>
  </si>
  <si>
    <t>05-07-19</t>
  </si>
  <si>
    <t>11-08-19</t>
  </si>
  <si>
    <t>03-08-19</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</si>
  <si>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</si>
  <si>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</si>
  <si>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</si>
  <si>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</si>
  <si>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</si>
  <si>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</si>
  <si>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</si>
  <si>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</si>
  <si>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</si>
  <si>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</si>
  <si>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</si>
  <si>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</si>
  <si>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</si>
  <si>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</si>
  <si>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</si>
  <si>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</si>
  <si>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</si>
  <si>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</si>
  <si>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</si>
  <si>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</si>
  <si>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</si>
  <si>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</si>
  <si>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</si>
  <si>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</si>
  <si>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</si>
  <si>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</si>
  <si>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</si>
  <si>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</si>
  <si>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</si>
  <si>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</si>
  <si>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</si>
  <si>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</si>
  <si>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</si>
  <si>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</si>
  <si>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</si>
  <si>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</si>
  <si>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</si>
  <si>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</si>
  <si>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</si>
  <si>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</si>
  <si>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</si>
  <si>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</si>
  <si>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</si>
  <si>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</si>
  <si>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</si>
  <si>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</si>
  <si>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</si>
  <si>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</si>
  <si>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</si>
  <si>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</si>
  <si>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</si>
  <si>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</si>
  <si>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</si>
  <si>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</si>
  <si>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</si>
  <si>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</si>
  <si>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</si>
  <si>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</si>
  <si>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</si>
  <si>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</si>
  <si>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</si>
  <si>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</si>
  <si>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</si>
  <si>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</si>
  <si>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</si>
  <si>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</si>
  <si>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</si>
  <si>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</si>
  <si>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</si>
  <si>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</si>
  <si>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</si>
  <si>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</si>
  <si>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</si>
  <si>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</si>
  <si>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</si>
  <si>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</si>
  <si>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</si>
  <si>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</si>
  <si>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</si>
  <si>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</si>
  <si>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</si>
  <si>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</si>
  <si>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</si>
  <si>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</si>
  <si>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</si>
  <si>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18-10-2018</t>
  </si>
  <si>
    <t xml:space="preserve">   Autre lieu</t>
  </si>
  <si>
    <t xml:space="preserve">   Formation fictive 1</t>
  </si>
  <si>
    <t xml:space="preserve">   Sujet fictif 1</t>
  </si>
  <si>
    <t>10-03-2019</t>
  </si>
  <si>
    <t xml:space="preserve">   Formation fictive 4</t>
  </si>
  <si>
    <t xml:space="preserve">   Sujet fictif 4</t>
  </si>
  <si>
    <t>04-12-2018</t>
  </si>
  <si>
    <t xml:space="preserve">   Formation fictive 5</t>
  </si>
  <si>
    <t xml:space="preserve">   Sujet fictif 5</t>
  </si>
  <si>
    <t>12-09-2019</t>
  </si>
  <si>
    <t xml:space="preserve">   Formation fictive 7</t>
  </si>
  <si>
    <t xml:space="preserve">   Sujet fictif 7</t>
  </si>
  <si>
    <t>13-09-2019</t>
  </si>
  <si>
    <t>14-09-2019</t>
  </si>
  <si>
    <t>PARTICIPATIONS ACTIVES AUX  COURS, COLLOQUES ET CONGRES</t>
  </si>
  <si>
    <t>31-08-2019</t>
  </si>
  <si>
    <t xml:space="preserve">   CHU Test</t>
  </si>
  <si>
    <t xml:space="preserve">   Formation fictive 0</t>
  </si>
  <si>
    <t xml:space="preserve">   Organisateur:  Sujet fictif 0</t>
  </si>
  <si>
    <t xml:space="preserve">   Formation fictive 2</t>
  </si>
  <si>
    <t xml:space="preserve">   Organisateur:  Sujet fictif 2</t>
  </si>
  <si>
    <t>15-09-2019</t>
  </si>
  <si>
    <t>06-01-2019</t>
  </si>
  <si>
    <t xml:space="preserve">   Formation fictive 3</t>
  </si>
  <si>
    <t xml:space="preserve">   Organisateur:  Sujet fictif 3</t>
  </si>
  <si>
    <t>07-01-2019</t>
  </si>
  <si>
    <t>08-01-2019</t>
  </si>
  <si>
    <t>21-12-2018</t>
  </si>
  <si>
    <t xml:space="preserve">   Formation fictive 6</t>
  </si>
  <si>
    <t xml:space="preserve">   Orateur:  Sujet fictif 6</t>
  </si>
  <si>
    <t>22-12-2018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</si>
  <si>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</si>
  <si>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</si>
  <si>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</si>
  <si>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</si>
  <si>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</si>
  <si>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B</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</si>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</sst>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18"/>
  <sheetViews>
    <sheetView tabSelected="0" workbookViewId="0" showGridLines="true" showRowColHeaders="1" topLeftCell="F36">
      <selection activeCell="C103" sqref="C103"/>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399"/>
      <c r="C41" s="400"/>
      <c r="D41" s="401"/>
      <c r="E41" s="10" t="s">
        <v>42</v>
      </c>
      <c r="F41" t="s">
        <v>43</v>
      </c>
      <c r="G41" s="9" t="s">
        <v>44</v>
      </c>
      <c r="S41"/>
    </row>
    <row r="42" spans="1:19" customHeight="1" ht="15">
      <c r="B42" s="399"/>
      <c r="C42" s="400"/>
      <c r="D42" s="401"/>
      <c r="E42" s="10" t="s">
        <v>45</v>
      </c>
      <c r="F42" t="s">
        <v>46</v>
      </c>
      <c r="G42" s="9" t="s">
        <v>47</v>
      </c>
      <c r="S42"/>
    </row>
    <row r="43" spans="1:19" customHeight="1" ht="15">
      <c r="B43" s="402"/>
      <c r="C43" s="403"/>
      <c r="D43" s="404"/>
      <c r="E43" s="11"/>
      <c r="F43" s="54"/>
      <c r="G43" s="55"/>
      <c r="S43"/>
    </row>
    <row r="44" spans="1:19" customHeight="1" ht="15">
      <c r="A44" s="332"/>
      <c r="B44" s="332"/>
      <c r="C44" s="332"/>
      <c r="D44" s="332"/>
      <c r="E44" s="332"/>
      <c r="F44" s="332"/>
      <c r="G44" s="332"/>
      <c r="H44" s="332"/>
      <c r="I44" s="332"/>
      <c r="J44" s="332"/>
      <c r="K44" s="332"/>
      <c r="L44" s="332"/>
      <c r="M44" s="332"/>
      <c r="N44" s="332"/>
      <c r="S44"/>
    </row>
    <row r="45" spans="1:19" customHeight="1" ht="15">
      <c r="A45" s="336"/>
      <c r="B45" s="336"/>
      <c r="C45" s="336"/>
      <c r="D45" s="336"/>
      <c r="E45" s="336"/>
      <c r="F45" s="336"/>
      <c r="G45" s="336"/>
      <c r="H45" s="336"/>
      <c r="I45" s="336"/>
      <c r="J45" s="336"/>
      <c r="K45" s="336"/>
      <c r="L45" s="336"/>
      <c r="M45" s="336"/>
      <c r="N45" s="336"/>
      <c r="S45"/>
    </row>
    <row r="46" spans="1:19" customHeight="1" ht="15">
      <c r="A46" s="350" t="s">
        <v>48</v>
      </c>
      <c r="B46" s="350" t="s">
        <v>49</v>
      </c>
      <c r="C46" s="327" t="s">
        <v>50</v>
      </c>
      <c r="D46" s="353"/>
      <c r="E46" s="353"/>
      <c r="F46" s="353"/>
      <c r="G46" s="353"/>
      <c r="H46" s="354"/>
      <c r="I46" s="327" t="s">
        <v>51</v>
      </c>
      <c r="J46" s="353"/>
      <c r="K46" s="353"/>
      <c r="L46" s="353"/>
      <c r="M46" s="353"/>
      <c r="N46" s="354"/>
      <c r="S46"/>
    </row>
    <row r="47" spans="1:19" customHeight="1" ht="15">
      <c r="A47" s="351"/>
      <c r="B47" s="351"/>
      <c r="C47" s="355"/>
      <c r="D47" s="356"/>
      <c r="E47" s="356"/>
      <c r="F47" s="356"/>
      <c r="G47" s="356"/>
      <c r="H47" s="357"/>
      <c r="I47" s="358"/>
      <c r="J47" s="359"/>
      <c r="K47" s="359"/>
      <c r="L47" s="359"/>
      <c r="M47" s="359"/>
      <c r="N47" s="360"/>
      <c r="S47"/>
    </row>
    <row r="48" spans="1:19">
      <c r="A48" s="351"/>
      <c r="B48" s="351"/>
      <c r="C48" s="355"/>
      <c r="D48" s="356"/>
      <c r="E48" s="356"/>
      <c r="F48" s="356"/>
      <c r="G48" s="356"/>
      <c r="H48" s="357"/>
      <c r="I48" s="348" t="s">
        <v>52</v>
      </c>
      <c r="J48" s="349"/>
      <c r="K48" s="346" t="s">
        <v>53</v>
      </c>
      <c r="L48" s="348" t="s">
        <v>54</v>
      </c>
      <c r="M48" s="349"/>
      <c r="N48" s="346" t="s">
        <v>53</v>
      </c>
      <c r="S48"/>
    </row>
    <row r="49" spans="1:19">
      <c r="A49" s="352"/>
      <c r="B49" s="352"/>
      <c r="C49" s="358"/>
      <c r="D49" s="359"/>
      <c r="E49" s="359"/>
      <c r="F49" s="359"/>
      <c r="G49" s="359"/>
      <c r="H49" s="360"/>
      <c r="I49" s="14" t="s">
        <v>55</v>
      </c>
      <c r="J49" s="14" t="s">
        <v>56</v>
      </c>
      <c r="K49" s="347"/>
      <c r="L49" s="14" t="s">
        <v>57</v>
      </c>
      <c r="M49" s="14" t="s">
        <v>58</v>
      </c>
      <c r="N49" s="347"/>
      <c r="S49"/>
    </row>
    <row r="50" spans="1:19" customHeight="1" ht="15">
      <c r="A50" s="15" t="s">
        <v>59</v>
      </c>
      <c r="B50" s="15" t="s">
        <v>60</v>
      </c>
      <c r="C50" s="378" t="s">
        <v>61</v>
      </c>
      <c r="D50" s="332"/>
      <c r="E50" s="332"/>
      <c r="F50" s="332"/>
      <c r="G50" s="332"/>
      <c r="H50" s="379"/>
      <c r="I50" s="13">
        <v>1</v>
      </c>
      <c r="K50" s="57" t="s">
        <v>62</v>
      </c>
      <c r="N50" s="57"/>
      <c r="S50"/>
    </row>
    <row r="51" spans="1:19" customHeight="1" ht="15">
      <c r="A51" s="15" t="s">
        <v>63</v>
      </c>
      <c r="B51" s="15" t="s">
        <v>64</v>
      </c>
      <c r="C51" s="378" t="s">
        <v>65</v>
      </c>
      <c r="D51" s="332"/>
      <c r="E51" s="332"/>
      <c r="F51" s="332"/>
      <c r="G51" s="332"/>
      <c r="H51" s="379"/>
      <c r="I51" s="13">
        <v>1</v>
      </c>
      <c r="K51" s="57" t="s">
        <v>62</v>
      </c>
      <c r="N51" s="57"/>
      <c r="S51"/>
    </row>
    <row r="52" spans="1:19" customHeight="1" ht="15">
      <c r="A52" s="15" t="s">
        <v>63</v>
      </c>
      <c r="B52" s="15" t="s">
        <v>66</v>
      </c>
      <c r="C52" s="378" t="s">
        <v>67</v>
      </c>
      <c r="D52" s="332"/>
      <c r="E52" s="332"/>
      <c r="F52" s="332"/>
      <c r="G52" s="332"/>
      <c r="H52" s="379"/>
      <c r="I52" s="13">
        <v>1</v>
      </c>
      <c r="K52" s="57" t="s">
        <v>62</v>
      </c>
      <c r="N52" s="57"/>
      <c r="S52"/>
    </row>
    <row r="53" spans="1:19" customHeight="1" ht="15">
      <c r="A53" s="15" t="s">
        <v>68</v>
      </c>
      <c r="B53" s="15" t="s">
        <v>60</v>
      </c>
      <c r="C53" s="378" t="s">
        <v>61</v>
      </c>
      <c r="D53" s="332"/>
      <c r="E53" s="332"/>
      <c r="F53" s="332"/>
      <c r="G53" s="332"/>
      <c r="H53" s="379"/>
      <c r="I53" s="13">
        <v>1</v>
      </c>
      <c r="K53" s="57" t="s">
        <v>62</v>
      </c>
      <c r="N53" s="57"/>
      <c r="S53"/>
    </row>
    <row r="54" spans="1:19" customHeight="1" ht="15">
      <c r="A54" s="15" t="s">
        <v>69</v>
      </c>
      <c r="B54" s="15" t="s">
        <v>60</v>
      </c>
      <c r="C54" s="378" t="s">
        <v>61</v>
      </c>
      <c r="D54" s="332"/>
      <c r="E54" s="332"/>
      <c r="F54" s="332"/>
      <c r="G54" s="332"/>
      <c r="H54" s="379"/>
      <c r="I54" s="13">
        <v>1</v>
      </c>
      <c r="K54" s="57" t="s">
        <v>62</v>
      </c>
      <c r="N54" s="57"/>
      <c r="S54"/>
    </row>
    <row r="55" spans="1:19" customHeight="1" ht="15">
      <c r="A55" s="15" t="s">
        <v>70</v>
      </c>
      <c r="B55" s="15" t="s">
        <v>71</v>
      </c>
      <c r="C55" s="378" t="s">
        <v>72</v>
      </c>
      <c r="D55" s="332"/>
      <c r="E55" s="332"/>
      <c r="F55" s="332"/>
      <c r="G55" s="332"/>
      <c r="H55" s="379"/>
      <c r="I55" s="13">
        <v>1</v>
      </c>
      <c r="K55" s="57" t="s">
        <v>62</v>
      </c>
      <c r="N55" s="57"/>
      <c r="S55"/>
    </row>
    <row r="56" spans="1:19" customHeight="1" ht="15">
      <c r="A56" s="15" t="s">
        <v>73</v>
      </c>
      <c r="B56" s="15" t="s">
        <v>64</v>
      </c>
      <c r="C56" s="378" t="s">
        <v>65</v>
      </c>
      <c r="D56" s="332"/>
      <c r="E56" s="332"/>
      <c r="F56" s="332"/>
      <c r="G56" s="332"/>
      <c r="H56" s="379"/>
      <c r="I56" s="13">
        <v>1</v>
      </c>
      <c r="K56" s="57" t="s">
        <v>62</v>
      </c>
      <c r="N56" s="57"/>
      <c r="S56"/>
    </row>
    <row r="57" spans="1:19" customHeight="1" ht="15">
      <c r="A57" s="15" t="s">
        <v>74</v>
      </c>
      <c r="B57" s="15" t="s">
        <v>71</v>
      </c>
      <c r="C57" s="378" t="s">
        <v>72</v>
      </c>
      <c r="D57" s="332"/>
      <c r="E57" s="332"/>
      <c r="F57" s="332"/>
      <c r="G57" s="332"/>
      <c r="H57" s="379"/>
      <c r="I57" s="13">
        <v>1</v>
      </c>
      <c r="K57" s="57" t="s">
        <v>62</v>
      </c>
      <c r="N57" s="57"/>
      <c r="S57"/>
    </row>
    <row r="58" spans="1:19" customHeight="1" ht="15">
      <c r="A58" s="15" t="s">
        <v>75</v>
      </c>
      <c r="B58" s="15" t="s">
        <v>76</v>
      </c>
      <c r="C58" s="378" t="s">
        <v>77</v>
      </c>
      <c r="D58" s="332"/>
      <c r="E58" s="332"/>
      <c r="F58" s="332"/>
      <c r="G58" s="332"/>
      <c r="H58" s="379"/>
      <c r="I58" s="13">
        <v>1</v>
      </c>
      <c r="K58" s="57" t="s">
        <v>62</v>
      </c>
      <c r="N58" s="57"/>
      <c r="S58"/>
    </row>
    <row r="59" spans="1:19" customHeight="1" ht="15">
      <c r="A59" s="15" t="s">
        <v>78</v>
      </c>
      <c r="B59" s="15" t="s">
        <v>76</v>
      </c>
      <c r="C59" s="378" t="s">
        <v>77</v>
      </c>
      <c r="D59" s="332"/>
      <c r="E59" s="332"/>
      <c r="F59" s="332"/>
      <c r="G59" s="332"/>
      <c r="H59" s="379"/>
      <c r="I59" s="13">
        <v>1</v>
      </c>
      <c r="K59" s="57" t="s">
        <v>62</v>
      </c>
      <c r="N59" s="57"/>
      <c r="S59"/>
    </row>
    <row r="60" spans="1:19" customHeight="1" ht="15">
      <c r="A60" s="15" t="s">
        <v>79</v>
      </c>
      <c r="B60" s="15" t="s">
        <v>71</v>
      </c>
      <c r="C60" s="378" t="s">
        <v>72</v>
      </c>
      <c r="D60" s="332"/>
      <c r="E60" s="332"/>
      <c r="F60" s="332"/>
      <c r="G60" s="332"/>
      <c r="H60" s="379"/>
      <c r="I60" s="13">
        <v>1</v>
      </c>
      <c r="K60" s="57" t="s">
        <v>62</v>
      </c>
      <c r="N60" s="57"/>
      <c r="S60"/>
    </row>
    <row r="61" spans="1:19" customHeight="1" ht="15">
      <c r="A61" s="15" t="s">
        <v>80</v>
      </c>
      <c r="B61" s="15" t="s">
        <v>81</v>
      </c>
      <c r="C61" s="378" t="s">
        <v>82</v>
      </c>
      <c r="D61" s="332"/>
      <c r="E61" s="332"/>
      <c r="F61" s="332"/>
      <c r="G61" s="332"/>
      <c r="H61" s="379"/>
      <c r="I61" s="13">
        <v>1</v>
      </c>
      <c r="K61" s="57" t="s">
        <v>62</v>
      </c>
      <c r="N61" s="57"/>
      <c r="S61"/>
    </row>
    <row r="62" spans="1:19" customHeight="1" ht="15">
      <c r="A62" s="15" t="s">
        <v>83</v>
      </c>
      <c r="B62" s="15" t="s">
        <v>81</v>
      </c>
      <c r="C62" s="378" t="s">
        <v>82</v>
      </c>
      <c r="D62" s="332"/>
      <c r="E62" s="332"/>
      <c r="F62" s="332"/>
      <c r="G62" s="332"/>
      <c r="H62" s="379"/>
      <c r="I62" s="13">
        <v>1</v>
      </c>
      <c r="K62" s="57" t="s">
        <v>62</v>
      </c>
      <c r="N62" s="57"/>
      <c r="S62"/>
    </row>
    <row r="63" spans="1:19" customHeight="1" ht="15">
      <c r="A63" s="15" t="s">
        <v>84</v>
      </c>
      <c r="B63" s="15" t="s">
        <v>76</v>
      </c>
      <c r="C63" s="378" t="s">
        <v>77</v>
      </c>
      <c r="D63" s="332"/>
      <c r="E63" s="332"/>
      <c r="F63" s="332"/>
      <c r="G63" s="332"/>
      <c r="H63" s="379"/>
      <c r="I63" s="13">
        <v>1</v>
      </c>
      <c r="K63" s="57" t="s">
        <v>62</v>
      </c>
      <c r="N63" s="57"/>
      <c r="S63"/>
    </row>
    <row r="64" spans="1:19" customHeight="1" ht="15">
      <c r="A64" s="15" t="s">
        <v>85</v>
      </c>
      <c r="B64" s="15" t="s">
        <v>86</v>
      </c>
      <c r="C64" s="378" t="s">
        <v>87</v>
      </c>
      <c r="D64" s="332"/>
      <c r="E64" s="332"/>
      <c r="F64" s="332"/>
      <c r="G64" s="332"/>
      <c r="H64" s="379"/>
      <c r="I64" s="13">
        <v>1</v>
      </c>
      <c r="K64" s="57" t="s">
        <v>62</v>
      </c>
      <c r="N64" s="57"/>
      <c r="S64"/>
    </row>
    <row r="65" spans="1:19" customHeight="1" ht="15">
      <c r="A65" s="15" t="s">
        <v>88</v>
      </c>
      <c r="B65" s="15" t="s">
        <v>60</v>
      </c>
      <c r="C65" s="378" t="s">
        <v>61</v>
      </c>
      <c r="D65" s="332"/>
      <c r="E65" s="332"/>
      <c r="F65" s="332"/>
      <c r="G65" s="332"/>
      <c r="H65" s="379"/>
      <c r="I65" s="13">
        <v>1</v>
      </c>
      <c r="K65" s="57" t="s">
        <v>62</v>
      </c>
      <c r="N65" s="57"/>
      <c r="S65"/>
    </row>
    <row r="66" spans="1:19" customHeight="1" ht="15">
      <c r="A66" s="15" t="s">
        <v>89</v>
      </c>
      <c r="B66" s="15" t="s">
        <v>66</v>
      </c>
      <c r="C66" s="378" t="s">
        <v>67</v>
      </c>
      <c r="D66" s="332"/>
      <c r="E66" s="332"/>
      <c r="F66" s="332"/>
      <c r="G66" s="332"/>
      <c r="H66" s="379"/>
      <c r="I66" s="13">
        <v>1</v>
      </c>
      <c r="K66" s="57" t="s">
        <v>62</v>
      </c>
      <c r="N66" s="57"/>
      <c r="S66"/>
    </row>
    <row r="67" spans="1:19" customHeight="1" ht="15">
      <c r="A67" s="15" t="s">
        <v>90</v>
      </c>
      <c r="B67" s="15" t="s">
        <v>81</v>
      </c>
      <c r="C67" s="378" t="s">
        <v>82</v>
      </c>
      <c r="D67" s="332"/>
      <c r="E67" s="332"/>
      <c r="F67" s="332"/>
      <c r="G67" s="332"/>
      <c r="H67" s="379"/>
      <c r="I67" s="13">
        <v>1</v>
      </c>
      <c r="K67" s="57" t="s">
        <v>62</v>
      </c>
      <c r="N67" s="57"/>
      <c r="S67"/>
    </row>
    <row r="68" spans="1:19" customHeight="1" ht="15">
      <c r="A68" s="15" t="s">
        <v>91</v>
      </c>
      <c r="B68" s="15" t="s">
        <v>81</v>
      </c>
      <c r="C68" s="378" t="s">
        <v>82</v>
      </c>
      <c r="D68" s="332"/>
      <c r="E68" s="332"/>
      <c r="F68" s="332"/>
      <c r="G68" s="332"/>
      <c r="H68" s="379"/>
      <c r="I68" s="13">
        <v>1</v>
      </c>
      <c r="K68" s="57" t="s">
        <v>62</v>
      </c>
      <c r="N68" s="57"/>
      <c r="S68"/>
    </row>
    <row r="69" spans="1:19" customHeight="1" ht="15">
      <c r="A69" s="15" t="s">
        <v>92</v>
      </c>
      <c r="B69" s="15" t="s">
        <v>66</v>
      </c>
      <c r="C69" s="378" t="s">
        <v>67</v>
      </c>
      <c r="D69" s="332"/>
      <c r="E69" s="332"/>
      <c r="F69" s="332"/>
      <c r="G69" s="332"/>
      <c r="H69" s="379"/>
      <c r="I69" s="13">
        <v>1</v>
      </c>
      <c r="K69" s="57" t="s">
        <v>62</v>
      </c>
      <c r="N69" s="57"/>
      <c r="S69"/>
    </row>
    <row r="70" spans="1:19" customHeight="1" ht="15">
      <c r="A70" s="15" t="s">
        <v>93</v>
      </c>
      <c r="B70" s="15" t="s">
        <v>94</v>
      </c>
      <c r="C70" s="378" t="s">
        <v>95</v>
      </c>
      <c r="D70" s="332"/>
      <c r="E70" s="332"/>
      <c r="F70" s="332"/>
      <c r="G70" s="332"/>
      <c r="H70" s="379"/>
      <c r="I70" s="13">
        <v>1</v>
      </c>
      <c r="K70" s="57" t="s">
        <v>62</v>
      </c>
      <c r="N70" s="57"/>
      <c r="S70"/>
    </row>
    <row r="71" spans="1:19" customHeight="1" ht="15">
      <c r="A71" s="15" t="s">
        <v>96</v>
      </c>
      <c r="B71" s="15" t="s">
        <v>60</v>
      </c>
      <c r="C71" s="378" t="s">
        <v>61</v>
      </c>
      <c r="D71" s="332"/>
      <c r="E71" s="332"/>
      <c r="F71" s="332"/>
      <c r="G71" s="332"/>
      <c r="H71" s="379"/>
      <c r="I71" s="13">
        <v>1</v>
      </c>
      <c r="K71" s="57" t="s">
        <v>62</v>
      </c>
      <c r="N71" s="57"/>
      <c r="S71"/>
    </row>
    <row r="72" spans="1:19" customHeight="1" ht="15">
      <c r="A72" s="15" t="s">
        <v>97</v>
      </c>
      <c r="B72" s="15" t="s">
        <v>64</v>
      </c>
      <c r="C72" s="378" t="s">
        <v>65</v>
      </c>
      <c r="D72" s="332"/>
      <c r="E72" s="332"/>
      <c r="F72" s="332"/>
      <c r="G72" s="332"/>
      <c r="H72" s="379"/>
      <c r="I72" s="13">
        <v>1</v>
      </c>
      <c r="K72" s="57" t="s">
        <v>62</v>
      </c>
      <c r="N72" s="57"/>
      <c r="S72"/>
    </row>
    <row r="73" spans="1:19" customHeight="1" ht="15">
      <c r="A73" s="15" t="s">
        <v>98</v>
      </c>
      <c r="B73" s="15" t="s">
        <v>81</v>
      </c>
      <c r="C73" s="378" t="s">
        <v>82</v>
      </c>
      <c r="D73" s="332"/>
      <c r="E73" s="332"/>
      <c r="F73" s="332"/>
      <c r="G73" s="332"/>
      <c r="H73" s="379"/>
      <c r="I73" s="13">
        <v>1</v>
      </c>
      <c r="K73" s="57" t="s">
        <v>62</v>
      </c>
      <c r="N73" s="57"/>
      <c r="S73"/>
    </row>
    <row r="74" spans="1:19" customHeight="1" ht="15">
      <c r="A74" s="15" t="s">
        <v>99</v>
      </c>
      <c r="B74" s="15" t="s">
        <v>100</v>
      </c>
      <c r="C74" s="378" t="s">
        <v>101</v>
      </c>
      <c r="D74" s="332"/>
      <c r="E74" s="332"/>
      <c r="F74" s="332"/>
      <c r="G74" s="332"/>
      <c r="H74" s="379"/>
      <c r="I74" s="13">
        <v>1</v>
      </c>
      <c r="K74" s="57" t="s">
        <v>62</v>
      </c>
      <c r="N74" s="57"/>
      <c r="S74"/>
    </row>
    <row r="75" spans="1:19" customHeight="1" ht="15">
      <c r="A75" s="15" t="s">
        <v>102</v>
      </c>
      <c r="B75" s="15" t="s">
        <v>86</v>
      </c>
      <c r="C75" s="378" t="s">
        <v>87</v>
      </c>
      <c r="D75" s="332"/>
      <c r="E75" s="332"/>
      <c r="F75" s="332"/>
      <c r="G75" s="332"/>
      <c r="H75" s="379"/>
      <c r="I75" s="13">
        <v>1</v>
      </c>
      <c r="K75" s="57" t="s">
        <v>62</v>
      </c>
      <c r="N75" s="57"/>
      <c r="S75"/>
    </row>
    <row r="76" spans="1:19" customHeight="1" ht="15">
      <c r="A76" s="15" t="s">
        <v>103</v>
      </c>
      <c r="B76" s="15" t="s">
        <v>71</v>
      </c>
      <c r="C76" s="378" t="s">
        <v>72</v>
      </c>
      <c r="D76" s="332"/>
      <c r="E76" s="332"/>
      <c r="F76" s="332"/>
      <c r="G76" s="332"/>
      <c r="H76" s="379"/>
      <c r="I76" s="13">
        <v>1</v>
      </c>
      <c r="K76" s="57" t="s">
        <v>62</v>
      </c>
      <c r="N76" s="57"/>
      <c r="S76"/>
    </row>
    <row r="77" spans="1:19" customHeight="1" ht="15">
      <c r="A77" s="15" t="s">
        <v>103</v>
      </c>
      <c r="B77" s="15" t="s">
        <v>86</v>
      </c>
      <c r="C77" s="378" t="s">
        <v>87</v>
      </c>
      <c r="D77" s="332"/>
      <c r="E77" s="332"/>
      <c r="F77" s="332"/>
      <c r="G77" s="332"/>
      <c r="H77" s="379"/>
      <c r="K77" s="57"/>
      <c r="M77" s="13">
        <v>1</v>
      </c>
      <c r="N77" s="57" t="s">
        <v>62</v>
      </c>
      <c r="S77"/>
    </row>
    <row r="78" spans="1:19" customHeight="1" ht="15">
      <c r="A78" s="15" t="s">
        <v>104</v>
      </c>
      <c r="B78" s="15" t="s">
        <v>105</v>
      </c>
      <c r="C78" s="378" t="s">
        <v>106</v>
      </c>
      <c r="D78" s="332"/>
      <c r="E78" s="332"/>
      <c r="F78" s="332"/>
      <c r="G78" s="332"/>
      <c r="H78" s="379"/>
      <c r="I78" s="13">
        <v>1</v>
      </c>
      <c r="K78" s="57" t="s">
        <v>62</v>
      </c>
      <c r="N78" s="57"/>
      <c r="S78"/>
    </row>
    <row r="79" spans="1:19" customHeight="1" ht="15">
      <c r="A79" s="15" t="s">
        <v>107</v>
      </c>
      <c r="B79" s="15" t="s">
        <v>71</v>
      </c>
      <c r="C79" s="378" t="s">
        <v>72</v>
      </c>
      <c r="D79" s="332"/>
      <c r="E79" s="332"/>
      <c r="F79" s="332"/>
      <c r="G79" s="332"/>
      <c r="H79" s="379"/>
      <c r="I79" s="13">
        <v>1</v>
      </c>
      <c r="K79" s="57" t="s">
        <v>62</v>
      </c>
      <c r="N79" s="57"/>
      <c r="S79"/>
    </row>
    <row r="80" spans="1:19" customHeight="1" ht="15">
      <c r="A80" s="15" t="s">
        <v>108</v>
      </c>
      <c r="B80" s="15" t="s">
        <v>66</v>
      </c>
      <c r="C80" s="378" t="s">
        <v>67</v>
      </c>
      <c r="D80" s="332"/>
      <c r="E80" s="332"/>
      <c r="F80" s="332"/>
      <c r="G80" s="332"/>
      <c r="H80" s="379"/>
      <c r="I80" s="13">
        <v>1</v>
      </c>
      <c r="K80" s="57" t="s">
        <v>62</v>
      </c>
      <c r="N80" s="57"/>
      <c r="S80"/>
    </row>
    <row r="81" spans="1:19" customHeight="1" ht="15">
      <c r="A81" s="15" t="s">
        <v>109</v>
      </c>
      <c r="B81" s="15" t="s">
        <v>81</v>
      </c>
      <c r="C81" s="378" t="s">
        <v>82</v>
      </c>
      <c r="D81" s="332"/>
      <c r="E81" s="332"/>
      <c r="F81" s="332"/>
      <c r="G81" s="332"/>
      <c r="H81" s="379"/>
      <c r="I81" s="13">
        <v>1</v>
      </c>
      <c r="K81" s="57" t="s">
        <v>62</v>
      </c>
      <c r="N81" s="57"/>
      <c r="S81"/>
    </row>
    <row r="82" spans="1:19" customHeight="1" ht="15">
      <c r="A82" s="15" t="s">
        <v>109</v>
      </c>
      <c r="B82" s="15" t="s">
        <v>64</v>
      </c>
      <c r="C82" s="378" t="s">
        <v>65</v>
      </c>
      <c r="D82" s="332"/>
      <c r="E82" s="332"/>
      <c r="F82" s="332"/>
      <c r="G82" s="332"/>
      <c r="H82" s="379"/>
      <c r="K82" s="57"/>
      <c r="M82" s="13">
        <v>1</v>
      </c>
      <c r="N82" s="57" t="s">
        <v>62</v>
      </c>
      <c r="S82"/>
    </row>
    <row r="83" spans="1:19" customHeight="1" ht="15">
      <c r="A83" s="15" t="s">
        <v>110</v>
      </c>
      <c r="B83" s="15" t="s">
        <v>100</v>
      </c>
      <c r="C83" s="378" t="s">
        <v>101</v>
      </c>
      <c r="D83" s="332"/>
      <c r="E83" s="332"/>
      <c r="F83" s="332"/>
      <c r="G83" s="332"/>
      <c r="H83" s="379"/>
      <c r="K83" s="57"/>
      <c r="M83" s="13">
        <v>1</v>
      </c>
      <c r="N83" s="57" t="s">
        <v>62</v>
      </c>
      <c r="S83"/>
    </row>
    <row r="84" spans="1:19" customHeight="1" ht="15">
      <c r="A84" s="15" t="s">
        <v>111</v>
      </c>
      <c r="B84" s="15" t="s">
        <v>71</v>
      </c>
      <c r="C84" s="378" t="s">
        <v>72</v>
      </c>
      <c r="D84" s="332"/>
      <c r="E84" s="332"/>
      <c r="F84" s="332"/>
      <c r="G84" s="332"/>
      <c r="H84" s="379"/>
      <c r="I84" s="13">
        <v>1</v>
      </c>
      <c r="K84" s="57" t="s">
        <v>62</v>
      </c>
      <c r="N84" s="57"/>
      <c r="S84"/>
    </row>
    <row r="85" spans="1:19" customHeight="1" ht="15">
      <c r="A85" s="15" t="s">
        <v>112</v>
      </c>
      <c r="B85" s="15" t="s">
        <v>94</v>
      </c>
      <c r="C85" s="378" t="s">
        <v>95</v>
      </c>
      <c r="D85" s="332"/>
      <c r="E85" s="332"/>
      <c r="F85" s="332"/>
      <c r="G85" s="332"/>
      <c r="H85" s="379"/>
      <c r="I85" s="13">
        <v>1</v>
      </c>
      <c r="K85" s="57" t="s">
        <v>62</v>
      </c>
      <c r="N85" s="57"/>
      <c r="S85"/>
    </row>
    <row r="86" spans="1:19" customHeight="1" ht="15">
      <c r="A86" s="15" t="s">
        <v>113</v>
      </c>
      <c r="B86" s="15" t="s">
        <v>105</v>
      </c>
      <c r="C86" s="378" t="s">
        <v>106</v>
      </c>
      <c r="D86" s="332"/>
      <c r="E86" s="332"/>
      <c r="F86" s="332"/>
      <c r="G86" s="332"/>
      <c r="H86" s="379"/>
      <c r="I86" s="13">
        <v>1</v>
      </c>
      <c r="K86" s="57" t="s">
        <v>62</v>
      </c>
      <c r="N86" s="57"/>
      <c r="S86"/>
    </row>
    <row r="87" spans="1:19" customHeight="1" ht="15">
      <c r="A87" s="15" t="s">
        <v>114</v>
      </c>
      <c r="B87" s="15" t="s">
        <v>81</v>
      </c>
      <c r="C87" s="378" t="s">
        <v>82</v>
      </c>
      <c r="D87" s="332"/>
      <c r="E87" s="332"/>
      <c r="F87" s="332"/>
      <c r="G87" s="332"/>
      <c r="H87" s="379"/>
      <c r="K87" s="57"/>
      <c r="M87" s="13">
        <v>1</v>
      </c>
      <c r="N87" s="57" t="s">
        <v>62</v>
      </c>
      <c r="S87"/>
    </row>
    <row r="88" spans="1:19" customHeight="1" ht="15">
      <c r="A88" s="15" t="s">
        <v>115</v>
      </c>
      <c r="B88" s="15" t="s">
        <v>64</v>
      </c>
      <c r="C88" s="378" t="s">
        <v>65</v>
      </c>
      <c r="D88" s="332"/>
      <c r="E88" s="332"/>
      <c r="F88" s="332"/>
      <c r="G88" s="332"/>
      <c r="H88" s="379"/>
      <c r="I88" s="13">
        <v>1</v>
      </c>
      <c r="K88" s="57" t="s">
        <v>62</v>
      </c>
      <c r="N88" s="57"/>
      <c r="S88"/>
    </row>
    <row r="89" spans="1:19" customHeight="1" ht="15">
      <c r="A89" s="15" t="s">
        <v>116</v>
      </c>
      <c r="B89" s="15" t="s">
        <v>100</v>
      </c>
      <c r="C89" s="378" t="s">
        <v>101</v>
      </c>
      <c r="D89" s="332"/>
      <c r="E89" s="332"/>
      <c r="F89" s="332"/>
      <c r="G89" s="332"/>
      <c r="H89" s="379"/>
      <c r="I89" s="13">
        <v>1</v>
      </c>
      <c r="K89" s="57" t="s">
        <v>62</v>
      </c>
      <c r="N89" s="57"/>
      <c r="S89"/>
    </row>
    <row r="90" spans="1:19" customHeight="1" ht="15">
      <c r="A90" s="16"/>
      <c r="B90" s="16"/>
      <c r="C90" s="335"/>
      <c r="D90" s="336"/>
      <c r="E90" s="336"/>
      <c r="F90" s="336"/>
      <c r="G90" s="336"/>
      <c r="H90" s="337"/>
      <c r="I90" s="56"/>
      <c r="J90" s="56"/>
      <c r="K90" s="17"/>
      <c r="L90" s="56"/>
      <c r="M90" s="56"/>
      <c r="N90" s="17"/>
      <c r="S90"/>
    </row>
    <row r="91" spans="1:19" customHeight="1" ht="16.5">
      <c r="I91" s="18">
        <f>SUM(I50:I90)</f>
        <v>36</v>
      </c>
      <c r="J91" s="18">
        <f>SUM(J50:J90)</f>
        <v>0</v>
      </c>
      <c r="L91" s="18">
        <f>SUM(L50:L90)</f>
        <v>0</v>
      </c>
      <c r="M91" s="18">
        <f>SUM(M50:M90)</f>
        <v>4</v>
      </c>
      <c r="N91" s="9"/>
      <c r="S91"/>
    </row>
    <row r="92" spans="1:19">
      <c r="C92" s="372" t="s">
        <v>117</v>
      </c>
      <c r="D92" s="373"/>
      <c r="E92" s="373"/>
      <c r="F92" s="373"/>
      <c r="G92" s="374"/>
      <c r="H92" s="18">
        <f>(I91+J91+L91+M91)</f>
        <v>40</v>
      </c>
      <c r="N92" s="9"/>
      <c r="S92"/>
    </row>
    <row r="93" spans="1:19">
      <c r="C93" s="372" t="s">
        <v>118</v>
      </c>
      <c r="D93" s="373"/>
      <c r="E93" s="373"/>
      <c r="F93" s="373"/>
      <c r="G93" s="374"/>
      <c r="H93" s="75">
        <v>1</v>
      </c>
      <c r="I93" s="76">
        <f>I91/(I91+J91+L91+M91)</f>
        <v>0.9</v>
      </c>
      <c r="J93" s="76">
        <f>J91/(I91+J91+L91+M91)</f>
        <v>0</v>
      </c>
      <c r="L93" s="76">
        <f>L91/(I91+J91+L91+M91)</f>
        <v>0</v>
      </c>
      <c r="M93" s="76">
        <f>M91/(I91+J91+L91+M91)</f>
        <v>0.1</v>
      </c>
      <c r="N93" s="9"/>
      <c r="S93"/>
    </row>
    <row r="94" spans="1:19" customHeight="1" ht="16.5">
      <c r="A94" s="336"/>
      <c r="B94" s="336"/>
      <c r="C94" s="375"/>
      <c r="D94" s="336"/>
      <c r="E94" s="336"/>
      <c r="F94" s="336"/>
      <c r="G94" s="336"/>
      <c r="H94" s="366"/>
      <c r="I94" s="366"/>
      <c r="J94" s="366"/>
      <c r="K94" s="366"/>
      <c r="L94" s="366"/>
      <c r="M94" s="366"/>
      <c r="N94" s="376"/>
      <c r="S94"/>
    </row>
    <row r="95" spans="1:19" customHeight="1" ht="14.5">
      <c r="A95" s="332"/>
      <c r="B95" s="332"/>
      <c r="C95" s="377"/>
      <c r="D95" s="332"/>
      <c r="E95" s="332"/>
      <c r="F95" s="332"/>
      <c r="G95" s="332"/>
      <c r="H95" s="333"/>
      <c r="I95" s="333"/>
      <c r="J95" s="333"/>
      <c r="K95" s="333"/>
      <c r="L95" s="333"/>
      <c r="M95" s="333"/>
      <c r="N95" s="333"/>
      <c r="S95"/>
    </row>
    <row r="96" spans="1:19" customHeight="1" ht="14.5">
      <c r="A96" s="332"/>
      <c r="B96" s="332"/>
      <c r="C96" s="377"/>
      <c r="D96" s="332"/>
      <c r="E96" s="332"/>
      <c r="F96" s="332"/>
      <c r="G96" s="332"/>
      <c r="H96" s="333"/>
      <c r="I96" s="333"/>
      <c r="J96" s="333"/>
      <c r="K96" s="333"/>
      <c r="L96" s="333"/>
      <c r="M96" s="333"/>
      <c r="N96" s="333"/>
      <c r="S96"/>
    </row>
    <row r="97" spans="1:19" customHeight="1" ht="14.5">
      <c r="C97" s="327" t="s">
        <v>119</v>
      </c>
      <c r="D97" s="328"/>
      <c r="E97" s="328"/>
      <c r="F97" s="328"/>
      <c r="G97" s="328"/>
      <c r="H97" s="329"/>
      <c r="I97" s="329"/>
      <c r="J97" s="329"/>
      <c r="K97" s="329"/>
      <c r="L97" s="329"/>
      <c r="M97" s="329"/>
      <c r="N97" s="330"/>
      <c r="S97"/>
    </row>
    <row r="98" spans="1:19" customHeight="1" ht="14.5">
      <c r="C98" s="331"/>
      <c r="D98" s="332"/>
      <c r="E98" s="332"/>
      <c r="F98" s="332"/>
      <c r="G98" s="332"/>
      <c r="H98" s="333"/>
      <c r="I98" s="333"/>
      <c r="J98" s="333"/>
      <c r="K98" s="333"/>
      <c r="L98" s="333"/>
      <c r="M98" s="333"/>
      <c r="N98" s="334"/>
      <c r="S98"/>
    </row>
    <row r="99" spans="1:19" customHeight="1" ht="14.5">
      <c r="C99" s="364"/>
      <c r="D99" s="332"/>
      <c r="E99" s="332"/>
      <c r="F99" s="332"/>
      <c r="G99" s="332"/>
      <c r="H99" s="333"/>
      <c r="I99" s="333"/>
      <c r="J99" s="333"/>
      <c r="K99" s="363" t="s">
        <v>120</v>
      </c>
      <c r="L99" s="333"/>
      <c r="M99" s="363" t="s">
        <v>121</v>
      </c>
      <c r="N99" s="334"/>
      <c r="S99"/>
    </row>
    <row r="100" spans="1:19" customHeight="1" ht="15">
      <c r="C100" s="365"/>
      <c r="D100" s="336"/>
      <c r="E100" s="336"/>
      <c r="F100" s="336"/>
      <c r="G100" s="336"/>
      <c r="H100" s="366"/>
      <c r="I100" s="366"/>
      <c r="J100" s="366"/>
      <c r="K100" s="19" t="s">
        <v>122</v>
      </c>
      <c r="L100" s="19" t="s">
        <v>123</v>
      </c>
      <c r="M100" s="19" t="s">
        <v>122</v>
      </c>
      <c r="N100" s="21" t="s">
        <v>123</v>
      </c>
      <c r="S100"/>
    </row>
    <row r="101" spans="1:19" customHeight="1" ht="15">
      <c r="C101" s="367" t="s">
        <v>124</v>
      </c>
      <c r="D101" s="368"/>
      <c r="E101" s="368"/>
      <c r="F101" s="194"/>
      <c r="G101" s="369" t="s">
        <v>125</v>
      </c>
      <c r="H101" s="370"/>
      <c r="I101" s="370" t="s">
        <v>4</v>
      </c>
      <c r="J101" s="371"/>
      <c r="K101" s="188">
        <f>I91</f>
        <v>36</v>
      </c>
      <c r="L101" s="315">
        <f>K101/(M101+K101)</f>
        <v>0.9</v>
      </c>
      <c r="M101" s="188">
        <f>M91</f>
        <v>4</v>
      </c>
      <c r="N101" s="316">
        <f>(M101/(K101+M101))</f>
        <v>0.1</v>
      </c>
      <c r="S101"/>
    </row>
    <row r="102" spans="1:19" customHeight="1" ht="15">
      <c r="C102" s="344" t="s">
        <v>126</v>
      </c>
      <c r="D102" s="345"/>
      <c r="E102" s="345"/>
      <c r="F102" s="43" t="s">
        <v>35</v>
      </c>
      <c r="G102" s="325" t="s">
        <v>127</v>
      </c>
      <c r="H102" s="325"/>
      <c r="I102" s="324" t="s">
        <v>37</v>
      </c>
      <c r="J102" s="326"/>
      <c r="K102" s="13">
        <v>36</v>
      </c>
      <c r="L102" s="94" t="s">
        <v>128</v>
      </c>
      <c r="M102" s="189">
        <v>4</v>
      </c>
      <c r="N102" s="191" t="s">
        <v>129</v>
      </c>
      <c r="S102"/>
    </row>
    <row r="103" spans="1:19" customHeight="1" ht="15">
      <c r="C103" s="693" t="s">
        <v>130</v>
      </c>
      <c r="D103" s="345"/>
      <c r="E103" s="345"/>
      <c r="F103" s="43" t="s">
        <v>39</v>
      </c>
      <c r="G103" s="325" t="s">
        <v>131</v>
      </c>
      <c r="H103" s="325"/>
      <c r="I103" s="324" t="s">
        <v>41</v>
      </c>
      <c r="J103" s="326"/>
      <c r="K103" s="13">
        <v>0</v>
      </c>
      <c r="L103" s="94" t="s">
        <v>132</v>
      </c>
      <c r="M103" s="189">
        <v>0</v>
      </c>
      <c r="N103" s="191" t="s">
        <v>132</v>
      </c>
      <c r="S103"/>
    </row>
    <row r="104" spans="1:19" customHeight="1" ht="15">
      <c r="C104" s="344"/>
      <c r="D104" s="345"/>
      <c r="E104" s="345"/>
      <c r="F104" s="43" t="s">
        <v>42</v>
      </c>
      <c r="G104" s="325" t="s">
        <v>133</v>
      </c>
      <c r="H104" s="325"/>
      <c r="I104" s="324" t="s">
        <v>44</v>
      </c>
      <c r="J104" s="326"/>
      <c r="K104" s="13">
        <v>0</v>
      </c>
      <c r="L104" s="94" t="s">
        <v>132</v>
      </c>
      <c r="M104" s="189">
        <v>0</v>
      </c>
      <c r="N104" s="191" t="s">
        <v>132</v>
      </c>
      <c r="S104"/>
    </row>
    <row r="105" spans="1:19" customHeight="1" ht="15">
      <c r="C105" s="344"/>
      <c r="D105" s="345"/>
      <c r="E105" s="345"/>
      <c r="F105" s="43" t="s">
        <v>45</v>
      </c>
      <c r="G105" s="325" t="s">
        <v>134</v>
      </c>
      <c r="H105" s="325"/>
      <c r="I105" s="324" t="s">
        <v>47</v>
      </c>
      <c r="J105" s="326"/>
      <c r="K105" s="13">
        <v>0</v>
      </c>
      <c r="L105" s="94" t="s">
        <v>132</v>
      </c>
      <c r="M105" s="189">
        <v>0</v>
      </c>
      <c r="N105" s="191" t="s">
        <v>132</v>
      </c>
      <c r="S105"/>
    </row>
    <row r="106" spans="1:19" customHeight="1" ht="15">
      <c r="C106" s="213"/>
      <c r="D106" s="214"/>
      <c r="E106" s="215"/>
      <c r="F106" s="44"/>
      <c r="G106" s="361"/>
      <c r="H106" s="361"/>
      <c r="I106" s="362"/>
      <c r="J106" s="362"/>
      <c r="K106" s="190"/>
      <c r="L106" s="193"/>
      <c r="M106" s="190"/>
      <c r="N106" s="192"/>
      <c r="S106"/>
    </row>
    <row r="107" spans="1:19" customHeight="1" ht="18.75" s="195" customFormat="1">
      <c r="A107" s="195"/>
      <c r="B107" s="195"/>
      <c r="C107" s="5"/>
      <c r="D107" s="195"/>
      <c r="E107" s="195"/>
      <c r="F107" s="195"/>
      <c r="G107" s="87"/>
      <c r="H107" s="386" t="s">
        <v>135</v>
      </c>
      <c r="I107" s="387"/>
      <c r="J107" s="388"/>
      <c r="K107" s="210">
        <f>SUM(K102:K106)</f>
        <v>36</v>
      </c>
      <c r="L107" s="318">
        <f>K107/(M107+K107)</f>
        <v>0.9</v>
      </c>
      <c r="M107" s="210">
        <f>SUM(M102:M106)</f>
        <v>4</v>
      </c>
      <c r="N107" s="317">
        <f>(M107/(K107+M107))</f>
        <v>0.1</v>
      </c>
      <c r="O107" s="195"/>
      <c r="P107" s="195"/>
      <c r="Q107" s="195"/>
      <c r="S107" s="195"/>
    </row>
    <row r="108" spans="1:19" customHeight="1" ht="14" s="195" customFormat="1">
      <c r="B108" s="196"/>
      <c r="C108" s="197"/>
      <c r="D108" s="197"/>
      <c r="E108" s="197"/>
      <c r="F108" s="198"/>
      <c r="G108" s="199"/>
      <c r="H108" s="199"/>
      <c r="I108" s="199"/>
      <c r="J108" s="200"/>
      <c r="K108" s="201"/>
      <c r="L108" s="200"/>
      <c r="M108" s="201"/>
      <c r="S108" s="195"/>
    </row>
    <row r="109" spans="1:19" customHeight="1" ht="14" s="195" customFormat="1">
      <c r="B109" s="196"/>
      <c r="C109" s="197"/>
      <c r="D109" s="197"/>
      <c r="E109" s="197"/>
      <c r="F109" s="198"/>
      <c r="G109" s="199"/>
      <c r="H109" s="199"/>
      <c r="I109" s="199"/>
      <c r="J109" s="200"/>
      <c r="K109" s="201"/>
      <c r="L109" s="200"/>
      <c r="M109" s="201"/>
      <c r="S109" s="195"/>
    </row>
    <row r="110" spans="1:19" customHeight="1" ht="14" s="195" customFormat="1">
      <c r="B110" s="196"/>
      <c r="C110" s="197"/>
      <c r="D110" s="197"/>
      <c r="E110" s="197"/>
      <c r="F110" s="198"/>
      <c r="G110" s="199"/>
      <c r="H110" s="199"/>
      <c r="I110" s="199"/>
      <c r="J110" s="200"/>
      <c r="K110" s="201"/>
      <c r="L110" s="200"/>
      <c r="M110" s="201"/>
      <c r="S110" s="195"/>
    </row>
    <row r="111" spans="1:19" s="195" customFormat="1">
      <c r="B111" s="196"/>
      <c r="C111" s="202" t="s">
        <v>136</v>
      </c>
      <c r="D111" s="202"/>
      <c r="E111" s="101"/>
      <c r="F111" s="203"/>
      <c r="G111" s="201"/>
      <c r="H111" s="201"/>
      <c r="I111" s="201"/>
      <c r="J111" s="201"/>
      <c r="K111" s="201"/>
      <c r="L111" s="201"/>
      <c r="M111" s="201"/>
      <c r="S111" s="195"/>
    </row>
    <row r="112" spans="1:19" customHeight="1" ht="18" s="195" customFormat="1">
      <c r="B112" s="196"/>
      <c r="C112" s="204"/>
      <c r="D112" s="204"/>
      <c r="E112" s="205"/>
      <c r="F112" s="203"/>
      <c r="G112" s="201"/>
      <c r="H112" s="201"/>
      <c r="I112" s="201"/>
      <c r="J112" s="201"/>
      <c r="K112" s="201"/>
      <c r="L112" s="201"/>
      <c r="M112" s="201"/>
      <c r="Q112" s="206"/>
      <c r="R112" s="206"/>
      <c r="S112" s="195"/>
    </row>
    <row r="113" spans="1:19" customHeight="1" ht="14" s="195" customFormat="1">
      <c r="B113" s="196"/>
      <c r="C113" s="207" t="s">
        <v>137</v>
      </c>
      <c r="D113" s="207"/>
      <c r="E113" s="207"/>
      <c r="F113" s="203"/>
      <c r="G113" s="201" t="s">
        <v>138</v>
      </c>
      <c r="H113" s="201"/>
      <c r="I113" s="201"/>
      <c r="J113" s="201"/>
      <c r="K113" s="201" t="s">
        <v>139</v>
      </c>
      <c r="L113" s="201"/>
      <c r="M113" s="201"/>
      <c r="S113" s="195"/>
    </row>
    <row r="114" spans="1:19" customHeight="1" ht="14" s="195" customFormat="1">
      <c r="B114" s="196"/>
      <c r="C114" s="207"/>
      <c r="D114" s="207"/>
      <c r="E114" s="207"/>
      <c r="F114" s="203"/>
      <c r="G114" s="201"/>
      <c r="H114" s="201"/>
      <c r="I114" s="201"/>
      <c r="J114" s="201"/>
      <c r="K114" s="201"/>
      <c r="L114" s="201"/>
      <c r="M114" s="201"/>
      <c r="S114" s="195"/>
    </row>
    <row r="115" spans="1:19" customHeight="1" ht="18" s="195" customFormat="1">
      <c r="B115" s="196"/>
      <c r="C115" s="205"/>
      <c r="D115" s="205"/>
      <c r="E115" s="207"/>
      <c r="F115" s="208"/>
      <c r="G115" s="201"/>
      <c r="H115" s="201"/>
      <c r="I115" s="201"/>
      <c r="J115" s="201"/>
      <c r="K115" s="201"/>
      <c r="L115" s="201"/>
      <c r="M115" s="201"/>
      <c r="S115" s="195"/>
    </row>
    <row r="116" spans="1:19" customHeight="1" ht="12.5" s="195" customFormat="1">
      <c r="B116" s="196"/>
      <c r="C116" s="206" t="s">
        <v>140</v>
      </c>
      <c r="D116" s="206"/>
      <c r="E116" s="206"/>
      <c r="F116" s="206"/>
      <c r="G116" s="209"/>
      <c r="H116" s="206"/>
      <c r="I116" s="206"/>
      <c r="J116" s="206"/>
      <c r="K116" s="206"/>
      <c r="L116" s="206"/>
      <c r="M116" s="206"/>
      <c r="N116" s="206"/>
      <c r="O116" s="206"/>
      <c r="P116" s="206"/>
      <c r="S116" s="195"/>
    </row>
    <row r="117" spans="1:19" customHeight="1" ht="13" s="195" customFormat="1">
      <c r="B117" s="196"/>
      <c r="C117" s="204"/>
      <c r="D117" s="204"/>
      <c r="S117" s="195"/>
    </row>
    <row r="118" spans="1:19" customHeight="1" ht="12.5" s="195" customFormat="1">
      <c r="B118" s="196"/>
      <c r="S118" s="195"/>
    </row>
  </sheetData>
  <sheetProtection formatCells="0" formatColumns="0" formatRows="0" insertColumns="0" insertRows="0" insertHyperlinks="0" deleteColumns="0" deleteRows="0" sort="0" autoFilter="0" pivotTables="0"/>
  <mergeCells>
    <mergeCell ref="H107:J107"/>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3"/>
    <mergeCell ref="B24:F24"/>
    <mergeCell ref="B26:F26"/>
    <mergeCell ref="B30:F30"/>
    <mergeCell ref="B35:L35"/>
    <mergeCell ref="H22:N22"/>
    <mergeCell ref="H24:N24"/>
    <mergeCell ref="H26:N26"/>
    <mergeCell ref="H30:N30"/>
    <mergeCell ref="N48:N49"/>
    <mergeCell ref="Q10:S10"/>
    <mergeCell ref="G106:H106"/>
    <mergeCell ref="I106:J106"/>
    <mergeCell ref="K99:L99"/>
    <mergeCell ref="M99:N99"/>
    <mergeCell ref="C99:J100"/>
    <mergeCell ref="C101:E101"/>
    <mergeCell ref="G101:H101"/>
    <mergeCell ref="I101:J101"/>
    <mergeCell ref="C92:G92"/>
    <mergeCell ref="C93:G93"/>
    <mergeCell ref="A94:N94"/>
    <mergeCell ref="A95:N96"/>
    <mergeCell ref="C50:H50"/>
    <mergeCell ref="B22:F22"/>
    <mergeCell ref="C97:N98"/>
    <mergeCell ref="C90:H90"/>
    <mergeCell ref="B37:L38"/>
    <mergeCell ref="C102:E102"/>
    <mergeCell ref="G102:H102"/>
    <mergeCell ref="I102:J102"/>
    <mergeCell ref="K48:K49"/>
    <mergeCell ref="L48:M48"/>
    <mergeCell ref="A44:N45"/>
    <mergeCell ref="A46:A49"/>
    <mergeCell ref="B46:B49"/>
    <mergeCell ref="C46:H49"/>
    <mergeCell ref="I46:N47"/>
    <mergeCell ref="I48:J48"/>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 ref="C87:H87"/>
    <mergeCell ref="C88:H88"/>
    <mergeCell ref="C89:H89"/>
    <mergeCell ref="G103:H103"/>
    <mergeCell ref="I103:J103"/>
    <mergeCell ref="G104:H104"/>
    <mergeCell ref="I104:J104"/>
    <mergeCell ref="G105:H105"/>
    <mergeCell ref="I105:J105"/>
    <mergeCell ref="C103:E10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9"/>
  <sheetViews>
    <sheetView tabSelected="1" workbookViewId="0" showGridLines="true" showRowColHeaders="1" topLeftCell="A42">
      <selection activeCell="F6" sqref="F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141</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142</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143</v>
      </c>
      <c r="B3" s="476"/>
      <c r="C3" s="476"/>
      <c r="D3" s="476"/>
      <c r="E3" s="476"/>
      <c r="F3" s="477"/>
      <c r="G3" s="496" t="s">
        <v>144</v>
      </c>
      <c r="H3" s="497"/>
      <c r="I3" s="497"/>
      <c r="J3" s="497"/>
      <c r="K3" s="497"/>
      <c r="L3" s="497"/>
      <c r="M3" s="497"/>
      <c r="N3" s="497"/>
      <c r="O3" s="497"/>
      <c r="P3" s="497"/>
      <c r="Q3" s="497"/>
      <c r="R3" s="497"/>
      <c r="S3" s="497"/>
      <c r="T3" s="498"/>
      <c r="U3" s="485"/>
      <c r="V3" s="486"/>
    </row>
    <row r="4" spans="1:22" customHeight="1" ht="15.5">
      <c r="A4" s="476" t="s">
        <v>145</v>
      </c>
      <c r="B4" s="476"/>
      <c r="C4" s="476"/>
      <c r="D4" s="477"/>
      <c r="E4" s="499" t="s">
        <v>146</v>
      </c>
      <c r="F4" s="500"/>
      <c r="G4" s="500"/>
      <c r="H4" s="500"/>
      <c r="I4" s="500"/>
      <c r="J4" s="500"/>
      <c r="K4" s="500"/>
      <c r="L4" s="500"/>
      <c r="M4" s="500"/>
      <c r="N4" s="500"/>
      <c r="O4" s="500"/>
      <c r="P4" s="500"/>
      <c r="Q4" s="500"/>
      <c r="R4" s="500"/>
      <c r="S4" s="500"/>
      <c r="T4" s="501"/>
      <c r="U4" s="485"/>
      <c r="V4" s="486"/>
    </row>
    <row r="5" spans="1:22" customHeight="1" ht="15.5">
      <c r="A5" s="476" t="s">
        <v>147</v>
      </c>
      <c r="B5" s="476"/>
      <c r="C5" s="476"/>
      <c r="D5" s="477"/>
      <c r="E5" s="499" t="s">
        <v>148</v>
      </c>
      <c r="F5" s="500"/>
      <c r="G5" s="500"/>
      <c r="H5" s="500"/>
      <c r="I5" s="500"/>
      <c r="J5" s="500"/>
      <c r="K5" s="500"/>
      <c r="L5" s="500"/>
      <c r="M5" s="500"/>
      <c r="N5" s="500"/>
      <c r="O5" s="500"/>
      <c r="P5" s="500"/>
      <c r="Q5" s="500"/>
      <c r="R5" s="500"/>
      <c r="S5" s="500"/>
      <c r="T5" s="501"/>
      <c r="U5" s="485"/>
      <c r="V5" s="486"/>
    </row>
    <row r="6" spans="1:22" customHeight="1" ht="18.5">
      <c r="A6" s="476" t="s">
        <v>149</v>
      </c>
      <c r="B6" s="476"/>
      <c r="C6" s="476"/>
      <c r="D6" s="477"/>
      <c r="E6" s="59">
        <v>1</v>
      </c>
      <c r="F6" s="694">
        <v>2</v>
      </c>
      <c r="G6" s="59">
        <v>3</v>
      </c>
      <c r="H6" s="59">
        <v>4</v>
      </c>
      <c r="I6" s="59">
        <v>5</v>
      </c>
      <c r="J6" s="59">
        <v>6</v>
      </c>
      <c r="K6" s="59">
        <v>7</v>
      </c>
      <c r="L6" s="485"/>
      <c r="M6" s="486"/>
      <c r="N6" s="486"/>
      <c r="O6" s="486"/>
      <c r="P6" s="486"/>
      <c r="Q6" s="486"/>
      <c r="R6" s="486"/>
      <c r="S6" s="486"/>
      <c r="T6" s="486"/>
      <c r="U6" s="486"/>
      <c r="V6" s="486"/>
    </row>
    <row r="7" spans="1:22" customHeight="1" ht="15.5">
      <c r="A7" s="476" t="s">
        <v>150</v>
      </c>
      <c r="B7" s="476"/>
      <c r="C7" s="476"/>
      <c r="D7" s="477"/>
      <c r="E7" s="481" t="s">
        <v>151</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152</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153</v>
      </c>
      <c r="F12" s="479"/>
      <c r="G12" s="479"/>
      <c r="H12" s="479"/>
      <c r="I12" s="479"/>
      <c r="J12" s="479"/>
      <c r="K12" s="480"/>
      <c r="L12" s="66"/>
      <c r="M12" s="490" t="s">
        <v>153</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154</v>
      </c>
      <c r="B14" s="465"/>
      <c r="C14" s="465"/>
      <c r="D14" s="466"/>
      <c r="E14" s="467" t="s">
        <v>52</v>
      </c>
      <c r="F14" s="468"/>
      <c r="G14" s="468"/>
      <c r="H14" s="468"/>
      <c r="I14" s="468"/>
      <c r="J14" s="468"/>
      <c r="K14" s="469"/>
      <c r="L14" s="211" t="s">
        <v>155</v>
      </c>
      <c r="M14" s="467" t="s">
        <v>54</v>
      </c>
      <c r="N14" s="470"/>
      <c r="O14" s="470"/>
      <c r="P14" s="470"/>
      <c r="Q14" s="470"/>
      <c r="R14" s="470"/>
      <c r="S14" s="471"/>
      <c r="T14" s="211" t="s">
        <v>155</v>
      </c>
      <c r="U14" s="212" t="s">
        <v>156</v>
      </c>
      <c r="V14" s="212" t="s">
        <v>123</v>
      </c>
    </row>
    <row r="15" spans="1:22" customHeight="1" ht="18">
      <c r="A15" s="407" t="s">
        <v>157</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t="s">
        <v>158</v>
      </c>
      <c r="B16" s="472" t="s">
        <v>159</v>
      </c>
      <c r="C16" s="472"/>
      <c r="D16" s="473"/>
      <c r="E16" s="219">
        <v>1</v>
      </c>
      <c r="F16" s="219">
        <v>0</v>
      </c>
      <c r="G16" s="219">
        <v>1</v>
      </c>
      <c r="H16" s="219">
        <v>0</v>
      </c>
      <c r="I16" s="219">
        <v>0</v>
      </c>
      <c r="J16" s="219">
        <v>0</v>
      </c>
      <c r="K16" s="220">
        <v>0</v>
      </c>
      <c r="L16" s="248">
        <v>2</v>
      </c>
      <c r="M16" s="228">
        <v>0</v>
      </c>
      <c r="N16" s="229">
        <v>0</v>
      </c>
      <c r="O16" s="229">
        <v>0</v>
      </c>
      <c r="P16" s="229">
        <v>0</v>
      </c>
      <c r="Q16" s="229">
        <v>0</v>
      </c>
      <c r="R16" s="229">
        <v>0</v>
      </c>
      <c r="S16" s="230">
        <v>0</v>
      </c>
      <c r="T16" s="248">
        <v>0</v>
      </c>
      <c r="U16" s="257">
        <v>2</v>
      </c>
      <c r="V16" s="258" t="s">
        <v>132</v>
      </c>
    </row>
    <row r="17" spans="1:22">
      <c r="A17" s="217" t="s">
        <v>94</v>
      </c>
      <c r="B17" s="472" t="s">
        <v>95</v>
      </c>
      <c r="C17" s="472"/>
      <c r="D17" s="473"/>
      <c r="E17" s="219">
        <v>2</v>
      </c>
      <c r="F17" s="219">
        <v>2</v>
      </c>
      <c r="G17" s="219">
        <v>0</v>
      </c>
      <c r="H17" s="219">
        <v>0</v>
      </c>
      <c r="I17" s="219">
        <v>0</v>
      </c>
      <c r="J17" s="219">
        <v>0</v>
      </c>
      <c r="K17" s="220">
        <v>0</v>
      </c>
      <c r="L17" s="248">
        <v>4</v>
      </c>
      <c r="M17" s="228">
        <v>0</v>
      </c>
      <c r="N17" s="229">
        <v>0</v>
      </c>
      <c r="O17" s="229">
        <v>0</v>
      </c>
      <c r="P17" s="229">
        <v>0</v>
      </c>
      <c r="Q17" s="229">
        <v>0</v>
      </c>
      <c r="R17" s="229">
        <v>0</v>
      </c>
      <c r="S17" s="230">
        <v>0</v>
      </c>
      <c r="T17" s="248">
        <v>0</v>
      </c>
      <c r="U17" s="257">
        <v>4</v>
      </c>
      <c r="V17" s="258" t="s">
        <v>132</v>
      </c>
    </row>
    <row r="18" spans="1:22" customHeight="1" ht="15">
      <c r="A18" s="235"/>
      <c r="B18" s="474"/>
      <c r="C18" s="474"/>
      <c r="D18" s="475"/>
      <c r="E18" s="218"/>
      <c r="F18" s="219"/>
      <c r="G18" s="219"/>
      <c r="H18" s="219"/>
      <c r="I18" s="219"/>
      <c r="J18" s="219"/>
      <c r="K18" s="220"/>
      <c r="L18" s="221">
        <f>SUM(E18:K18)</f>
        <v>0</v>
      </c>
      <c r="M18" s="232"/>
      <c r="N18" s="233"/>
      <c r="O18" s="233"/>
      <c r="P18" s="233"/>
      <c r="Q18" s="233"/>
      <c r="R18" s="233"/>
      <c r="S18" s="234"/>
      <c r="T18" s="221">
        <f>SUM(M18:S18)</f>
        <v>0</v>
      </c>
      <c r="U18" s="231">
        <f>SUM(T18,L18)</f>
        <v>0</v>
      </c>
      <c r="V18" s="227" t="b">
        <f>IF(T18&gt;0,T18/U18,)</f>
        <v>0</v>
      </c>
    </row>
    <row r="19" spans="1:22" customHeight="1" ht="15">
      <c r="A19" s="439" t="s">
        <v>160</v>
      </c>
      <c r="B19" s="440"/>
      <c r="C19" s="440"/>
      <c r="D19" s="441"/>
      <c r="E19" s="238">
        <f>SUM(E16:E18)</f>
        <v>3</v>
      </c>
      <c r="F19" s="238">
        <f>SUM(F16:F18)</f>
        <v>2</v>
      </c>
      <c r="G19" s="238">
        <f>SUM(G16:G18)</f>
        <v>1</v>
      </c>
      <c r="H19" s="238">
        <f>SUM(H16:H18)</f>
        <v>0</v>
      </c>
      <c r="I19" s="238">
        <f>SUM(I16:I18)</f>
        <v>0</v>
      </c>
      <c r="J19" s="238">
        <f>SUM(J16:J18)</f>
        <v>0</v>
      </c>
      <c r="K19" s="238">
        <f>SUM(K16:K18)</f>
        <v>0</v>
      </c>
      <c r="L19" s="240">
        <f>SUM(E19:K19)</f>
        <v>6</v>
      </c>
      <c r="M19" s="241">
        <f>SUM(M16:M18)</f>
        <v>0</v>
      </c>
      <c r="N19" s="238">
        <f>SUM(N16:N18)</f>
        <v>0</v>
      </c>
      <c r="O19" s="238">
        <f>SUM(O16:O18)</f>
        <v>0</v>
      </c>
      <c r="P19" s="238">
        <f>SUM(P16:P18)</f>
        <v>0</v>
      </c>
      <c r="Q19" s="238">
        <f>SUM(Q16:Q18)</f>
        <v>0</v>
      </c>
      <c r="R19" s="238">
        <f>SUM(R16:R18)</f>
        <v>0</v>
      </c>
      <c r="S19" s="242">
        <f>SUM(S16:S18)</f>
        <v>0</v>
      </c>
      <c r="T19" s="240">
        <f>SUM(M19:S19)</f>
        <v>0</v>
      </c>
      <c r="U19" s="243">
        <f>SUM(T19,L19)</f>
        <v>6</v>
      </c>
      <c r="V19" s="244" t="b">
        <f>IF(T19&gt;0,T19/U19,)</f>
        <v>0</v>
      </c>
    </row>
    <row r="20" spans="1:22" customHeight="1" ht="18">
      <c r="A20" s="407" t="s">
        <v>161</v>
      </c>
      <c r="B20" s="408"/>
      <c r="C20" s="408"/>
      <c r="D20" s="408"/>
      <c r="E20" s="408"/>
      <c r="F20" s="408"/>
      <c r="G20" s="408"/>
      <c r="H20" s="408"/>
      <c r="I20" s="408"/>
      <c r="J20" s="408"/>
      <c r="K20" s="408"/>
      <c r="L20" s="408"/>
      <c r="M20" s="408"/>
      <c r="N20" s="408"/>
      <c r="O20" s="408"/>
      <c r="P20" s="408"/>
      <c r="Q20" s="408"/>
      <c r="R20" s="408"/>
      <c r="S20" s="408"/>
      <c r="T20" s="408"/>
      <c r="U20" s="408"/>
      <c r="V20" s="409"/>
    </row>
    <row r="21" spans="1:22">
      <c r="A21" s="217" t="s">
        <v>81</v>
      </c>
      <c r="B21" s="472" t="s">
        <v>82</v>
      </c>
      <c r="C21" s="472"/>
      <c r="D21" s="473"/>
      <c r="E21" s="219">
        <v>2</v>
      </c>
      <c r="F21" s="219">
        <v>6</v>
      </c>
      <c r="G21" s="219">
        <v>0</v>
      </c>
      <c r="H21" s="219">
        <v>0</v>
      </c>
      <c r="I21" s="219">
        <v>0</v>
      </c>
      <c r="J21" s="219">
        <v>0</v>
      </c>
      <c r="K21" s="220">
        <v>0</v>
      </c>
      <c r="L21" s="221">
        <v>8</v>
      </c>
      <c r="M21" s="228">
        <v>0</v>
      </c>
      <c r="N21" s="229">
        <v>1</v>
      </c>
      <c r="O21" s="229">
        <v>0</v>
      </c>
      <c r="P21" s="229">
        <v>0</v>
      </c>
      <c r="Q21" s="229">
        <v>0</v>
      </c>
      <c r="R21" s="229">
        <v>0</v>
      </c>
      <c r="S21" s="230">
        <v>0</v>
      </c>
      <c r="T21" s="221">
        <v>1</v>
      </c>
      <c r="U21" s="231">
        <v>9</v>
      </c>
      <c r="V21" s="227" t="s">
        <v>162</v>
      </c>
    </row>
    <row r="22" spans="1:22" customHeight="1" ht="15">
      <c r="A22" s="235"/>
      <c r="B22" s="474"/>
      <c r="C22" s="474"/>
      <c r="D22" s="475"/>
      <c r="E22" s="218"/>
      <c r="F22" s="219"/>
      <c r="G22" s="219"/>
      <c r="H22" s="219"/>
      <c r="I22" s="219"/>
      <c r="J22" s="219"/>
      <c r="K22" s="220"/>
      <c r="L22" s="221">
        <f>SUM(E22:K22)</f>
        <v>0</v>
      </c>
      <c r="M22" s="232"/>
      <c r="N22" s="233"/>
      <c r="O22" s="233"/>
      <c r="P22" s="233"/>
      <c r="Q22" s="233"/>
      <c r="R22" s="233"/>
      <c r="S22" s="234"/>
      <c r="T22" s="221">
        <f>SUM(M22:S22)</f>
        <v>0</v>
      </c>
      <c r="U22" s="231">
        <f>SUM(T22,L22)</f>
        <v>0</v>
      </c>
      <c r="V22" s="227" t="b">
        <f>IF(T22&gt;0,T22/U22,)</f>
        <v>0</v>
      </c>
    </row>
    <row r="23" spans="1:22" customHeight="1" ht="15">
      <c r="A23" s="439" t="s">
        <v>160</v>
      </c>
      <c r="B23" s="440"/>
      <c r="C23" s="440"/>
      <c r="D23" s="441"/>
      <c r="E23" s="238">
        <f>SUM(E21:E22)</f>
        <v>2</v>
      </c>
      <c r="F23" s="238">
        <f>SUM(F21:F22)</f>
        <v>6</v>
      </c>
      <c r="G23" s="238">
        <f>SUM(G21:G22)</f>
        <v>0</v>
      </c>
      <c r="H23" s="238">
        <f>SUM(H21:H22)</f>
        <v>0</v>
      </c>
      <c r="I23" s="238">
        <f>SUM(I21:I22)</f>
        <v>0</v>
      </c>
      <c r="J23" s="238">
        <f>SUM(J21:J22)</f>
        <v>0</v>
      </c>
      <c r="K23" s="238">
        <f>SUM(K21:K22)</f>
        <v>0</v>
      </c>
      <c r="L23" s="240">
        <f>SUM(E23:K23)</f>
        <v>8</v>
      </c>
      <c r="M23" s="249">
        <f>SUM(M21:M22)</f>
        <v>0</v>
      </c>
      <c r="N23" s="249">
        <f>SUM(N21:N22)</f>
        <v>1</v>
      </c>
      <c r="O23" s="249">
        <f>SUM(O21:O22)</f>
        <v>0</v>
      </c>
      <c r="P23" s="249">
        <f>SUM(P21:P22)</f>
        <v>0</v>
      </c>
      <c r="Q23" s="249">
        <f>SUM(Q21:Q22)</f>
        <v>0</v>
      </c>
      <c r="R23" s="249">
        <f>SUM(R21:R22)</f>
        <v>0</v>
      </c>
      <c r="S23" s="249">
        <f>SUM(S21:S22)</f>
        <v>0</v>
      </c>
      <c r="T23" s="240">
        <f>SUM(M23:S23)</f>
        <v>1</v>
      </c>
      <c r="U23" s="243">
        <f>SUM(T23,L23)</f>
        <v>9</v>
      </c>
      <c r="V23" s="244">
        <f>IF(T23&gt;0,T23/U23,)</f>
        <v>0.11111111111111</v>
      </c>
    </row>
    <row r="24" spans="1:22" customHeight="1" ht="18">
      <c r="A24" s="407" t="s">
        <v>163</v>
      </c>
      <c r="B24" s="408"/>
      <c r="C24" s="408"/>
      <c r="D24" s="408"/>
      <c r="E24" s="408"/>
      <c r="F24" s="408"/>
      <c r="G24" s="408"/>
      <c r="H24" s="408"/>
      <c r="I24" s="408"/>
      <c r="J24" s="408"/>
      <c r="K24" s="408"/>
      <c r="L24" s="408"/>
      <c r="M24" s="408"/>
      <c r="N24" s="408"/>
      <c r="O24" s="408"/>
      <c r="P24" s="408"/>
      <c r="Q24" s="408"/>
      <c r="R24" s="408"/>
      <c r="S24" s="408"/>
      <c r="T24" s="408"/>
      <c r="U24" s="408"/>
      <c r="V24" s="409"/>
    </row>
    <row r="25" spans="1:22">
      <c r="A25" s="217"/>
      <c r="B25" s="472"/>
      <c r="C25" s="472"/>
      <c r="D25" s="473"/>
      <c r="E25" s="218"/>
      <c r="F25" s="219"/>
      <c r="G25" s="219"/>
      <c r="H25" s="219"/>
      <c r="I25" s="219"/>
      <c r="J25" s="219"/>
      <c r="K25" s="220"/>
      <c r="L25" s="247">
        <f>SUM(E25:K25)</f>
        <v>0</v>
      </c>
      <c r="M25" s="228"/>
      <c r="N25" s="229"/>
      <c r="O25" s="229"/>
      <c r="P25" s="229"/>
      <c r="Q25" s="229"/>
      <c r="R25" s="229"/>
      <c r="S25" s="230"/>
      <c r="T25" s="221">
        <f>SUM(M25:S25)</f>
        <v>0</v>
      </c>
      <c r="U25" s="231">
        <f>SUM(T25,L25)</f>
        <v>0</v>
      </c>
      <c r="V25" s="227" t="b">
        <f>IF(T25&gt;0,T25/U25,)</f>
        <v>0</v>
      </c>
    </row>
    <row r="26" spans="1:22" customHeight="1" ht="15">
      <c r="A26" s="235"/>
      <c r="B26" s="474"/>
      <c r="C26" s="474"/>
      <c r="D26" s="475"/>
      <c r="E26" s="218"/>
      <c r="F26" s="219"/>
      <c r="G26" s="219"/>
      <c r="H26" s="219"/>
      <c r="I26" s="219"/>
      <c r="J26" s="219"/>
      <c r="K26" s="220"/>
      <c r="L26" s="248">
        <f>SUM(E26:K26)</f>
        <v>0</v>
      </c>
      <c r="M26" s="232"/>
      <c r="N26" s="233"/>
      <c r="O26" s="233"/>
      <c r="P26" s="233"/>
      <c r="Q26" s="233"/>
      <c r="R26" s="233"/>
      <c r="S26" s="234"/>
      <c r="T26" s="221">
        <f>SUM(M26:S26)</f>
        <v>0</v>
      </c>
      <c r="U26" s="231">
        <f>SUM(T26,L26)</f>
        <v>0</v>
      </c>
      <c r="V26" s="227" t="b">
        <f>IF(T26&gt;0,T26/U26,)</f>
        <v>0</v>
      </c>
    </row>
    <row r="27" spans="1:22" customHeight="1" ht="15">
      <c r="A27" s="439" t="s">
        <v>160</v>
      </c>
      <c r="B27" s="440"/>
      <c r="C27" s="440"/>
      <c r="D27" s="441"/>
      <c r="E27" s="238">
        <f>SUM(E25:E26)</f>
        <v>0</v>
      </c>
      <c r="F27" s="238">
        <f>SUM(F25:F26)</f>
        <v>0</v>
      </c>
      <c r="G27" s="238">
        <f>SUM(G25:G26)</f>
        <v>0</v>
      </c>
      <c r="H27" s="238">
        <f>SUM(H25:H26)</f>
        <v>0</v>
      </c>
      <c r="I27" s="238">
        <f>SUM(I25:I26)</f>
        <v>0</v>
      </c>
      <c r="J27" s="238">
        <f>SUM(J25:J26)</f>
        <v>0</v>
      </c>
      <c r="K27" s="242">
        <f>SUM(K25:K26)</f>
        <v>0</v>
      </c>
      <c r="L27" s="240">
        <f>SUM(E27:K27)</f>
        <v>0</v>
      </c>
      <c r="M27" s="249">
        <f>SUM(M25:M26)</f>
        <v>0</v>
      </c>
      <c r="N27" s="238">
        <f>SUM(N25:N26)</f>
        <v>0</v>
      </c>
      <c r="O27" s="238">
        <f>SUM(O25:O26)</f>
        <v>0</v>
      </c>
      <c r="P27" s="238">
        <f>SUM(P25:P26)</f>
        <v>0</v>
      </c>
      <c r="Q27" s="238">
        <f>SUM(Q25:Q26)</f>
        <v>0</v>
      </c>
      <c r="R27" s="238">
        <f>SUM(R25:R26)</f>
        <v>0</v>
      </c>
      <c r="S27" s="238">
        <f>SUM(S25:S26)</f>
        <v>0</v>
      </c>
      <c r="T27" s="240">
        <f>SUM(M27:S27)</f>
        <v>0</v>
      </c>
      <c r="U27" s="243">
        <f>SUM(T27,L27)</f>
        <v>0</v>
      </c>
      <c r="V27" s="244" t="b">
        <f>IF(T27&gt;0,T27/U27,)</f>
        <v>0</v>
      </c>
    </row>
    <row r="28" spans="1:22" customHeight="1" ht="18">
      <c r="A28" s="407" t="s">
        <v>164</v>
      </c>
      <c r="B28" s="408"/>
      <c r="C28" s="408"/>
      <c r="D28" s="408"/>
      <c r="E28" s="408"/>
      <c r="F28" s="408"/>
      <c r="G28" s="408"/>
      <c r="H28" s="408"/>
      <c r="I28" s="408"/>
      <c r="J28" s="408"/>
      <c r="K28" s="408"/>
      <c r="L28" s="408"/>
      <c r="M28" s="408"/>
      <c r="N28" s="408"/>
      <c r="O28" s="408"/>
      <c r="P28" s="408"/>
      <c r="Q28" s="408"/>
      <c r="R28" s="408"/>
      <c r="S28" s="408"/>
      <c r="T28" s="408"/>
      <c r="U28" s="408"/>
      <c r="V28" s="409"/>
    </row>
    <row r="29" spans="1:22">
      <c r="A29" s="217" t="s">
        <v>86</v>
      </c>
      <c r="B29" s="472" t="s">
        <v>87</v>
      </c>
      <c r="C29" s="472"/>
      <c r="D29" s="473"/>
      <c r="E29" s="251">
        <v>1</v>
      </c>
      <c r="F29" s="252">
        <v>2</v>
      </c>
      <c r="G29" s="252">
        <v>0</v>
      </c>
      <c r="H29" s="252">
        <v>0</v>
      </c>
      <c r="I29" s="252">
        <v>0</v>
      </c>
      <c r="J29" s="252">
        <v>0</v>
      </c>
      <c r="K29" s="253">
        <v>0</v>
      </c>
      <c r="L29" s="248">
        <v>3</v>
      </c>
      <c r="M29" s="254">
        <v>0</v>
      </c>
      <c r="N29" s="255">
        <v>1</v>
      </c>
      <c r="O29" s="255">
        <v>0</v>
      </c>
      <c r="P29" s="255">
        <v>0</v>
      </c>
      <c r="Q29" s="255">
        <v>0</v>
      </c>
      <c r="R29" s="255">
        <v>0</v>
      </c>
      <c r="S29" s="256">
        <v>0</v>
      </c>
      <c r="T29" s="248">
        <v>1</v>
      </c>
      <c r="U29" s="257">
        <v>4</v>
      </c>
      <c r="V29" s="258" t="s">
        <v>165</v>
      </c>
    </row>
    <row r="30" spans="1:22">
      <c r="A30" s="217" t="s">
        <v>166</v>
      </c>
      <c r="B30" s="472" t="s">
        <v>167</v>
      </c>
      <c r="C30" s="472"/>
      <c r="D30" s="473"/>
      <c r="E30" s="251">
        <v>0</v>
      </c>
      <c r="F30" s="252">
        <v>0</v>
      </c>
      <c r="G30" s="252">
        <v>1</v>
      </c>
      <c r="H30" s="252">
        <v>0</v>
      </c>
      <c r="I30" s="252">
        <v>0</v>
      </c>
      <c r="J30" s="252">
        <v>0</v>
      </c>
      <c r="K30" s="253">
        <v>0</v>
      </c>
      <c r="L30" s="248">
        <v>1</v>
      </c>
      <c r="M30" s="254">
        <v>0</v>
      </c>
      <c r="N30" s="255">
        <v>0</v>
      </c>
      <c r="O30" s="255">
        <v>0</v>
      </c>
      <c r="P30" s="255">
        <v>0</v>
      </c>
      <c r="Q30" s="255">
        <v>0</v>
      </c>
      <c r="R30" s="255">
        <v>0</v>
      </c>
      <c r="S30" s="256">
        <v>0</v>
      </c>
      <c r="T30" s="248">
        <v>0</v>
      </c>
      <c r="U30" s="257">
        <v>1</v>
      </c>
      <c r="V30" s="258" t="s">
        <v>132</v>
      </c>
    </row>
    <row r="31" spans="1:22" customHeight="1" ht="15">
      <c r="A31" s="235"/>
      <c r="B31" s="474"/>
      <c r="C31" s="474"/>
      <c r="D31" s="475"/>
      <c r="E31" s="251"/>
      <c r="F31" s="252"/>
      <c r="G31" s="252"/>
      <c r="H31" s="252"/>
      <c r="I31" s="252"/>
      <c r="J31" s="252"/>
      <c r="K31" s="253"/>
      <c r="L31" s="248">
        <f>SUM(E31:K31)</f>
        <v>0</v>
      </c>
      <c r="M31" s="228"/>
      <c r="N31" s="229"/>
      <c r="O31" s="229"/>
      <c r="P31" s="229"/>
      <c r="Q31" s="229"/>
      <c r="R31" s="229"/>
      <c r="S31" s="263"/>
      <c r="T31" s="248">
        <f>SUM(M31:S31)</f>
        <v>0</v>
      </c>
      <c r="U31" s="257">
        <f>SUM(T31,L31)</f>
        <v>0</v>
      </c>
      <c r="V31" s="258" t="b">
        <f>IF(T31&gt;0,T31/U31,)</f>
        <v>0</v>
      </c>
    </row>
    <row r="32" spans="1:22" customHeight="1" ht="15">
      <c r="A32" s="236" t="s">
        <v>160</v>
      </c>
      <c r="B32" s="237"/>
      <c r="C32" s="237"/>
      <c r="D32" s="237"/>
      <c r="E32" s="238">
        <f>SUM(E29:E31)</f>
        <v>1</v>
      </c>
      <c r="F32" s="238">
        <f>SUM(F29:F31)</f>
        <v>2</v>
      </c>
      <c r="G32" s="238">
        <f>SUM(G29:G31)</f>
        <v>1</v>
      </c>
      <c r="H32" s="238">
        <f>SUM(H29:H31)</f>
        <v>0</v>
      </c>
      <c r="I32" s="238">
        <f>SUM(I29:I31)</f>
        <v>0</v>
      </c>
      <c r="J32" s="238">
        <f>SUM(J29:J31)</f>
        <v>0</v>
      </c>
      <c r="K32" s="238">
        <f>SUM(K29:K31)</f>
        <v>0</v>
      </c>
      <c r="L32" s="240">
        <f>SUM(E32:K32)</f>
        <v>4</v>
      </c>
      <c r="M32" s="249">
        <f>SUM(M29:M31)</f>
        <v>0</v>
      </c>
      <c r="N32" s="249">
        <f>SUM(N29:N31)</f>
        <v>1</v>
      </c>
      <c r="O32" s="249">
        <f>SUM(O29:O31)</f>
        <v>0</v>
      </c>
      <c r="P32" s="249">
        <f>SUM(P29:P31)</f>
        <v>0</v>
      </c>
      <c r="Q32" s="249">
        <f>SUM(Q29:Q31)</f>
        <v>0</v>
      </c>
      <c r="R32" s="249">
        <f>SUM(R29:R31)</f>
        <v>0</v>
      </c>
      <c r="S32" s="249">
        <f>SUM(S29:S31)</f>
        <v>0</v>
      </c>
      <c r="T32" s="240">
        <f>SUM(M32:S32)</f>
        <v>1</v>
      </c>
      <c r="U32" s="243">
        <f>SUM(T32,L32)</f>
        <v>5</v>
      </c>
      <c r="V32" s="244">
        <f>IF(T32&gt;0,T32/U32,)</f>
        <v>0.2</v>
      </c>
    </row>
    <row r="33" spans="1:22" customHeight="1" ht="18">
      <c r="A33" s="407" t="s">
        <v>168</v>
      </c>
      <c r="B33" s="408"/>
      <c r="C33" s="408"/>
      <c r="D33" s="408"/>
      <c r="E33" s="408"/>
      <c r="F33" s="408"/>
      <c r="G33" s="408"/>
      <c r="H33" s="408"/>
      <c r="I33" s="408"/>
      <c r="J33" s="408"/>
      <c r="K33" s="408"/>
      <c r="L33" s="408"/>
      <c r="M33" s="408"/>
      <c r="N33" s="408"/>
      <c r="O33" s="408"/>
      <c r="P33" s="408"/>
      <c r="Q33" s="408"/>
      <c r="R33" s="408"/>
      <c r="S33" s="408"/>
      <c r="T33" s="408"/>
      <c r="U33" s="408"/>
      <c r="V33" s="409"/>
    </row>
    <row r="34" spans="1:22">
      <c r="A34" s="217" t="s">
        <v>169</v>
      </c>
      <c r="B34" s="472" t="s">
        <v>170</v>
      </c>
      <c r="C34" s="472"/>
      <c r="D34" s="473"/>
      <c r="E34" s="266">
        <v>0</v>
      </c>
      <c r="F34" s="261">
        <v>0</v>
      </c>
      <c r="G34" s="261">
        <v>2</v>
      </c>
      <c r="H34" s="261">
        <v>0</v>
      </c>
      <c r="I34" s="261">
        <v>0</v>
      </c>
      <c r="J34" s="261">
        <v>0</v>
      </c>
      <c r="K34" s="260">
        <v>0</v>
      </c>
      <c r="L34" s="221">
        <v>2</v>
      </c>
      <c r="M34" s="267">
        <v>0</v>
      </c>
      <c r="N34" s="268">
        <v>0</v>
      </c>
      <c r="O34" s="268">
        <v>0</v>
      </c>
      <c r="P34" s="268">
        <v>0</v>
      </c>
      <c r="Q34" s="268">
        <v>0</v>
      </c>
      <c r="R34" s="268">
        <v>0</v>
      </c>
      <c r="S34" s="269">
        <v>0</v>
      </c>
      <c r="T34" s="221">
        <v>0</v>
      </c>
      <c r="U34" s="231">
        <v>2</v>
      </c>
      <c r="V34" s="227" t="s">
        <v>132</v>
      </c>
    </row>
    <row r="35" spans="1:22" customHeight="1" ht="15">
      <c r="A35" s="235"/>
      <c r="B35" s="474"/>
      <c r="C35" s="474"/>
      <c r="D35" s="475"/>
      <c r="E35" s="266"/>
      <c r="F35" s="261"/>
      <c r="G35" s="261"/>
      <c r="H35" s="261"/>
      <c r="I35" s="261"/>
      <c r="J35" s="261"/>
      <c r="K35" s="260"/>
      <c r="L35" s="221">
        <f>SUM(E35:K35)</f>
        <v>0</v>
      </c>
      <c r="M35" s="267"/>
      <c r="N35" s="268"/>
      <c r="O35" s="268"/>
      <c r="P35" s="268"/>
      <c r="Q35" s="268"/>
      <c r="R35" s="268"/>
      <c r="S35" s="269"/>
      <c r="T35" s="221">
        <f>SUM(M35:S35)</f>
        <v>0</v>
      </c>
      <c r="U35" s="231">
        <f>SUM(T35,L35)</f>
        <v>0</v>
      </c>
      <c r="V35" s="227" t="b">
        <f>IF(T35&gt;0,T35/U35,)</f>
        <v>0</v>
      </c>
    </row>
    <row r="36" spans="1:22" customHeight="1" ht="15">
      <c r="A36" s="439" t="s">
        <v>160</v>
      </c>
      <c r="B36" s="440"/>
      <c r="C36" s="440"/>
      <c r="D36" s="441"/>
      <c r="E36" s="238">
        <f>SUM(E34:E35)</f>
        <v>0</v>
      </c>
      <c r="F36" s="238">
        <f>SUM(F34:F35)</f>
        <v>0</v>
      </c>
      <c r="G36" s="238">
        <f>SUM(G34:G35)</f>
        <v>2</v>
      </c>
      <c r="H36" s="238">
        <f>SUM(H34:H35)</f>
        <v>0</v>
      </c>
      <c r="I36" s="238">
        <f>SUM(I34:I35)</f>
        <v>0</v>
      </c>
      <c r="J36" s="238">
        <f>SUM(J34:J35)</f>
        <v>0</v>
      </c>
      <c r="K36" s="242">
        <f>SUM(K34:K35)</f>
        <v>0</v>
      </c>
      <c r="L36" s="240">
        <f>SUM(E36:K36)</f>
        <v>2</v>
      </c>
      <c r="M36" s="238">
        <f>SUM(M34:M35)</f>
        <v>0</v>
      </c>
      <c r="N36" s="238">
        <f>SUM(N34:N35)</f>
        <v>0</v>
      </c>
      <c r="O36" s="238">
        <f>SUM(O34:O35)</f>
        <v>0</v>
      </c>
      <c r="P36" s="238">
        <f>SUM(P34:P35)</f>
        <v>0</v>
      </c>
      <c r="Q36" s="238">
        <f>SUM(Q34:Q35)</f>
        <v>0</v>
      </c>
      <c r="R36" s="238">
        <f>SUM(R34:R35)</f>
        <v>0</v>
      </c>
      <c r="S36" s="242">
        <f>SUM(S34:S35)</f>
        <v>0</v>
      </c>
      <c r="T36" s="240">
        <f>SUM(M36:S36)</f>
        <v>0</v>
      </c>
      <c r="U36" s="243">
        <f>SUM(T36,L36)</f>
        <v>2</v>
      </c>
      <c r="V36" s="244" t="b">
        <f>IF(T36&gt;0,T36/U36,)</f>
        <v>0</v>
      </c>
    </row>
    <row r="37" spans="1:22" customHeight="1" ht="18">
      <c r="A37" s="407" t="s">
        <v>171</v>
      </c>
      <c r="B37" s="408"/>
      <c r="C37" s="408"/>
      <c r="D37" s="408"/>
      <c r="E37" s="408"/>
      <c r="F37" s="408"/>
      <c r="G37" s="408"/>
      <c r="H37" s="408"/>
      <c r="I37" s="408"/>
      <c r="J37" s="408"/>
      <c r="K37" s="408"/>
      <c r="L37" s="408"/>
      <c r="M37" s="408"/>
      <c r="N37" s="408"/>
      <c r="O37" s="408"/>
      <c r="P37" s="408"/>
      <c r="Q37" s="408"/>
      <c r="R37" s="408"/>
      <c r="S37" s="408"/>
      <c r="T37" s="408"/>
      <c r="U37" s="408"/>
      <c r="V37" s="409"/>
    </row>
    <row r="38" spans="1:22">
      <c r="A38" s="217" t="s">
        <v>172</v>
      </c>
      <c r="B38" s="472" t="s">
        <v>173</v>
      </c>
      <c r="C38" s="472"/>
      <c r="D38" s="473"/>
      <c r="E38" s="266">
        <v>1</v>
      </c>
      <c r="F38" s="261">
        <v>0</v>
      </c>
      <c r="G38" s="261">
        <v>0</v>
      </c>
      <c r="H38" s="261">
        <v>0</v>
      </c>
      <c r="I38" s="261">
        <v>0</v>
      </c>
      <c r="J38" s="261">
        <v>0</v>
      </c>
      <c r="K38" s="260">
        <v>0</v>
      </c>
      <c r="L38" s="221">
        <v>1</v>
      </c>
      <c r="M38" s="267">
        <v>1</v>
      </c>
      <c r="N38" s="268">
        <v>0</v>
      </c>
      <c r="O38" s="268">
        <v>1</v>
      </c>
      <c r="P38" s="268">
        <v>0</v>
      </c>
      <c r="Q38" s="268">
        <v>0</v>
      </c>
      <c r="R38" s="268">
        <v>0</v>
      </c>
      <c r="S38" s="269">
        <v>0</v>
      </c>
      <c r="T38" s="221">
        <v>2</v>
      </c>
      <c r="U38" s="231">
        <v>3</v>
      </c>
      <c r="V38" s="227" t="s">
        <v>174</v>
      </c>
    </row>
    <row r="39" spans="1:22">
      <c r="A39" s="217" t="s">
        <v>175</v>
      </c>
      <c r="B39" s="472" t="s">
        <v>176</v>
      </c>
      <c r="C39" s="472"/>
      <c r="D39" s="473"/>
      <c r="E39" s="266">
        <v>0</v>
      </c>
      <c r="F39" s="261">
        <v>0</v>
      </c>
      <c r="G39" s="261">
        <v>1</v>
      </c>
      <c r="H39" s="261">
        <v>0</v>
      </c>
      <c r="I39" s="261">
        <v>0</v>
      </c>
      <c r="J39" s="261">
        <v>0</v>
      </c>
      <c r="K39" s="260">
        <v>0</v>
      </c>
      <c r="L39" s="221">
        <v>1</v>
      </c>
      <c r="M39" s="267">
        <v>0</v>
      </c>
      <c r="N39" s="268">
        <v>0</v>
      </c>
      <c r="O39" s="268">
        <v>0</v>
      </c>
      <c r="P39" s="268">
        <v>0</v>
      </c>
      <c r="Q39" s="268">
        <v>0</v>
      </c>
      <c r="R39" s="268">
        <v>0</v>
      </c>
      <c r="S39" s="269">
        <v>0</v>
      </c>
      <c r="T39" s="221">
        <v>0</v>
      </c>
      <c r="U39" s="231">
        <v>1</v>
      </c>
      <c r="V39" s="227" t="s">
        <v>132</v>
      </c>
    </row>
    <row r="40" spans="1:22" customHeight="1" ht="15">
      <c r="A40" s="235"/>
      <c r="B40" s="474"/>
      <c r="C40" s="474"/>
      <c r="D40" s="475"/>
      <c r="E40" s="266"/>
      <c r="F40" s="261"/>
      <c r="G40" s="261"/>
      <c r="H40" s="261"/>
      <c r="I40" s="261"/>
      <c r="J40" s="261"/>
      <c r="K40" s="260"/>
      <c r="L40" s="221">
        <f>SUM(E40:K40)</f>
        <v>0</v>
      </c>
      <c r="M40" s="267"/>
      <c r="N40" s="268"/>
      <c r="O40" s="268"/>
      <c r="P40" s="268"/>
      <c r="Q40" s="268"/>
      <c r="R40" s="268"/>
      <c r="S40" s="269"/>
      <c r="T40" s="221">
        <f>SUM(M40:S40)</f>
        <v>0</v>
      </c>
      <c r="U40" s="231">
        <f>SUM(T40,L40)</f>
        <v>0</v>
      </c>
      <c r="V40" s="227" t="b">
        <f>IF(T40&gt;0,T40/U40,)</f>
        <v>0</v>
      </c>
    </row>
    <row r="41" spans="1:22" customHeight="1" ht="15">
      <c r="A41" s="412" t="s">
        <v>160</v>
      </c>
      <c r="B41" s="413"/>
      <c r="C41" s="413"/>
      <c r="D41" s="414"/>
      <c r="E41" s="238">
        <f>SUM(E38:E40)</f>
        <v>1</v>
      </c>
      <c r="F41" s="238">
        <f>SUM(F38:F40)</f>
        <v>0</v>
      </c>
      <c r="G41" s="238">
        <f>SUM(G38:G40)</f>
        <v>1</v>
      </c>
      <c r="H41" s="238">
        <f>SUM(H38:H40)</f>
        <v>0</v>
      </c>
      <c r="I41" s="238">
        <f>SUM(I38:I40)</f>
        <v>0</v>
      </c>
      <c r="J41" s="238">
        <f>SUM(J38:J40)</f>
        <v>0</v>
      </c>
      <c r="K41" s="242">
        <f>SUM(K38:K40)</f>
        <v>0</v>
      </c>
      <c r="L41" s="240">
        <f>SUM(E41:K41)</f>
        <v>2</v>
      </c>
      <c r="M41" s="241">
        <f>SUM(M38:M40)</f>
        <v>1</v>
      </c>
      <c r="N41" s="238">
        <f>SUM(N38:N40)</f>
        <v>0</v>
      </c>
      <c r="O41" s="238">
        <f>SUM(O38:O40)</f>
        <v>1</v>
      </c>
      <c r="P41" s="238">
        <f>SUM(P38:P40)</f>
        <v>0</v>
      </c>
      <c r="Q41" s="238">
        <f>SUM(Q38:Q40)</f>
        <v>0</v>
      </c>
      <c r="R41" s="238">
        <f>SUM(R38:R40)</f>
        <v>0</v>
      </c>
      <c r="S41" s="242">
        <f>SUM(S38:S40)</f>
        <v>0</v>
      </c>
      <c r="T41" s="240">
        <f>SUM(M41:S41)</f>
        <v>2</v>
      </c>
      <c r="U41" s="243">
        <f>SUM(T41,L41)</f>
        <v>4</v>
      </c>
      <c r="V41" s="244">
        <f>IF(T41&gt;0,T41/U41,)</f>
        <v>0.5</v>
      </c>
    </row>
    <row r="42" spans="1:22" customHeight="1" ht="18">
      <c r="A42" s="407" t="s">
        <v>177</v>
      </c>
      <c r="B42" s="408"/>
      <c r="C42" s="408"/>
      <c r="D42" s="408"/>
      <c r="E42" s="408"/>
      <c r="F42" s="408"/>
      <c r="G42" s="408"/>
      <c r="H42" s="408"/>
      <c r="I42" s="408"/>
      <c r="J42" s="408"/>
      <c r="K42" s="408"/>
      <c r="L42" s="408"/>
      <c r="M42" s="408"/>
      <c r="N42" s="408"/>
      <c r="O42" s="408"/>
      <c r="P42" s="408"/>
      <c r="Q42" s="408"/>
      <c r="R42" s="408"/>
      <c r="S42" s="408"/>
      <c r="T42" s="408"/>
      <c r="U42" s="408"/>
      <c r="V42" s="409"/>
    </row>
    <row r="43" spans="1:22">
      <c r="A43" s="217" t="s">
        <v>178</v>
      </c>
      <c r="B43" s="472" t="s">
        <v>179</v>
      </c>
      <c r="C43" s="472"/>
      <c r="D43" s="473"/>
      <c r="E43" s="273">
        <v>0</v>
      </c>
      <c r="F43" s="274">
        <v>0</v>
      </c>
      <c r="G43" s="275">
        <v>0</v>
      </c>
      <c r="H43" s="274">
        <v>0</v>
      </c>
      <c r="I43" s="274">
        <v>0</v>
      </c>
      <c r="J43" s="275">
        <v>0</v>
      </c>
      <c r="K43" s="133">
        <v>0</v>
      </c>
      <c r="L43" s="225">
        <v>0</v>
      </c>
      <c r="M43" s="222">
        <v>0</v>
      </c>
      <c r="N43" s="223">
        <v>0</v>
      </c>
      <c r="O43" s="223">
        <v>2</v>
      </c>
      <c r="P43" s="223">
        <v>0</v>
      </c>
      <c r="Q43" s="223">
        <v>0</v>
      </c>
      <c r="R43" s="223">
        <v>0</v>
      </c>
      <c r="S43" s="224">
        <v>0</v>
      </c>
      <c r="T43" s="225">
        <v>2</v>
      </c>
      <c r="U43" s="226">
        <v>2</v>
      </c>
      <c r="V43" s="245" t="s">
        <v>180</v>
      </c>
    </row>
    <row r="44" spans="1:22" customHeight="1" ht="15">
      <c r="A44" s="235"/>
      <c r="B44" s="474"/>
      <c r="C44" s="474"/>
      <c r="D44" s="475"/>
      <c r="E44" s="273"/>
      <c r="F44" s="274"/>
      <c r="G44" s="275"/>
      <c r="H44" s="274"/>
      <c r="I44" s="274"/>
      <c r="J44" s="275"/>
      <c r="K44" s="133"/>
      <c r="L44" s="248">
        <f>SUM(E44:K44)</f>
        <v>0</v>
      </c>
      <c r="M44" s="228"/>
      <c r="N44" s="229"/>
      <c r="O44" s="229"/>
      <c r="P44" s="229"/>
      <c r="Q44" s="229"/>
      <c r="R44" s="229"/>
      <c r="S44" s="230"/>
      <c r="T44" s="248">
        <f>SUM(M44:S44)</f>
        <v>0</v>
      </c>
      <c r="U44" s="257">
        <f>SUM(T44,L44)</f>
        <v>0</v>
      </c>
      <c r="V44" s="258" t="b">
        <f>IF(T44&gt;0,T44/U44,)</f>
        <v>0</v>
      </c>
    </row>
    <row r="45" spans="1:22" customHeight="1" ht="15">
      <c r="A45" s="236" t="s">
        <v>160</v>
      </c>
      <c r="B45" s="237"/>
      <c r="C45" s="237"/>
      <c r="D45" s="237"/>
      <c r="E45" s="238">
        <f>SUM(E43:E44)</f>
        <v>0</v>
      </c>
      <c r="F45" s="238">
        <f>SUM(F43:F44)</f>
        <v>0</v>
      </c>
      <c r="G45" s="238">
        <f>SUM(G43:G44)</f>
        <v>0</v>
      </c>
      <c r="H45" s="238">
        <f>SUM(H43:H44)</f>
        <v>0</v>
      </c>
      <c r="I45" s="238">
        <f>SUM(I43:I44)</f>
        <v>0</v>
      </c>
      <c r="J45" s="238">
        <f>SUM(J43:J44)</f>
        <v>0</v>
      </c>
      <c r="K45" s="238">
        <f>SUM(K43:K44)</f>
        <v>0</v>
      </c>
      <c r="L45" s="240">
        <f>SUM(E45:K45)</f>
        <v>0</v>
      </c>
      <c r="M45" s="314">
        <f>SUM(M43:M44)</f>
        <v>0</v>
      </c>
      <c r="N45" s="314">
        <f>SUM(N43:N44)</f>
        <v>0</v>
      </c>
      <c r="O45" s="314">
        <f>SUM(O43:O44)</f>
        <v>2</v>
      </c>
      <c r="P45" s="314">
        <f>SUM(P43:P44)</f>
        <v>0</v>
      </c>
      <c r="Q45" s="314">
        <f>SUM(Q43:Q44)</f>
        <v>0</v>
      </c>
      <c r="R45" s="314">
        <f>SUM(R43:R44)</f>
        <v>0</v>
      </c>
      <c r="S45" s="314">
        <f>SUM(S43:S44)</f>
        <v>0</v>
      </c>
      <c r="T45" s="240">
        <f>SUM(M45:S45)</f>
        <v>2</v>
      </c>
      <c r="U45" s="243">
        <f>SUM(T45,L45)</f>
        <v>2</v>
      </c>
      <c r="V45" s="244">
        <f>IF(T45&gt;0,T45/U45,)</f>
        <v>1</v>
      </c>
    </row>
    <row r="46" spans="1:22" customHeight="1" ht="18">
      <c r="A46" s="407" t="s">
        <v>181</v>
      </c>
      <c r="B46" s="408"/>
      <c r="C46" s="408"/>
      <c r="D46" s="408"/>
      <c r="E46" s="408"/>
      <c r="F46" s="408"/>
      <c r="G46" s="408"/>
      <c r="H46" s="408"/>
      <c r="I46" s="408"/>
      <c r="J46" s="408"/>
      <c r="K46" s="408"/>
      <c r="L46" s="408"/>
      <c r="M46" s="408"/>
      <c r="N46" s="408"/>
      <c r="O46" s="408"/>
      <c r="P46" s="408"/>
      <c r="Q46" s="408"/>
      <c r="R46" s="408"/>
      <c r="S46" s="408"/>
      <c r="T46" s="408"/>
      <c r="U46" s="408"/>
      <c r="V46" s="409"/>
    </row>
    <row r="47" spans="1:22">
      <c r="A47" s="276" t="s">
        <v>182</v>
      </c>
      <c r="B47" s="437" t="s">
        <v>183</v>
      </c>
      <c r="C47" s="437"/>
      <c r="D47" s="438"/>
      <c r="E47" s="251">
        <v>0</v>
      </c>
      <c r="F47" s="252">
        <v>0</v>
      </c>
      <c r="G47" s="252">
        <v>1</v>
      </c>
      <c r="H47" s="252">
        <v>0</v>
      </c>
      <c r="I47" s="252">
        <v>0</v>
      </c>
      <c r="J47" s="252">
        <v>0</v>
      </c>
      <c r="K47" s="253">
        <v>0</v>
      </c>
      <c r="L47" s="221">
        <v>1</v>
      </c>
      <c r="M47" s="232">
        <v>0</v>
      </c>
      <c r="N47" s="233">
        <v>0</v>
      </c>
      <c r="O47" s="233">
        <v>0</v>
      </c>
      <c r="P47" s="233">
        <v>0</v>
      </c>
      <c r="Q47" s="233">
        <v>0</v>
      </c>
      <c r="R47" s="233">
        <v>0</v>
      </c>
      <c r="S47" s="234">
        <v>0</v>
      </c>
      <c r="T47" s="221">
        <v>0</v>
      </c>
      <c r="U47" s="231">
        <v>1</v>
      </c>
      <c r="V47" s="227" t="s">
        <v>132</v>
      </c>
    </row>
    <row r="48" spans="1:22" customHeight="1" ht="15">
      <c r="A48" s="276"/>
      <c r="B48" s="437"/>
      <c r="C48" s="437"/>
      <c r="D48" s="438"/>
      <c r="E48" s="251"/>
      <c r="F48" s="252"/>
      <c r="G48" s="252"/>
      <c r="H48" s="252"/>
      <c r="I48" s="252"/>
      <c r="J48" s="252"/>
      <c r="K48" s="253"/>
      <c r="L48" s="221">
        <f>SUM(E48:K48)</f>
        <v>0</v>
      </c>
      <c r="M48" s="232"/>
      <c r="N48" s="233"/>
      <c r="O48" s="233"/>
      <c r="P48" s="233"/>
      <c r="Q48" s="233"/>
      <c r="R48" s="233"/>
      <c r="S48" s="234"/>
      <c r="T48" s="221">
        <f>SUM(M48:S48)</f>
        <v>0</v>
      </c>
      <c r="U48" s="231">
        <f>SUM(T48,L48)</f>
        <v>0</v>
      </c>
      <c r="V48" s="227" t="b">
        <f>IF(T48&gt;0,T48/U48,)</f>
        <v>0</v>
      </c>
    </row>
    <row r="49" spans="1:22" customHeight="1" ht="15">
      <c r="A49" s="439" t="s">
        <v>160</v>
      </c>
      <c r="B49" s="440"/>
      <c r="C49" s="440"/>
      <c r="D49" s="441"/>
      <c r="E49" s="238">
        <f>SUM(E47:E48)</f>
        <v>0</v>
      </c>
      <c r="F49" s="238">
        <f>SUM(F47:F48)</f>
        <v>0</v>
      </c>
      <c r="G49" s="238">
        <f>SUM(G47:G48)</f>
        <v>1</v>
      </c>
      <c r="H49" s="238">
        <f>SUM(H47:H48)</f>
        <v>0</v>
      </c>
      <c r="I49" s="238">
        <f>SUM(I47:I48)</f>
        <v>0</v>
      </c>
      <c r="J49" s="238">
        <f>SUM(J47:J48)</f>
        <v>0</v>
      </c>
      <c r="K49" s="238">
        <f>SUM(K47:K48)</f>
        <v>0</v>
      </c>
      <c r="L49" s="240">
        <f>SUM(E49:K49)</f>
        <v>1</v>
      </c>
      <c r="M49" s="238">
        <f>SUM(M47:M48)</f>
        <v>0</v>
      </c>
      <c r="N49" s="238">
        <f>SUM(N47:N48)</f>
        <v>0</v>
      </c>
      <c r="O49" s="238">
        <f>SUM(O47:O48)</f>
        <v>0</v>
      </c>
      <c r="P49" s="238">
        <f>SUM(P47:P48)</f>
        <v>0</v>
      </c>
      <c r="Q49" s="238">
        <f>SUM(Q47:Q48)</f>
        <v>0</v>
      </c>
      <c r="R49" s="238">
        <f>SUM(R47:R48)</f>
        <v>0</v>
      </c>
      <c r="S49" s="238">
        <f>SUM(S47:S48)</f>
        <v>0</v>
      </c>
      <c r="T49" s="240">
        <f>SUM(M49:S49)</f>
        <v>0</v>
      </c>
      <c r="U49" s="243">
        <f>SUM(T49,L49)</f>
        <v>1</v>
      </c>
      <c r="V49" s="244" t="b">
        <f>IF(T49&gt;0,T49/U49,)</f>
        <v>0</v>
      </c>
    </row>
    <row r="50" spans="1:22" customHeight="1" ht="18">
      <c r="A50" s="407" t="s">
        <v>184</v>
      </c>
      <c r="B50" s="408"/>
      <c r="C50" s="408"/>
      <c r="D50" s="408"/>
      <c r="E50" s="408"/>
      <c r="F50" s="408"/>
      <c r="G50" s="408"/>
      <c r="H50" s="408"/>
      <c r="I50" s="408"/>
      <c r="J50" s="408"/>
      <c r="K50" s="408"/>
      <c r="L50" s="408"/>
      <c r="M50" s="408"/>
      <c r="N50" s="408"/>
      <c r="O50" s="408"/>
      <c r="P50" s="408"/>
      <c r="Q50" s="408"/>
      <c r="R50" s="408"/>
      <c r="S50" s="408"/>
      <c r="T50" s="408"/>
      <c r="U50" s="408"/>
      <c r="V50" s="409"/>
    </row>
    <row r="51" spans="1:22">
      <c r="A51" s="276" t="s">
        <v>76</v>
      </c>
      <c r="B51" s="437" t="s">
        <v>77</v>
      </c>
      <c r="C51" s="437"/>
      <c r="D51" s="438"/>
      <c r="E51" s="251">
        <v>3</v>
      </c>
      <c r="F51" s="252">
        <v>3</v>
      </c>
      <c r="G51" s="252">
        <v>0</v>
      </c>
      <c r="H51" s="252">
        <v>0</v>
      </c>
      <c r="I51" s="252">
        <v>0</v>
      </c>
      <c r="J51" s="252">
        <v>0</v>
      </c>
      <c r="K51" s="253">
        <v>0</v>
      </c>
      <c r="L51" s="221">
        <v>6</v>
      </c>
      <c r="M51" s="232">
        <v>1</v>
      </c>
      <c r="N51" s="233">
        <v>0</v>
      </c>
      <c r="O51" s="233">
        <v>0</v>
      </c>
      <c r="P51" s="233">
        <v>0</v>
      </c>
      <c r="Q51" s="233">
        <v>0</v>
      </c>
      <c r="R51" s="233">
        <v>0</v>
      </c>
      <c r="S51" s="234">
        <v>0</v>
      </c>
      <c r="T51" s="221">
        <v>1</v>
      </c>
      <c r="U51" s="231">
        <v>7</v>
      </c>
      <c r="V51" s="227" t="s">
        <v>185</v>
      </c>
    </row>
    <row r="52" spans="1:22" customHeight="1" ht="15">
      <c r="A52" s="276"/>
      <c r="B52" s="437"/>
      <c r="C52" s="437"/>
      <c r="D52" s="438"/>
      <c r="E52" s="251"/>
      <c r="F52" s="252"/>
      <c r="G52" s="252"/>
      <c r="H52" s="252"/>
      <c r="I52" s="252"/>
      <c r="J52" s="252"/>
      <c r="K52" s="253"/>
      <c r="L52" s="221">
        <f>SUM(E52:K52)</f>
        <v>0</v>
      </c>
      <c r="M52" s="232"/>
      <c r="N52" s="233"/>
      <c r="O52" s="233"/>
      <c r="P52" s="233"/>
      <c r="Q52" s="233"/>
      <c r="R52" s="233"/>
      <c r="S52" s="234"/>
      <c r="T52" s="221">
        <f>SUM(M52:S52)</f>
        <v>0</v>
      </c>
      <c r="U52" s="231">
        <f>SUM(T52,L52)</f>
        <v>0</v>
      </c>
      <c r="V52" s="227" t="b">
        <f>IF(T52&gt;0,T52/U52,)</f>
        <v>0</v>
      </c>
    </row>
    <row r="53" spans="1:22" customHeight="1" ht="15">
      <c r="A53" s="236" t="s">
        <v>160</v>
      </c>
      <c r="B53" s="237"/>
      <c r="C53" s="237"/>
      <c r="D53" s="237"/>
      <c r="E53" s="238">
        <f>SUM(E51:E52)</f>
        <v>3</v>
      </c>
      <c r="F53" s="238">
        <f>SUM(F51:F52)</f>
        <v>3</v>
      </c>
      <c r="G53" s="238">
        <f>SUM(G51:G52)</f>
        <v>0</v>
      </c>
      <c r="H53" s="238">
        <f>SUM(H51:H52)</f>
        <v>0</v>
      </c>
      <c r="I53" s="238">
        <f>SUM(I51:I52)</f>
        <v>0</v>
      </c>
      <c r="J53" s="238">
        <f>SUM(J51:J52)</f>
        <v>0</v>
      </c>
      <c r="K53" s="238">
        <f>SUM(K51:K52)</f>
        <v>0</v>
      </c>
      <c r="L53" s="240">
        <f>SUM(E53:K53)</f>
        <v>6</v>
      </c>
      <c r="M53" s="314">
        <f>SUM(M51:M52)</f>
        <v>1</v>
      </c>
      <c r="N53" s="314">
        <f>SUM(N51:N52)</f>
        <v>0</v>
      </c>
      <c r="O53" s="314">
        <f>SUM(O51:O52)</f>
        <v>0</v>
      </c>
      <c r="P53" s="314">
        <f>SUM(P51:P52)</f>
        <v>0</v>
      </c>
      <c r="Q53" s="314">
        <f>SUM(Q51:Q52)</f>
        <v>0</v>
      </c>
      <c r="R53" s="314">
        <f>SUM(R51:R52)</f>
        <v>0</v>
      </c>
      <c r="S53" s="314">
        <f>SUM(S51:S52)</f>
        <v>0</v>
      </c>
      <c r="T53" s="240">
        <f>SUM(M53:S53)</f>
        <v>1</v>
      </c>
      <c r="U53" s="243">
        <f>SUM(T53,L53)</f>
        <v>7</v>
      </c>
      <c r="V53" s="244">
        <f>IF(T53&gt;0,T53/U53,)</f>
        <v>0.14285714285714</v>
      </c>
    </row>
    <row r="54" spans="1:22" customHeight="1" ht="18">
      <c r="A54" s="407" t="s">
        <v>186</v>
      </c>
      <c r="B54" s="408"/>
      <c r="C54" s="408"/>
      <c r="D54" s="408"/>
      <c r="E54" s="408"/>
      <c r="F54" s="408"/>
      <c r="G54" s="408"/>
      <c r="H54" s="408"/>
      <c r="I54" s="408"/>
      <c r="J54" s="408"/>
      <c r="K54" s="408"/>
      <c r="L54" s="408"/>
      <c r="M54" s="408"/>
      <c r="N54" s="408"/>
      <c r="O54" s="408"/>
      <c r="P54" s="408"/>
      <c r="Q54" s="408"/>
      <c r="R54" s="408"/>
      <c r="S54" s="408"/>
      <c r="T54" s="408"/>
      <c r="U54" s="408"/>
      <c r="V54" s="409"/>
    </row>
    <row r="55" spans="1:22">
      <c r="A55" s="276" t="s">
        <v>187</v>
      </c>
      <c r="B55" s="437" t="s">
        <v>188</v>
      </c>
      <c r="C55" s="437"/>
      <c r="D55" s="438"/>
      <c r="E55" s="251">
        <v>1</v>
      </c>
      <c r="F55" s="252">
        <v>0</v>
      </c>
      <c r="G55" s="252">
        <v>0</v>
      </c>
      <c r="H55" s="252">
        <v>0</v>
      </c>
      <c r="I55" s="252">
        <v>0</v>
      </c>
      <c r="J55" s="252">
        <v>0</v>
      </c>
      <c r="K55" s="253">
        <v>0</v>
      </c>
      <c r="L55" s="221">
        <v>1</v>
      </c>
      <c r="M55" s="232">
        <v>0</v>
      </c>
      <c r="N55" s="233">
        <v>0</v>
      </c>
      <c r="O55" s="233">
        <v>1</v>
      </c>
      <c r="P55" s="233">
        <v>0</v>
      </c>
      <c r="Q55" s="233">
        <v>0</v>
      </c>
      <c r="R55" s="233">
        <v>0</v>
      </c>
      <c r="S55" s="234">
        <v>0</v>
      </c>
      <c r="T55" s="221">
        <v>1</v>
      </c>
      <c r="U55" s="231">
        <v>2</v>
      </c>
      <c r="V55" s="227" t="s">
        <v>189</v>
      </c>
    </row>
    <row r="56" spans="1:22" customHeight="1" ht="15">
      <c r="A56" s="276"/>
      <c r="B56" s="437"/>
      <c r="C56" s="437"/>
      <c r="D56" s="438"/>
      <c r="E56" s="251"/>
      <c r="F56" s="252"/>
      <c r="G56" s="252"/>
      <c r="H56" s="252"/>
      <c r="I56" s="252"/>
      <c r="J56" s="252"/>
      <c r="K56" s="253"/>
      <c r="L56" s="221">
        <f>SUM(E56:K56)</f>
        <v>0</v>
      </c>
      <c r="M56" s="232"/>
      <c r="N56" s="233"/>
      <c r="O56" s="233"/>
      <c r="P56" s="233"/>
      <c r="Q56" s="233"/>
      <c r="R56" s="233"/>
      <c r="S56" s="234"/>
      <c r="T56" s="221">
        <f>SUM(M56:S56)</f>
        <v>0</v>
      </c>
      <c r="U56" s="231">
        <f>SUM(T56,L56)</f>
        <v>0</v>
      </c>
      <c r="V56" s="227" t="b">
        <f>IF(T56&gt;0,T56/U56,)</f>
        <v>0</v>
      </c>
    </row>
    <row r="57" spans="1:22" customHeight="1" ht="15">
      <c r="A57" s="236" t="s">
        <v>160</v>
      </c>
      <c r="B57" s="237"/>
      <c r="C57" s="237"/>
      <c r="D57" s="237"/>
      <c r="E57" s="238">
        <f>SUM(E55:E56)</f>
        <v>1</v>
      </c>
      <c r="F57" s="238">
        <f>SUM(F55:F56)</f>
        <v>0</v>
      </c>
      <c r="G57" s="238">
        <f>SUM(G55:G56)</f>
        <v>0</v>
      </c>
      <c r="H57" s="238">
        <f>SUM(H55:H56)</f>
        <v>0</v>
      </c>
      <c r="I57" s="238">
        <f>SUM(I55:I56)</f>
        <v>0</v>
      </c>
      <c r="J57" s="238">
        <f>SUM(J55:J56)</f>
        <v>0</v>
      </c>
      <c r="K57" s="238">
        <f>SUM(K55:K56)</f>
        <v>0</v>
      </c>
      <c r="L57" s="240">
        <f>SUM(E57:K57)</f>
        <v>1</v>
      </c>
      <c r="M57" s="314">
        <f>SUM(M55:M56)</f>
        <v>0</v>
      </c>
      <c r="N57" s="314">
        <f>SUM(N55:N56)</f>
        <v>0</v>
      </c>
      <c r="O57" s="314">
        <f>SUM(O55:O56)</f>
        <v>1</v>
      </c>
      <c r="P57" s="314">
        <f>SUM(P55:P56)</f>
        <v>0</v>
      </c>
      <c r="Q57" s="314">
        <f>SUM(Q55:Q56)</f>
        <v>0</v>
      </c>
      <c r="R57" s="314">
        <f>SUM(R55:R56)</f>
        <v>0</v>
      </c>
      <c r="S57" s="314">
        <f>SUM(S55:S56)</f>
        <v>0</v>
      </c>
      <c r="T57" s="240">
        <f>SUM(M57:S57)</f>
        <v>1</v>
      </c>
      <c r="U57" s="243">
        <f>SUM(T57,L57)</f>
        <v>2</v>
      </c>
      <c r="V57" s="244">
        <f>IF(T57&gt;0,T57/U57,)</f>
        <v>0.5</v>
      </c>
    </row>
    <row r="58" spans="1:22" customHeight="1" ht="18">
      <c r="A58" s="407" t="s">
        <v>190</v>
      </c>
      <c r="B58" s="408"/>
      <c r="C58" s="408"/>
      <c r="D58" s="408"/>
      <c r="E58" s="408"/>
      <c r="F58" s="408"/>
      <c r="G58" s="408"/>
      <c r="H58" s="408"/>
      <c r="I58" s="408"/>
      <c r="J58" s="408"/>
      <c r="K58" s="408"/>
      <c r="L58" s="408"/>
      <c r="M58" s="408"/>
      <c r="N58" s="408"/>
      <c r="O58" s="408"/>
      <c r="P58" s="408"/>
      <c r="Q58" s="408"/>
      <c r="R58" s="408"/>
      <c r="S58" s="408"/>
      <c r="T58" s="408"/>
      <c r="U58" s="408"/>
      <c r="V58" s="409"/>
    </row>
    <row r="59" spans="1:22">
      <c r="A59" s="276"/>
      <c r="B59" s="437"/>
      <c r="C59" s="437"/>
      <c r="D59" s="438"/>
      <c r="E59" s="251"/>
      <c r="F59" s="252"/>
      <c r="G59" s="252"/>
      <c r="H59" s="252"/>
      <c r="I59" s="252"/>
      <c r="J59" s="252"/>
      <c r="K59" s="253"/>
      <c r="L59" s="221">
        <f>SUM(E59:K59)</f>
        <v>0</v>
      </c>
      <c r="M59" s="232"/>
      <c r="N59" s="233"/>
      <c r="O59" s="233"/>
      <c r="P59" s="233"/>
      <c r="Q59" s="233"/>
      <c r="R59" s="233"/>
      <c r="S59" s="234"/>
      <c r="T59" s="221">
        <f>SUM(M59:S59)</f>
        <v>0</v>
      </c>
      <c r="U59" s="231">
        <f>SUM(T59,L59)</f>
        <v>0</v>
      </c>
      <c r="V59" s="227" t="b">
        <f>IF(T59&gt;0,T59/U59,)</f>
        <v>0</v>
      </c>
    </row>
    <row r="60" spans="1:22" customHeight="1" ht="15">
      <c r="A60" s="276"/>
      <c r="B60" s="437"/>
      <c r="C60" s="437"/>
      <c r="D60" s="438"/>
      <c r="E60" s="251"/>
      <c r="F60" s="252"/>
      <c r="G60" s="252"/>
      <c r="H60" s="252"/>
      <c r="I60" s="252"/>
      <c r="J60" s="252"/>
      <c r="K60" s="253"/>
      <c r="L60" s="221">
        <f>SUM(E60:K60)</f>
        <v>0</v>
      </c>
      <c r="M60" s="232"/>
      <c r="N60" s="233"/>
      <c r="O60" s="233"/>
      <c r="P60" s="233"/>
      <c r="Q60" s="233"/>
      <c r="R60" s="233"/>
      <c r="S60" s="234"/>
      <c r="T60" s="221">
        <f>SUM(M60:S60)</f>
        <v>0</v>
      </c>
      <c r="U60" s="231">
        <f>SUM(T60,L60)</f>
        <v>0</v>
      </c>
      <c r="V60" s="227" t="b">
        <f>IF(T60&gt;0,T60/U60,)</f>
        <v>0</v>
      </c>
    </row>
    <row r="61" spans="1:22" customHeight="1" ht="15">
      <c r="A61" s="236" t="s">
        <v>160</v>
      </c>
      <c r="B61" s="237"/>
      <c r="C61" s="237"/>
      <c r="D61" s="237"/>
      <c r="E61" s="238">
        <f>SUM(E59:E60)</f>
        <v>0</v>
      </c>
      <c r="F61" s="238">
        <f>SUM(F59:F60)</f>
        <v>0</v>
      </c>
      <c r="G61" s="238">
        <f>SUM(G59:G60)</f>
        <v>0</v>
      </c>
      <c r="H61" s="238">
        <f>SUM(H59:H60)</f>
        <v>0</v>
      </c>
      <c r="I61" s="238">
        <f>SUM(I59:I60)</f>
        <v>0</v>
      </c>
      <c r="J61" s="238">
        <f>SUM(J59:J60)</f>
        <v>0</v>
      </c>
      <c r="K61" s="238">
        <f>SUM(K59:K60)</f>
        <v>0</v>
      </c>
      <c r="L61" s="240">
        <f>SUM(E61:K61)</f>
        <v>0</v>
      </c>
      <c r="M61" s="314">
        <f>SUM(M59:M60)</f>
        <v>0</v>
      </c>
      <c r="N61" s="314">
        <f>SUM(N59:N60)</f>
        <v>0</v>
      </c>
      <c r="O61" s="314">
        <f>SUM(O59:O60)</f>
        <v>0</v>
      </c>
      <c r="P61" s="314">
        <f>SUM(P59:P60)</f>
        <v>0</v>
      </c>
      <c r="Q61" s="314">
        <f>SUM(Q59:Q60)</f>
        <v>0</v>
      </c>
      <c r="R61" s="314">
        <f>SUM(R59:R60)</f>
        <v>0</v>
      </c>
      <c r="S61" s="314">
        <f>SUM(S59:S60)</f>
        <v>0</v>
      </c>
      <c r="T61" s="240">
        <f>SUM(M61:S61)</f>
        <v>0</v>
      </c>
      <c r="U61" s="243">
        <f>SUM(T61,L61)</f>
        <v>0</v>
      </c>
      <c r="V61" s="244" t="b">
        <f>IF(T61&gt;0,T61/U61,)</f>
        <v>0</v>
      </c>
    </row>
    <row r="62" spans="1:22" customHeight="1" ht="18">
      <c r="A62" s="407" t="s">
        <v>191</v>
      </c>
      <c r="B62" s="408"/>
      <c r="C62" s="408"/>
      <c r="D62" s="408"/>
      <c r="E62" s="408"/>
      <c r="F62" s="408"/>
      <c r="G62" s="408"/>
      <c r="H62" s="408"/>
      <c r="I62" s="408"/>
      <c r="J62" s="408"/>
      <c r="K62" s="408"/>
      <c r="L62" s="408"/>
      <c r="M62" s="408"/>
      <c r="N62" s="408"/>
      <c r="O62" s="408"/>
      <c r="P62" s="408"/>
      <c r="Q62" s="408"/>
      <c r="R62" s="408"/>
      <c r="S62" s="408"/>
      <c r="T62" s="408"/>
      <c r="U62" s="408"/>
      <c r="V62" s="409"/>
    </row>
    <row r="63" spans="1:22">
      <c r="A63" s="271" t="s">
        <v>71</v>
      </c>
      <c r="B63" s="405" t="s">
        <v>72</v>
      </c>
      <c r="C63" s="405"/>
      <c r="D63" s="406"/>
      <c r="E63" s="251">
        <v>1</v>
      </c>
      <c r="F63" s="252">
        <v>6</v>
      </c>
      <c r="G63" s="252">
        <v>0</v>
      </c>
      <c r="H63" s="252">
        <v>0</v>
      </c>
      <c r="I63" s="252">
        <v>0</v>
      </c>
      <c r="J63" s="252">
        <v>0</v>
      </c>
      <c r="K63" s="253">
        <v>0</v>
      </c>
      <c r="L63" s="221">
        <v>7</v>
      </c>
      <c r="M63" s="232">
        <v>0</v>
      </c>
      <c r="N63" s="233">
        <v>0</v>
      </c>
      <c r="O63" s="233">
        <v>0</v>
      </c>
      <c r="P63" s="233">
        <v>0</v>
      </c>
      <c r="Q63" s="233">
        <v>0</v>
      </c>
      <c r="R63" s="233">
        <v>0</v>
      </c>
      <c r="S63" s="234">
        <v>0</v>
      </c>
      <c r="T63" s="221">
        <v>0</v>
      </c>
      <c r="U63" s="231">
        <v>7</v>
      </c>
      <c r="V63" s="227" t="s">
        <v>132</v>
      </c>
    </row>
    <row r="64" spans="1:22" customHeight="1" ht="15">
      <c r="A64" s="271"/>
      <c r="B64" s="405"/>
      <c r="C64" s="405"/>
      <c r="D64" s="406"/>
      <c r="E64" s="251"/>
      <c r="F64" s="252"/>
      <c r="G64" s="252"/>
      <c r="H64" s="252"/>
      <c r="I64" s="252"/>
      <c r="J64" s="252"/>
      <c r="K64" s="253"/>
      <c r="L64" s="221">
        <f>SUM(E64:K64)</f>
        <v>0</v>
      </c>
      <c r="M64" s="232"/>
      <c r="N64" s="233"/>
      <c r="O64" s="233"/>
      <c r="P64" s="233"/>
      <c r="Q64" s="233"/>
      <c r="R64" s="233"/>
      <c r="S64" s="234"/>
      <c r="T64" s="221">
        <f>SUM(M64:S64)</f>
        <v>0</v>
      </c>
      <c r="U64" s="231">
        <f>SUM(T64,L64)</f>
        <v>0</v>
      </c>
      <c r="V64" s="227" t="b">
        <f>IF(T64&gt;0,T64/U64,)</f>
        <v>0</v>
      </c>
    </row>
    <row r="65" spans="1:22" customHeight="1" ht="15">
      <c r="A65" s="236" t="s">
        <v>160</v>
      </c>
      <c r="B65" s="237"/>
      <c r="C65" s="237"/>
      <c r="D65" s="237"/>
      <c r="E65" s="238">
        <f>SUM(E63:E64)</f>
        <v>1</v>
      </c>
      <c r="F65" s="238">
        <f>SUM(F63:F64)</f>
        <v>6</v>
      </c>
      <c r="G65" s="238">
        <f>SUM(G63:G64)</f>
        <v>0</v>
      </c>
      <c r="H65" s="238">
        <f>SUM(H63:H64)</f>
        <v>0</v>
      </c>
      <c r="I65" s="238">
        <f>SUM(I63:I64)</f>
        <v>0</v>
      </c>
      <c r="J65" s="238">
        <f>SUM(J63:J64)</f>
        <v>0</v>
      </c>
      <c r="K65" s="238">
        <f>SUM(K63:K64)</f>
        <v>0</v>
      </c>
      <c r="L65" s="240">
        <f>SUM(E65:K65)</f>
        <v>7</v>
      </c>
      <c r="M65" s="238">
        <f>SUM(M63:M64)</f>
        <v>0</v>
      </c>
      <c r="N65" s="238">
        <f>SUM(N63:N64)</f>
        <v>0</v>
      </c>
      <c r="O65" s="238">
        <f>SUM(O63:O64)</f>
        <v>0</v>
      </c>
      <c r="P65" s="238">
        <f>SUM(P63:P64)</f>
        <v>0</v>
      </c>
      <c r="Q65" s="238">
        <f>SUM(Q63:Q64)</f>
        <v>0</v>
      </c>
      <c r="R65" s="238">
        <f>SUM(R63:R64)</f>
        <v>0</v>
      </c>
      <c r="S65" s="238">
        <f>SUM(S63:S64)</f>
        <v>0</v>
      </c>
      <c r="T65" s="240">
        <f>SUM(M65:S65)</f>
        <v>0</v>
      </c>
      <c r="U65" s="243">
        <f>SUM(T65,L65)</f>
        <v>7</v>
      </c>
      <c r="V65" s="244" t="b">
        <f>IF(T65&gt;0,T65/U65,)</f>
        <v>0</v>
      </c>
    </row>
    <row r="66" spans="1:22" customHeight="1" ht="18">
      <c r="A66" s="407" t="s">
        <v>192</v>
      </c>
      <c r="B66" s="408"/>
      <c r="C66" s="408"/>
      <c r="D66" s="408"/>
      <c r="E66" s="408"/>
      <c r="F66" s="408"/>
      <c r="G66" s="408"/>
      <c r="H66" s="408"/>
      <c r="I66" s="408"/>
      <c r="J66" s="408"/>
      <c r="K66" s="408"/>
      <c r="L66" s="408"/>
      <c r="M66" s="408"/>
      <c r="N66" s="408"/>
      <c r="O66" s="408"/>
      <c r="P66" s="408"/>
      <c r="Q66" s="408"/>
      <c r="R66" s="408"/>
      <c r="S66" s="408"/>
      <c r="T66" s="408"/>
      <c r="U66" s="408"/>
      <c r="V66" s="409"/>
    </row>
    <row r="67" spans="1:22">
      <c r="A67" s="264" t="s">
        <v>64</v>
      </c>
      <c r="B67" s="437" t="s">
        <v>65</v>
      </c>
      <c r="C67" s="437"/>
      <c r="D67" s="438"/>
      <c r="E67" s="251">
        <v>4</v>
      </c>
      <c r="F67" s="252">
        <v>4</v>
      </c>
      <c r="G67" s="252">
        <v>0</v>
      </c>
      <c r="H67" s="252">
        <v>0</v>
      </c>
      <c r="I67" s="252">
        <v>0</v>
      </c>
      <c r="J67" s="252">
        <v>0</v>
      </c>
      <c r="K67" s="253">
        <v>0</v>
      </c>
      <c r="L67" s="248">
        <v>8</v>
      </c>
      <c r="M67" s="232">
        <v>0</v>
      </c>
      <c r="N67" s="233">
        <v>1</v>
      </c>
      <c r="O67" s="233">
        <v>0</v>
      </c>
      <c r="P67" s="233">
        <v>0</v>
      </c>
      <c r="Q67" s="233">
        <v>0</v>
      </c>
      <c r="R67" s="233">
        <v>0</v>
      </c>
      <c r="S67" s="234">
        <v>0</v>
      </c>
      <c r="T67" s="248">
        <v>1</v>
      </c>
      <c r="U67" s="231">
        <v>9</v>
      </c>
      <c r="V67" s="227" t="s">
        <v>162</v>
      </c>
    </row>
    <row r="68" spans="1:22">
      <c r="A68" s="264" t="s">
        <v>193</v>
      </c>
      <c r="B68" s="437" t="s">
        <v>194</v>
      </c>
      <c r="C68" s="437"/>
      <c r="D68" s="438"/>
      <c r="E68" s="251">
        <v>0</v>
      </c>
      <c r="F68" s="252">
        <v>0</v>
      </c>
      <c r="G68" s="252">
        <v>1</v>
      </c>
      <c r="H68" s="252">
        <v>0</v>
      </c>
      <c r="I68" s="252">
        <v>0</v>
      </c>
      <c r="J68" s="252">
        <v>0</v>
      </c>
      <c r="K68" s="253">
        <v>0</v>
      </c>
      <c r="L68" s="248">
        <v>1</v>
      </c>
      <c r="M68" s="232">
        <v>0</v>
      </c>
      <c r="N68" s="233">
        <v>0</v>
      </c>
      <c r="O68" s="233">
        <v>0</v>
      </c>
      <c r="P68" s="233">
        <v>0</v>
      </c>
      <c r="Q68" s="233">
        <v>0</v>
      </c>
      <c r="R68" s="233">
        <v>0</v>
      </c>
      <c r="S68" s="234">
        <v>0</v>
      </c>
      <c r="T68" s="248">
        <v>0</v>
      </c>
      <c r="U68" s="231">
        <v>1</v>
      </c>
      <c r="V68" s="227" t="s">
        <v>132</v>
      </c>
    </row>
    <row r="69" spans="1:22" customHeight="1" ht="15">
      <c r="A69" s="264"/>
      <c r="B69" s="437"/>
      <c r="C69" s="437"/>
      <c r="D69" s="438"/>
      <c r="E69" s="251"/>
      <c r="F69" s="252"/>
      <c r="G69" s="252"/>
      <c r="H69" s="252"/>
      <c r="I69" s="252"/>
      <c r="J69" s="252"/>
      <c r="K69" s="253"/>
      <c r="L69" s="221">
        <f>SUM(E69:K69)</f>
        <v>0</v>
      </c>
      <c r="M69" s="232"/>
      <c r="N69" s="233"/>
      <c r="O69" s="233"/>
      <c r="P69" s="233"/>
      <c r="Q69" s="233"/>
      <c r="R69" s="233"/>
      <c r="S69" s="234"/>
      <c r="T69" s="221">
        <f>SUM(M69:S69)</f>
        <v>0</v>
      </c>
      <c r="U69" s="231">
        <f>SUM(T69,L69)</f>
        <v>0</v>
      </c>
      <c r="V69" s="227" t="b">
        <f>IF(T69&gt;0,T69/U69,)</f>
        <v>0</v>
      </c>
    </row>
    <row r="70" spans="1:22" customHeight="1" ht="15">
      <c r="A70" s="236" t="s">
        <v>160</v>
      </c>
      <c r="B70" s="237"/>
      <c r="C70" s="237"/>
      <c r="D70" s="237"/>
      <c r="E70" s="238">
        <f>SUM(E67:E69)</f>
        <v>4</v>
      </c>
      <c r="F70" s="238">
        <f>SUM(F67:F69)</f>
        <v>4</v>
      </c>
      <c r="G70" s="238">
        <f>SUM(G67:G69)</f>
        <v>1</v>
      </c>
      <c r="H70" s="238">
        <f>SUM(H67:H69)</f>
        <v>0</v>
      </c>
      <c r="I70" s="238">
        <f>SUM(I67:I69)</f>
        <v>0</v>
      </c>
      <c r="J70" s="238">
        <f>SUM(J67:J69)</f>
        <v>0</v>
      </c>
      <c r="K70" s="238">
        <f>SUM(K67:K69)</f>
        <v>0</v>
      </c>
      <c r="L70" s="240">
        <f>SUM(E70:K70)</f>
        <v>9</v>
      </c>
      <c r="M70" s="238">
        <f>SUM(M67:M69)</f>
        <v>0</v>
      </c>
      <c r="N70" s="238">
        <f>SUM(N67:N69)</f>
        <v>1</v>
      </c>
      <c r="O70" s="238">
        <f>SUM(O67:O69)</f>
        <v>0</v>
      </c>
      <c r="P70" s="238">
        <f>SUM(P67:P69)</f>
        <v>0</v>
      </c>
      <c r="Q70" s="238">
        <f>SUM(Q67:Q69)</f>
        <v>0</v>
      </c>
      <c r="R70" s="238">
        <f>SUM(R67:R69)</f>
        <v>0</v>
      </c>
      <c r="S70" s="238">
        <f>SUM(S67:S69)</f>
        <v>0</v>
      </c>
      <c r="T70" s="240">
        <f>SUM(M70:S70)</f>
        <v>1</v>
      </c>
      <c r="U70" s="243">
        <f>SUM(T70,L70)</f>
        <v>10</v>
      </c>
      <c r="V70" s="244">
        <f>IF(T70&gt;0,T70/U70,)</f>
        <v>0.1</v>
      </c>
    </row>
    <row r="71" spans="1:22" customHeight="1" ht="18">
      <c r="A71" s="407" t="s">
        <v>195</v>
      </c>
      <c r="B71" s="408"/>
      <c r="C71" s="408"/>
      <c r="D71" s="408"/>
      <c r="E71" s="408"/>
      <c r="F71" s="408"/>
      <c r="G71" s="408"/>
      <c r="H71" s="408"/>
      <c r="I71" s="408"/>
      <c r="J71" s="408"/>
      <c r="K71" s="408"/>
      <c r="L71" s="408"/>
      <c r="M71" s="408"/>
      <c r="N71" s="408"/>
      <c r="O71" s="408"/>
      <c r="P71" s="408"/>
      <c r="Q71" s="408"/>
      <c r="R71" s="408"/>
      <c r="S71" s="408"/>
      <c r="T71" s="408"/>
      <c r="U71" s="408"/>
      <c r="V71" s="409"/>
    </row>
    <row r="72" spans="1:22">
      <c r="A72" s="250"/>
      <c r="B72" s="405"/>
      <c r="C72" s="405"/>
      <c r="D72" s="406"/>
      <c r="E72" s="251"/>
      <c r="F72" s="252"/>
      <c r="G72" s="252"/>
      <c r="H72" s="252"/>
      <c r="I72" s="252"/>
      <c r="J72" s="252"/>
      <c r="K72" s="253"/>
      <c r="L72" s="248">
        <f>SUM(E72:K72)</f>
        <v>0</v>
      </c>
      <c r="M72" s="228"/>
      <c r="N72" s="229"/>
      <c r="O72" s="229"/>
      <c r="P72" s="229"/>
      <c r="Q72" s="229"/>
      <c r="R72" s="229"/>
      <c r="S72" s="230"/>
      <c r="T72" s="248">
        <f>SUM(M72:S72)</f>
        <v>0</v>
      </c>
      <c r="U72" s="257">
        <f>SUM(T72,L72)</f>
        <v>0</v>
      </c>
      <c r="V72" s="258" t="b">
        <f>IF(T72&gt;0,T72/U72,)</f>
        <v>0</v>
      </c>
    </row>
    <row r="73" spans="1:22" customHeight="1" ht="15">
      <c r="A73" s="250"/>
      <c r="B73" s="405"/>
      <c r="C73" s="405"/>
      <c r="D73" s="406"/>
      <c r="E73" s="251"/>
      <c r="F73" s="252"/>
      <c r="G73" s="252"/>
      <c r="H73" s="252"/>
      <c r="I73" s="252"/>
      <c r="J73" s="252"/>
      <c r="K73" s="253"/>
      <c r="L73" s="248">
        <f>SUM(E73:K73)</f>
        <v>0</v>
      </c>
      <c r="M73" s="228"/>
      <c r="N73" s="229"/>
      <c r="O73" s="229"/>
      <c r="P73" s="229"/>
      <c r="Q73" s="229"/>
      <c r="R73" s="229"/>
      <c r="S73" s="230"/>
      <c r="T73" s="278">
        <f>SUM(M73:S73)</f>
        <v>0</v>
      </c>
      <c r="U73" s="257">
        <f>SUM(T73,L73)</f>
        <v>0</v>
      </c>
      <c r="V73" s="258" t="b">
        <f>IF(T73&gt;0,T73/U73,)</f>
        <v>0</v>
      </c>
    </row>
    <row r="74" spans="1:22" customHeight="1" ht="15">
      <c r="A74" s="236" t="s">
        <v>160</v>
      </c>
      <c r="B74" s="237"/>
      <c r="C74" s="237"/>
      <c r="D74" s="237"/>
      <c r="E74" s="238">
        <f>SUM(E72:E73)</f>
        <v>0</v>
      </c>
      <c r="F74" s="238">
        <f>SUM(F72:F73)</f>
        <v>0</v>
      </c>
      <c r="G74" s="238">
        <f>SUM(G72:G73)</f>
        <v>0</v>
      </c>
      <c r="H74" s="238">
        <f>SUM(H72:H73)</f>
        <v>0</v>
      </c>
      <c r="I74" s="238">
        <f>SUM(I72:I73)</f>
        <v>0</v>
      </c>
      <c r="J74" s="238">
        <f>SUM(J72:J73)</f>
        <v>0</v>
      </c>
      <c r="K74" s="238">
        <f>SUM(K72:K73)</f>
        <v>0</v>
      </c>
      <c r="L74" s="240">
        <f>SUM(E74:K74)</f>
        <v>0</v>
      </c>
      <c r="M74" s="238">
        <f>SUM(M72:M73)</f>
        <v>0</v>
      </c>
      <c r="N74" s="238">
        <f>SUM(N72:N73)</f>
        <v>0</v>
      </c>
      <c r="O74" s="238">
        <f>SUM(O72:O73)</f>
        <v>0</v>
      </c>
      <c r="P74" s="238">
        <f>SUM(P72:P73)</f>
        <v>0</v>
      </c>
      <c r="Q74" s="238">
        <f>SUM(Q72:Q73)</f>
        <v>0</v>
      </c>
      <c r="R74" s="238">
        <f>SUM(R72:R73)</f>
        <v>0</v>
      </c>
      <c r="S74" s="238">
        <f>SUM(S72:S73)</f>
        <v>0</v>
      </c>
      <c r="T74" s="240">
        <f>SUM(M74:S74)</f>
        <v>0</v>
      </c>
      <c r="U74" s="243">
        <f>SUM(T74,L74)</f>
        <v>0</v>
      </c>
      <c r="V74" s="244" t="b">
        <f>IF(T74&gt;0,T74/U74,)</f>
        <v>0</v>
      </c>
    </row>
    <row r="75" spans="1:22" customHeight="1" ht="18">
      <c r="A75" s="407" t="s">
        <v>196</v>
      </c>
      <c r="B75" s="408"/>
      <c r="C75" s="408"/>
      <c r="D75" s="408"/>
      <c r="E75" s="408"/>
      <c r="F75" s="408"/>
      <c r="G75" s="408"/>
      <c r="H75" s="408"/>
      <c r="I75" s="408"/>
      <c r="J75" s="408"/>
      <c r="K75" s="408"/>
      <c r="L75" s="408"/>
      <c r="M75" s="408"/>
      <c r="N75" s="408"/>
      <c r="O75" s="408"/>
      <c r="P75" s="408"/>
      <c r="Q75" s="408"/>
      <c r="R75" s="408"/>
      <c r="S75" s="408"/>
      <c r="T75" s="408"/>
      <c r="U75" s="408"/>
      <c r="V75" s="409"/>
    </row>
    <row r="76" spans="1:22">
      <c r="A76" s="95"/>
      <c r="B76" s="405"/>
      <c r="C76" s="405"/>
      <c r="D76" s="406"/>
      <c r="E76" s="251"/>
      <c r="F76" s="252"/>
      <c r="G76" s="252"/>
      <c r="H76" s="252"/>
      <c r="I76" s="252"/>
      <c r="J76" s="252"/>
      <c r="K76" s="253"/>
      <c r="L76" s="221">
        <f>SUM(E76:K76)</f>
        <v>0</v>
      </c>
      <c r="M76" s="228"/>
      <c r="N76" s="229"/>
      <c r="O76" s="229"/>
      <c r="P76" s="229"/>
      <c r="Q76" s="229"/>
      <c r="R76" s="229"/>
      <c r="S76" s="230"/>
      <c r="T76" s="221">
        <f>SUM(M76:S76)</f>
        <v>0</v>
      </c>
      <c r="U76" s="231">
        <f>SUM(T76,L76)</f>
        <v>0</v>
      </c>
      <c r="V76" s="227" t="b">
        <f>IF(T76&gt;0,T76/U76,)</f>
        <v>0</v>
      </c>
    </row>
    <row r="77" spans="1:22">
      <c r="A77" s="264"/>
      <c r="B77" s="432"/>
      <c r="C77" s="432"/>
      <c r="D77" s="433"/>
      <c r="E77" s="279"/>
      <c r="F77" s="275"/>
      <c r="G77" s="275"/>
      <c r="H77" s="275"/>
      <c r="I77" s="275"/>
      <c r="J77" s="275"/>
      <c r="K77" s="277"/>
      <c r="L77" s="221">
        <f>SUM(E77:K77)</f>
        <v>0</v>
      </c>
      <c r="M77" s="232"/>
      <c r="N77" s="233"/>
      <c r="O77" s="233"/>
      <c r="P77" s="233"/>
      <c r="Q77" s="233"/>
      <c r="R77" s="233"/>
      <c r="S77" s="234"/>
      <c r="T77" s="221">
        <f>SUM(M77:S77)</f>
        <v>0</v>
      </c>
      <c r="U77" s="231">
        <f>SUM(T77,L77)</f>
        <v>0</v>
      </c>
      <c r="V77" s="227" t="b">
        <f>IF(T77&gt;0,T77/U77,)</f>
        <v>0</v>
      </c>
    </row>
    <row r="78" spans="1:22" customHeight="1" ht="15">
      <c r="A78" s="434" t="s">
        <v>160</v>
      </c>
      <c r="B78" s="435"/>
      <c r="C78" s="435"/>
      <c r="D78" s="436"/>
      <c r="E78" s="238">
        <f>SUM(E76:E77)</f>
        <v>0</v>
      </c>
      <c r="F78" s="238">
        <f>SUM(F76:F77)</f>
        <v>0</v>
      </c>
      <c r="G78" s="238">
        <f>SUM(G76:G77)</f>
        <v>0</v>
      </c>
      <c r="H78" s="238">
        <f>SUM(H76:H77)</f>
        <v>0</v>
      </c>
      <c r="I78" s="238">
        <f>SUM(I76:I77)</f>
        <v>0</v>
      </c>
      <c r="J78" s="238">
        <f>SUM(J76:J77)</f>
        <v>0</v>
      </c>
      <c r="K78" s="238">
        <f>SUM(K76:K77)</f>
        <v>0</v>
      </c>
      <c r="L78" s="240">
        <f>SUM(E78:K78)</f>
        <v>0</v>
      </c>
      <c r="M78" s="238">
        <f>SUM(M76:M77)</f>
        <v>0</v>
      </c>
      <c r="N78" s="238">
        <f>SUM(N76:N77)</f>
        <v>0</v>
      </c>
      <c r="O78" s="238">
        <f>SUM(O76:O77)</f>
        <v>0</v>
      </c>
      <c r="P78" s="238">
        <f>SUM(P76:P77)</f>
        <v>0</v>
      </c>
      <c r="Q78" s="238">
        <f>SUM(Q76:Q77)</f>
        <v>0</v>
      </c>
      <c r="R78" s="238">
        <f>SUM(R76:R77)</f>
        <v>0</v>
      </c>
      <c r="S78" s="238">
        <f>SUM(S76:S77)</f>
        <v>0</v>
      </c>
      <c r="T78" s="240">
        <f>SUM(M78:S78)</f>
        <v>0</v>
      </c>
      <c r="U78" s="243">
        <f>SUM(T78,L78)</f>
        <v>0</v>
      </c>
      <c r="V78" s="244" t="b">
        <f>IF(T78&gt;0,T78/U78,)</f>
        <v>0</v>
      </c>
    </row>
    <row r="79" spans="1:22" customHeight="1" ht="18.5">
      <c r="A79" s="280" t="s">
        <v>197</v>
      </c>
      <c r="B79" s="281"/>
      <c r="C79" s="281"/>
      <c r="D79" s="282"/>
      <c r="E79" s="283">
        <f>SUM(E78,E74,E70,E65,E61,E57,E49,E53,E41,E45,E36,E32,E27,E23,E19)</f>
        <v>16</v>
      </c>
      <c r="F79" s="283">
        <f>SUM(F19,F23,F27,F32,F36,F41,F45,F49,F53,F57,F61,F65,F70,F74,F78)</f>
        <v>23</v>
      </c>
      <c r="G79" s="283">
        <f>SUM(G19,G23,G27,G32,G36,G41,G45,G49,G53,G57,G61,G65,G70,G74,G78)</f>
        <v>7</v>
      </c>
      <c r="H79" s="283">
        <f>SUM(H19,H23,H27,H32,H36,H41,H45,H49,H53,H57,H61,H65,H70,H74,H78)</f>
        <v>0</v>
      </c>
      <c r="I79" s="283">
        <f>SUM(I19,I23,I27,I32,I36,I41,I45,I49,I53,I57,I61,I65,I70,I74,I78)</f>
        <v>0</v>
      </c>
      <c r="J79" s="283">
        <f>SUM(J19,J23,J27,J32,J36,J41,J45,J49,J53,J57,J61,J65,J70,J74,J78)</f>
        <v>0</v>
      </c>
      <c r="K79" s="283">
        <f>SUM(K19,K23,K27,K32,K36,K41,K45,K49,K53,K57,K61,K65,K70,K74,K78)</f>
        <v>0</v>
      </c>
      <c r="L79" s="240">
        <f>SUM(L19,L23,L27,L32,L36,L41,L45,L49,L53,L57,L61,L65,L70,L74,L78)</f>
        <v>46</v>
      </c>
      <c r="M79" s="283">
        <f>SUM(M78,M74,M70,M65,M61,M57,M53,M49,M45,M41,M36,M32,M27,M23,M19)</f>
        <v>2</v>
      </c>
      <c r="N79" s="283">
        <f>SUM(N78,N74,N70,N65,N61,N57,N53,N49,N45,N41,N36,N32,N27,N23,N19)</f>
        <v>3</v>
      </c>
      <c r="O79" s="283">
        <f>SUM(O78,O74,O70,O65,O61,O57,O53,O49,O45,O41,O36,O32,O27,O23,O19)</f>
        <v>4</v>
      </c>
      <c r="P79" s="283">
        <f>SUM(P78,P74,P70,P65,P61,P57,P53,P49,P45,P41,P36,P32,P27,P23,P19)</f>
        <v>0</v>
      </c>
      <c r="Q79" s="283">
        <f>SUM(Q78,Q74,Q70,Q65,Q61,Q57,Q53,Q49,Q45,Q41,Q36,Q32,Q27,Q23,Q19)</f>
        <v>0</v>
      </c>
      <c r="R79" s="283">
        <f>SUM(R78,R74,R70,R65,R61,R57,R53,R49,R45,R41,R36,R32,R27,R23,R19)</f>
        <v>0</v>
      </c>
      <c r="S79" s="283">
        <f>SUM(S78,S74,S70,S65,S61,S57,S53,S49,S45,S41,S36,S32,S27,S23,S19)</f>
        <v>0</v>
      </c>
      <c r="T79" s="240">
        <f>SUM(M79:S79)</f>
        <v>9</v>
      </c>
      <c r="U79" s="243">
        <f>SUM(T79,L79)</f>
        <v>55</v>
      </c>
      <c r="V79" s="244">
        <f>IF(T79&gt;0,T79/U79,)</f>
        <v>0.16363636363636</v>
      </c>
    </row>
    <row r="80" spans="1:22">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 r="A81" s="204"/>
      <c r="B81" s="204"/>
      <c r="C81" s="204"/>
      <c r="D81" s="204"/>
      <c r="E81" s="204"/>
      <c r="F81" s="204"/>
      <c r="G81" s="204"/>
      <c r="H81" s="204"/>
      <c r="I81" s="204"/>
      <c r="J81" s="204"/>
      <c r="K81" s="204"/>
      <c r="L81" s="284"/>
      <c r="M81" s="285"/>
      <c r="N81" s="285"/>
      <c r="O81" s="285"/>
      <c r="P81" s="285"/>
      <c r="Q81" s="285"/>
      <c r="R81" s="285"/>
      <c r="S81" s="285"/>
      <c r="T81" s="284"/>
      <c r="U81" s="286"/>
      <c r="V81" s="287"/>
    </row>
    <row r="82" spans="1:22">
      <c r="A82" s="204"/>
      <c r="B82" s="204"/>
      <c r="C82" s="204"/>
      <c r="D82" s="204"/>
      <c r="E82" s="204"/>
      <c r="F82" s="204"/>
      <c r="G82" s="204"/>
      <c r="H82" s="204"/>
      <c r="I82" s="204"/>
      <c r="J82" s="204"/>
      <c r="K82" s="204"/>
      <c r="L82" s="284"/>
      <c r="M82" s="285"/>
      <c r="N82" s="285"/>
      <c r="O82" s="285"/>
      <c r="P82" s="285"/>
      <c r="Q82" s="285"/>
      <c r="R82" s="285"/>
      <c r="S82" s="285"/>
      <c r="T82" s="284"/>
      <c r="U82" s="286"/>
      <c r="V82" s="287"/>
    </row>
    <row r="83" spans="1:22">
      <c r="A83" s="204"/>
      <c r="B83" s="204"/>
      <c r="C83" s="204"/>
      <c r="D83" s="204"/>
      <c r="E83" s="204"/>
      <c r="F83" s="204"/>
      <c r="G83" s="204"/>
      <c r="H83" s="204"/>
      <c r="I83" s="204"/>
      <c r="J83" s="204"/>
      <c r="K83" s="204"/>
      <c r="L83" s="284"/>
      <c r="M83" s="285"/>
      <c r="N83" s="285"/>
      <c r="O83" s="285"/>
      <c r="P83" s="285"/>
      <c r="Q83" s="285"/>
      <c r="R83" s="285"/>
      <c r="S83" s="285"/>
      <c r="T83" s="284"/>
      <c r="U83" s="286"/>
      <c r="V83" s="287"/>
    </row>
    <row r="84" spans="1:22" customHeight="1" ht="15">
      <c r="A84" s="204"/>
      <c r="B84" s="204"/>
      <c r="C84" s="204"/>
      <c r="D84" s="204"/>
      <c r="E84" s="204"/>
      <c r="F84" s="204"/>
      <c r="G84" s="204"/>
      <c r="H84" s="204"/>
      <c r="I84" s="204"/>
      <c r="J84" s="204"/>
      <c r="K84" s="204"/>
      <c r="L84" s="284"/>
      <c r="M84" s="285"/>
      <c r="N84" s="285"/>
      <c r="O84" s="285"/>
      <c r="P84" s="285"/>
      <c r="Q84" s="285"/>
      <c r="R84" s="285"/>
      <c r="S84" s="285"/>
      <c r="T84" s="284"/>
      <c r="U84" s="286"/>
      <c r="V84" s="287"/>
    </row>
    <row r="85" spans="1:22" customHeight="1" ht="20.5">
      <c r="A85" s="423" t="s">
        <v>198</v>
      </c>
      <c r="B85" s="424"/>
      <c r="C85" s="424"/>
      <c r="D85" s="424"/>
      <c r="E85" s="424"/>
      <c r="F85" s="424"/>
      <c r="G85" s="424"/>
      <c r="H85" s="424"/>
      <c r="I85" s="424"/>
      <c r="J85" s="424"/>
      <c r="K85" s="424"/>
      <c r="L85" s="424"/>
      <c r="M85" s="424"/>
      <c r="N85" s="424"/>
      <c r="O85" s="424"/>
      <c r="P85" s="424"/>
      <c r="Q85" s="424"/>
      <c r="R85" s="424"/>
      <c r="S85" s="424"/>
      <c r="T85" s="424"/>
      <c r="U85" s="424"/>
      <c r="V85" s="425"/>
    </row>
    <row r="86" spans="1:22">
      <c r="A86" s="288"/>
      <c r="B86" s="289"/>
      <c r="C86" s="289"/>
      <c r="D86" s="290"/>
      <c r="E86" s="426" t="s">
        <v>153</v>
      </c>
      <c r="F86" s="427"/>
      <c r="G86" s="427"/>
      <c r="H86" s="427"/>
      <c r="I86" s="427"/>
      <c r="J86" s="427"/>
      <c r="K86" s="428"/>
      <c r="L86" s="291"/>
      <c r="M86" s="429" t="s">
        <v>153</v>
      </c>
      <c r="N86" s="430"/>
      <c r="O86" s="430"/>
      <c r="P86" s="430"/>
      <c r="Q86" s="430"/>
      <c r="R86" s="430"/>
      <c r="S86" s="431"/>
      <c r="T86" s="292"/>
      <c r="U86" s="292"/>
      <c r="V86" s="292"/>
    </row>
    <row r="87" spans="1:22" customHeight="1" ht="15">
      <c r="A87" s="291"/>
      <c r="B87" s="293"/>
      <c r="C87" s="293"/>
      <c r="D87" s="294"/>
      <c r="E87" s="295">
        <v>1</v>
      </c>
      <c r="F87" s="296">
        <v>2</v>
      </c>
      <c r="G87" s="296">
        <v>3</v>
      </c>
      <c r="H87" s="296">
        <v>4</v>
      </c>
      <c r="I87" s="296">
        <v>5</v>
      </c>
      <c r="J87" s="296">
        <v>6</v>
      </c>
      <c r="K87" s="296">
        <v>7</v>
      </c>
      <c r="L87" s="297"/>
      <c r="M87" s="298">
        <v>1</v>
      </c>
      <c r="N87" s="299">
        <v>2</v>
      </c>
      <c r="O87" s="299">
        <v>3</v>
      </c>
      <c r="P87" s="299">
        <v>4</v>
      </c>
      <c r="Q87" s="299">
        <v>5</v>
      </c>
      <c r="R87" s="299">
        <v>6</v>
      </c>
      <c r="S87" s="299">
        <v>7</v>
      </c>
      <c r="T87" s="297"/>
      <c r="U87" s="297"/>
      <c r="V87" s="297"/>
    </row>
    <row r="88" spans="1:22" customHeight="1" ht="15">
      <c r="A88" s="464" t="s">
        <v>154</v>
      </c>
      <c r="B88" s="465"/>
      <c r="C88" s="465"/>
      <c r="D88" s="466"/>
      <c r="E88" s="467" t="s">
        <v>52</v>
      </c>
      <c r="F88" s="468"/>
      <c r="G88" s="468"/>
      <c r="H88" s="468"/>
      <c r="I88" s="468"/>
      <c r="J88" s="468"/>
      <c r="K88" s="469"/>
      <c r="L88" s="211" t="s">
        <v>155</v>
      </c>
      <c r="M88" s="467" t="s">
        <v>54</v>
      </c>
      <c r="N88" s="470"/>
      <c r="O88" s="470"/>
      <c r="P88" s="470"/>
      <c r="Q88" s="470"/>
      <c r="R88" s="470"/>
      <c r="S88" s="471"/>
      <c r="T88" s="211" t="s">
        <v>155</v>
      </c>
      <c r="U88" s="212" t="s">
        <v>156</v>
      </c>
      <c r="V88" s="212" t="s">
        <v>123</v>
      </c>
    </row>
    <row r="89" spans="1:22" customHeight="1" ht="18">
      <c r="A89" s="407" t="s">
        <v>157</v>
      </c>
      <c r="B89" s="408"/>
      <c r="C89" s="408"/>
      <c r="D89" s="408"/>
      <c r="E89" s="408"/>
      <c r="F89" s="408"/>
      <c r="G89" s="408"/>
      <c r="H89" s="408"/>
      <c r="I89" s="408"/>
      <c r="J89" s="408"/>
      <c r="K89" s="408"/>
      <c r="L89" s="408"/>
      <c r="M89" s="408"/>
      <c r="N89" s="408"/>
      <c r="O89" s="408"/>
      <c r="P89" s="408"/>
      <c r="Q89" s="408"/>
      <c r="R89" s="408"/>
      <c r="S89" s="408"/>
      <c r="T89" s="408"/>
      <c r="U89" s="408"/>
      <c r="V89" s="409"/>
    </row>
    <row r="90" spans="1:22">
      <c r="A90" s="217"/>
      <c r="B90" s="456"/>
      <c r="C90" s="456"/>
      <c r="D90" s="457"/>
      <c r="E90" s="218"/>
      <c r="F90" s="219"/>
      <c r="G90" s="219"/>
      <c r="H90" s="219"/>
      <c r="I90" s="219"/>
      <c r="J90" s="219"/>
      <c r="K90" s="220"/>
      <c r="L90" s="221">
        <f>SUM(E90:K90)</f>
        <v>0</v>
      </c>
      <c r="M90" s="222"/>
      <c r="N90" s="223"/>
      <c r="O90" s="223"/>
      <c r="P90" s="223"/>
      <c r="Q90" s="223"/>
      <c r="R90" s="223"/>
      <c r="S90" s="224"/>
      <c r="T90" s="225">
        <f>SUM(M90:S90)</f>
        <v>0</v>
      </c>
      <c r="U90" s="226">
        <f>SUM(T90,L90)</f>
        <v>0</v>
      </c>
      <c r="V90" s="227" t="b">
        <f>IF(T90&gt;0,T90/U90,)</f>
        <v>0</v>
      </c>
    </row>
    <row r="91" spans="1:22" customHeight="1" ht="15">
      <c r="A91" s="308"/>
      <c r="B91" s="454"/>
      <c r="C91" s="454"/>
      <c r="D91" s="455"/>
      <c r="E91" s="309"/>
      <c r="F91" s="310"/>
      <c r="G91" s="310"/>
      <c r="H91" s="310"/>
      <c r="I91" s="310"/>
      <c r="J91" s="310"/>
      <c r="K91" s="311"/>
      <c r="L91" s="303">
        <f>SUM(E91:K91)</f>
        <v>0</v>
      </c>
      <c r="M91" s="254"/>
      <c r="N91" s="255"/>
      <c r="O91" s="255"/>
      <c r="P91" s="255"/>
      <c r="Q91" s="255"/>
      <c r="R91" s="255"/>
      <c r="S91" s="302"/>
      <c r="T91" s="303">
        <f>SUM(M91:S91)</f>
        <v>0</v>
      </c>
      <c r="U91" s="312">
        <f>SUM(T91,L91)</f>
        <v>0</v>
      </c>
      <c r="V91" s="313" t="b">
        <f>IF(T91&gt;0,T91/U91,)</f>
        <v>0</v>
      </c>
    </row>
    <row r="92" spans="1:22" customHeight="1" ht="15">
      <c r="A92" s="236" t="s">
        <v>160</v>
      </c>
      <c r="B92" s="237"/>
      <c r="C92" s="237"/>
      <c r="D92" s="237"/>
      <c r="E92" s="238">
        <f>SUM(E90:E91)</f>
        <v>0</v>
      </c>
      <c r="F92" s="238">
        <f>SUM(F90:F91)</f>
        <v>0</v>
      </c>
      <c r="G92" s="238">
        <f>SUM(G90:G91)</f>
        <v>0</v>
      </c>
      <c r="H92" s="238">
        <f>SUM(H90:H91)</f>
        <v>0</v>
      </c>
      <c r="I92" s="238">
        <f>SUM(I90:I91)</f>
        <v>0</v>
      </c>
      <c r="J92" s="238">
        <f>SUM(J90:J91)</f>
        <v>0</v>
      </c>
      <c r="K92" s="238">
        <f>SUM(K90:K91)</f>
        <v>0</v>
      </c>
      <c r="L92" s="240">
        <f>SUM(E92:K92)</f>
        <v>0</v>
      </c>
      <c r="M92" s="241">
        <f>SUM(M90:M91)</f>
        <v>0</v>
      </c>
      <c r="N92" s="241">
        <f>SUM(N90:N91)</f>
        <v>0</v>
      </c>
      <c r="O92" s="241">
        <f>SUM(O90:O91)</f>
        <v>0</v>
      </c>
      <c r="P92" s="241">
        <f>SUM(P90:P91)</f>
        <v>0</v>
      </c>
      <c r="Q92" s="241">
        <f>SUM(Q90:Q91)</f>
        <v>0</v>
      </c>
      <c r="R92" s="241">
        <f>SUM(R90:R91)</f>
        <v>0</v>
      </c>
      <c r="S92" s="241">
        <f>SUM(S90:S91)</f>
        <v>0</v>
      </c>
      <c r="T92" s="240">
        <f>SUM(M92:S92)</f>
        <v>0</v>
      </c>
      <c r="U92" s="243">
        <f>SUM(T92,L92)</f>
        <v>0</v>
      </c>
      <c r="V92" s="244" t="b">
        <f>IF(T92&gt;0,T92/U92,)</f>
        <v>0</v>
      </c>
    </row>
    <row r="93" spans="1:22" customHeight="1" ht="18">
      <c r="A93" s="407" t="s">
        <v>161</v>
      </c>
      <c r="B93" s="408"/>
      <c r="C93" s="408"/>
      <c r="D93" s="408"/>
      <c r="E93" s="408"/>
      <c r="F93" s="408"/>
      <c r="G93" s="408"/>
      <c r="H93" s="408"/>
      <c r="I93" s="408"/>
      <c r="J93" s="408"/>
      <c r="K93" s="408"/>
      <c r="L93" s="408"/>
      <c r="M93" s="408"/>
      <c r="N93" s="408"/>
      <c r="O93" s="408"/>
      <c r="P93" s="408"/>
      <c r="Q93" s="408"/>
      <c r="R93" s="408"/>
      <c r="S93" s="408"/>
      <c r="T93" s="408"/>
      <c r="U93" s="408"/>
      <c r="V93" s="409"/>
    </row>
    <row r="94" spans="1:22">
      <c r="A94" s="217" t="s">
        <v>199</v>
      </c>
      <c r="B94" s="456" t="s">
        <v>200</v>
      </c>
      <c r="C94" s="456"/>
      <c r="D94" s="457"/>
      <c r="E94" s="219">
        <v>0</v>
      </c>
      <c r="F94" s="219">
        <v>0</v>
      </c>
      <c r="G94" s="219">
        <v>1</v>
      </c>
      <c r="H94" s="219">
        <v>0</v>
      </c>
      <c r="I94" s="219">
        <v>0</v>
      </c>
      <c r="J94" s="219">
        <v>0</v>
      </c>
      <c r="K94" s="220">
        <v>0</v>
      </c>
      <c r="L94" s="221">
        <v>1</v>
      </c>
      <c r="M94" s="228">
        <v>0</v>
      </c>
      <c r="N94" s="229">
        <v>0</v>
      </c>
      <c r="O94" s="229">
        <v>0</v>
      </c>
      <c r="P94" s="229">
        <v>0</v>
      </c>
      <c r="Q94" s="229">
        <v>0</v>
      </c>
      <c r="R94" s="229">
        <v>0</v>
      </c>
      <c r="S94" s="230">
        <v>0</v>
      </c>
      <c r="T94" s="221">
        <v>0</v>
      </c>
      <c r="U94" s="231">
        <v>1</v>
      </c>
      <c r="V94" s="227" t="s">
        <v>132</v>
      </c>
    </row>
    <row r="95" spans="1:22" customHeight="1" ht="15">
      <c r="A95" s="235"/>
      <c r="B95" s="458"/>
      <c r="C95" s="458"/>
      <c r="D95" s="459"/>
      <c r="E95" s="218"/>
      <c r="F95" s="219"/>
      <c r="G95" s="219"/>
      <c r="H95" s="219"/>
      <c r="I95" s="219"/>
      <c r="J95" s="219"/>
      <c r="K95" s="220"/>
      <c r="L95" s="221">
        <f>SUM(E95:K95)</f>
        <v>0</v>
      </c>
      <c r="M95" s="232"/>
      <c r="N95" s="233"/>
      <c r="O95" s="233"/>
      <c r="P95" s="233"/>
      <c r="Q95" s="233"/>
      <c r="R95" s="233"/>
      <c r="S95" s="234"/>
      <c r="T95" s="221">
        <f>SUM(M95:S95)</f>
        <v>0</v>
      </c>
      <c r="U95" s="231">
        <f>SUM(T95,L95)</f>
        <v>0</v>
      </c>
      <c r="V95" s="227" t="b">
        <f>IF(T95&gt;0,T95/U95,)</f>
        <v>0</v>
      </c>
    </row>
    <row r="96" spans="1:22" customHeight="1" ht="15">
      <c r="A96" s="439" t="s">
        <v>160</v>
      </c>
      <c r="B96" s="440"/>
      <c r="C96" s="440"/>
      <c r="D96" s="441"/>
      <c r="E96" s="238">
        <f>SUM(E94:E95)</f>
        <v>0</v>
      </c>
      <c r="F96" s="238">
        <f>SUM(F94:F95)</f>
        <v>0</v>
      </c>
      <c r="G96" s="238">
        <f>SUM(G94:G95)</f>
        <v>1</v>
      </c>
      <c r="H96" s="238">
        <f>SUM(H94:H95)</f>
        <v>0</v>
      </c>
      <c r="I96" s="238">
        <f>SUM(I94:I95)</f>
        <v>0</v>
      </c>
      <c r="J96" s="238">
        <f>SUM(J94:J95)</f>
        <v>0</v>
      </c>
      <c r="K96" s="238">
        <f>SUM(K94:K95)</f>
        <v>0</v>
      </c>
      <c r="L96" s="240">
        <f>SUM(E96:K96)</f>
        <v>1</v>
      </c>
      <c r="M96" s="249">
        <f>SUM(M94:M95)</f>
        <v>0</v>
      </c>
      <c r="N96" s="249">
        <f>SUM(N94:N95)</f>
        <v>0</v>
      </c>
      <c r="O96" s="249">
        <f>SUM(O94:O95)</f>
        <v>0</v>
      </c>
      <c r="P96" s="249">
        <f>SUM(P94:P95)</f>
        <v>0</v>
      </c>
      <c r="Q96" s="249">
        <f>SUM(Q94:Q95)</f>
        <v>0</v>
      </c>
      <c r="R96" s="249">
        <f>SUM(R94:R95)</f>
        <v>0</v>
      </c>
      <c r="S96" s="249">
        <f>SUM(S94:S95)</f>
        <v>0</v>
      </c>
      <c r="T96" s="240">
        <f>SUM(M96:S96)</f>
        <v>0</v>
      </c>
      <c r="U96" s="243">
        <f>SUM(T96,L96)</f>
        <v>1</v>
      </c>
      <c r="V96" s="244" t="b">
        <f>IF(T96&gt;0,T96/U96,)</f>
        <v>0</v>
      </c>
    </row>
    <row r="97" spans="1:22" customHeight="1" ht="18">
      <c r="A97" s="407" t="s">
        <v>163</v>
      </c>
      <c r="B97" s="408"/>
      <c r="C97" s="408"/>
      <c r="D97" s="408"/>
      <c r="E97" s="408"/>
      <c r="F97" s="408"/>
      <c r="G97" s="408"/>
      <c r="H97" s="408"/>
      <c r="I97" s="408"/>
      <c r="J97" s="408"/>
      <c r="K97" s="408"/>
      <c r="L97" s="408"/>
      <c r="M97" s="408"/>
      <c r="N97" s="408"/>
      <c r="O97" s="408"/>
      <c r="P97" s="408"/>
      <c r="Q97" s="408"/>
      <c r="R97" s="408"/>
      <c r="S97" s="408"/>
      <c r="T97" s="408"/>
      <c r="U97" s="408"/>
      <c r="V97" s="409"/>
    </row>
    <row r="98" spans="1:22">
      <c r="A98" s="246" t="s">
        <v>201</v>
      </c>
      <c r="B98" s="460" t="s">
        <v>202</v>
      </c>
      <c r="C98" s="460"/>
      <c r="D98" s="461"/>
      <c r="E98" s="218">
        <v>0</v>
      </c>
      <c r="F98" s="219">
        <v>0</v>
      </c>
      <c r="G98" s="219">
        <v>2</v>
      </c>
      <c r="H98" s="219">
        <v>0</v>
      </c>
      <c r="I98" s="219">
        <v>0</v>
      </c>
      <c r="J98" s="219">
        <v>0</v>
      </c>
      <c r="K98" s="220">
        <v>0</v>
      </c>
      <c r="L98" s="247">
        <v>2</v>
      </c>
      <c r="M98" s="228">
        <v>0</v>
      </c>
      <c r="N98" s="229">
        <v>0</v>
      </c>
      <c r="O98" s="229">
        <v>0</v>
      </c>
      <c r="P98" s="229">
        <v>0</v>
      </c>
      <c r="Q98" s="229">
        <v>0</v>
      </c>
      <c r="R98" s="229">
        <v>0</v>
      </c>
      <c r="S98" s="230">
        <v>0</v>
      </c>
      <c r="T98" s="221">
        <v>0</v>
      </c>
      <c r="U98" s="231">
        <v>2</v>
      </c>
      <c r="V98" s="227" t="s">
        <v>132</v>
      </c>
    </row>
    <row r="99" spans="1:22" customHeight="1" ht="15">
      <c r="A99" s="235"/>
      <c r="B99" s="462"/>
      <c r="C99" s="462"/>
      <c r="D99" s="463"/>
      <c r="E99" s="218"/>
      <c r="F99" s="219"/>
      <c r="G99" s="219"/>
      <c r="H99" s="219"/>
      <c r="I99" s="219"/>
      <c r="J99" s="219"/>
      <c r="K99" s="220"/>
      <c r="L99" s="248">
        <f>SUM(E99:K99)</f>
        <v>0</v>
      </c>
      <c r="M99" s="232"/>
      <c r="N99" s="233"/>
      <c r="O99" s="233"/>
      <c r="P99" s="233"/>
      <c r="Q99" s="233"/>
      <c r="R99" s="233"/>
      <c r="S99" s="234"/>
      <c r="T99" s="221">
        <f>SUM(M99:S99)</f>
        <v>0</v>
      </c>
      <c r="U99" s="231">
        <f>SUM(T99,L99)</f>
        <v>0</v>
      </c>
      <c r="V99" s="227" t="b">
        <f>IF(T99&gt;0,T99/U99,)</f>
        <v>0</v>
      </c>
    </row>
    <row r="100" spans="1:22" customHeight="1" ht="15">
      <c r="A100" s="439" t="s">
        <v>160</v>
      </c>
      <c r="B100" s="440"/>
      <c r="C100" s="440"/>
      <c r="D100" s="441"/>
      <c r="E100" s="238">
        <f>SUM(E98:E99)</f>
        <v>0</v>
      </c>
      <c r="F100" s="238">
        <f>SUM(F98:F99)</f>
        <v>0</v>
      </c>
      <c r="G100" s="238">
        <f>SUM(G98:G99)</f>
        <v>2</v>
      </c>
      <c r="H100" s="238">
        <f>SUM(H98:H99)</f>
        <v>0</v>
      </c>
      <c r="I100" s="238">
        <f>SUM(I98:I99)</f>
        <v>0</v>
      </c>
      <c r="J100" s="238">
        <f>SUM(J98:J99)</f>
        <v>0</v>
      </c>
      <c r="K100" s="238">
        <f>SUM(K98:K99)</f>
        <v>0</v>
      </c>
      <c r="L100" s="240">
        <f>SUM(E100:K100)</f>
        <v>2</v>
      </c>
      <c r="M100" s="249">
        <f>SUM(M98:M99)</f>
        <v>0</v>
      </c>
      <c r="N100" s="249">
        <f>SUM(N98:N99)</f>
        <v>0</v>
      </c>
      <c r="O100" s="249">
        <f>SUM(O98:O99)</f>
        <v>0</v>
      </c>
      <c r="P100" s="249">
        <f>SUM(P98:P99)</f>
        <v>0</v>
      </c>
      <c r="Q100" s="249">
        <f>SUM(Q98:Q99)</f>
        <v>0</v>
      </c>
      <c r="R100" s="249">
        <f>SUM(R98:R99)</f>
        <v>0</v>
      </c>
      <c r="S100" s="249">
        <f>SUM(S98:S99)</f>
        <v>0</v>
      </c>
      <c r="T100" s="240">
        <f>SUM(M100:S100)</f>
        <v>0</v>
      </c>
      <c r="U100" s="243">
        <f>SUM(T100,L100)</f>
        <v>2</v>
      </c>
      <c r="V100" s="244" t="b">
        <f>IF(T100&gt;0,T100/U100,)</f>
        <v>0</v>
      </c>
    </row>
    <row r="101" spans="1:22" customHeight="1" ht="18">
      <c r="A101" s="407" t="s">
        <v>164</v>
      </c>
      <c r="B101" s="408"/>
      <c r="C101" s="408"/>
      <c r="D101" s="408"/>
      <c r="E101" s="408"/>
      <c r="F101" s="408"/>
      <c r="G101" s="408"/>
      <c r="H101" s="408"/>
      <c r="I101" s="408"/>
      <c r="J101" s="408"/>
      <c r="K101" s="408"/>
      <c r="L101" s="408"/>
      <c r="M101" s="408"/>
      <c r="N101" s="408"/>
      <c r="O101" s="408"/>
      <c r="P101" s="408"/>
      <c r="Q101" s="408"/>
      <c r="R101" s="408"/>
      <c r="S101" s="408"/>
      <c r="T101" s="408"/>
      <c r="U101" s="408"/>
      <c r="V101" s="409"/>
    </row>
    <row r="102" spans="1:22">
      <c r="A102" s="259"/>
      <c r="B102" s="450"/>
      <c r="C102" s="450"/>
      <c r="D102" s="451"/>
      <c r="E102" s="251"/>
      <c r="F102" s="252"/>
      <c r="G102" s="252"/>
      <c r="H102" s="252"/>
      <c r="I102" s="252"/>
      <c r="J102" s="252"/>
      <c r="K102" s="253"/>
      <c r="L102" s="248">
        <f>SUM(E102:K102)</f>
        <v>0</v>
      </c>
      <c r="M102" s="254"/>
      <c r="N102" s="255"/>
      <c r="O102" s="255"/>
      <c r="P102" s="255"/>
      <c r="Q102" s="255"/>
      <c r="R102" s="255"/>
      <c r="S102" s="256"/>
      <c r="T102" s="248">
        <f>SUM(M102:S102)</f>
        <v>0</v>
      </c>
      <c r="U102" s="257">
        <f>SUM(T102,L102)</f>
        <v>0</v>
      </c>
      <c r="V102" s="258" t="b">
        <f>IF(T102&gt;0,T102/U102,)</f>
        <v>0</v>
      </c>
    </row>
    <row r="103" spans="1:22" customHeight="1" ht="15">
      <c r="A103" s="262"/>
      <c r="B103" s="452"/>
      <c r="C103" s="452"/>
      <c r="D103" s="453"/>
      <c r="E103" s="251"/>
      <c r="F103" s="252"/>
      <c r="G103" s="252"/>
      <c r="H103" s="252"/>
      <c r="I103" s="252"/>
      <c r="J103" s="252"/>
      <c r="K103" s="253"/>
      <c r="L103" s="248">
        <f>SUM(E103:K103)</f>
        <v>0</v>
      </c>
      <c r="M103" s="228"/>
      <c r="N103" s="229"/>
      <c r="O103" s="229"/>
      <c r="P103" s="229"/>
      <c r="Q103" s="229"/>
      <c r="R103" s="229"/>
      <c r="S103" s="263"/>
      <c r="T103" s="248">
        <f>SUM(M103:S103)</f>
        <v>0</v>
      </c>
      <c r="U103" s="257">
        <f>SUM(T103,L103)</f>
        <v>0</v>
      </c>
      <c r="V103" s="258" t="b">
        <f>IF(T103&gt;0,T103/U103,)</f>
        <v>0</v>
      </c>
    </row>
    <row r="104" spans="1:22" customHeight="1" ht="15">
      <c r="A104" s="236" t="s">
        <v>160</v>
      </c>
      <c r="B104" s="237"/>
      <c r="C104" s="237"/>
      <c r="D104" s="237"/>
      <c r="E104" s="238">
        <f>SUM(E102:E103)</f>
        <v>0</v>
      </c>
      <c r="F104" s="238">
        <f>SUM(F102:F103)</f>
        <v>0</v>
      </c>
      <c r="G104" s="238">
        <f>SUM(G102:G103)</f>
        <v>0</v>
      </c>
      <c r="H104" s="238">
        <f>SUM(H102:H103)</f>
        <v>0</v>
      </c>
      <c r="I104" s="238">
        <f>SUM(I102:I103)</f>
        <v>0</v>
      </c>
      <c r="J104" s="238">
        <f>SUM(J102:J103)</f>
        <v>0</v>
      </c>
      <c r="K104" s="238">
        <f>SUM(K102:K103)</f>
        <v>0</v>
      </c>
      <c r="L104" s="240">
        <f>SUM(E104:K104)</f>
        <v>0</v>
      </c>
      <c r="M104" s="249">
        <f>SUM(M102:M103)</f>
        <v>0</v>
      </c>
      <c r="N104" s="249">
        <f>SUM(N102:N103)</f>
        <v>0</v>
      </c>
      <c r="O104" s="249">
        <f>SUM(O102:O103)</f>
        <v>0</v>
      </c>
      <c r="P104" s="249">
        <f>SUM(P102:P103)</f>
        <v>0</v>
      </c>
      <c r="Q104" s="249">
        <f>SUM(Q102:Q103)</f>
        <v>0</v>
      </c>
      <c r="R104" s="249">
        <f>SUM(R102:R103)</f>
        <v>0</v>
      </c>
      <c r="S104" s="249">
        <f>SUM(S102:S103)</f>
        <v>0</v>
      </c>
      <c r="T104" s="240">
        <f>SUM(M104:S104)</f>
        <v>0</v>
      </c>
      <c r="U104" s="243">
        <f>SUM(T104,L104)</f>
        <v>0</v>
      </c>
      <c r="V104" s="244" t="b">
        <f>IF(T104&gt;0,T104/U104,)</f>
        <v>0</v>
      </c>
    </row>
    <row r="105" spans="1:22" customHeight="1" ht="18">
      <c r="A105" s="407" t="s">
        <v>168</v>
      </c>
      <c r="B105" s="408"/>
      <c r="C105" s="408"/>
      <c r="D105" s="408"/>
      <c r="E105" s="408"/>
      <c r="F105" s="408"/>
      <c r="G105" s="408"/>
      <c r="H105" s="408"/>
      <c r="I105" s="408"/>
      <c r="J105" s="408"/>
      <c r="K105" s="408"/>
      <c r="L105" s="408"/>
      <c r="M105" s="408"/>
      <c r="N105" s="408"/>
      <c r="O105" s="408"/>
      <c r="P105" s="408"/>
      <c r="Q105" s="408"/>
      <c r="R105" s="408"/>
      <c r="S105" s="408"/>
      <c r="T105" s="408"/>
      <c r="U105" s="408"/>
      <c r="V105" s="409"/>
    </row>
    <row r="106" spans="1:22">
      <c r="A106" s="265"/>
      <c r="B106" s="437"/>
      <c r="C106" s="437"/>
      <c r="D106" s="438"/>
      <c r="E106" s="266"/>
      <c r="F106" s="261"/>
      <c r="G106" s="261"/>
      <c r="H106" s="261"/>
      <c r="I106" s="261"/>
      <c r="J106" s="261"/>
      <c r="K106" s="260"/>
      <c r="L106" s="221">
        <f>SUM(E106:K106)</f>
        <v>0</v>
      </c>
      <c r="M106" s="267"/>
      <c r="N106" s="268"/>
      <c r="O106" s="268"/>
      <c r="P106" s="268"/>
      <c r="Q106" s="268"/>
      <c r="R106" s="268"/>
      <c r="S106" s="269"/>
      <c r="T106" s="221">
        <f>SUM(M106:S106)</f>
        <v>0</v>
      </c>
      <c r="U106" s="231">
        <f>SUM(T106,L106)</f>
        <v>0</v>
      </c>
      <c r="V106" s="227" t="b">
        <f>IF(T106&gt;0,T106/U106,)</f>
        <v>0</v>
      </c>
    </row>
    <row r="107" spans="1:22" customHeight="1" ht="15">
      <c r="A107" s="270"/>
      <c r="B107" s="448"/>
      <c r="C107" s="448"/>
      <c r="D107" s="449"/>
      <c r="E107" s="266"/>
      <c r="F107" s="261"/>
      <c r="G107" s="261"/>
      <c r="H107" s="261"/>
      <c r="I107" s="261"/>
      <c r="J107" s="261"/>
      <c r="K107" s="260"/>
      <c r="L107" s="221">
        <f>SUM(E107:K107)</f>
        <v>0</v>
      </c>
      <c r="M107" s="267"/>
      <c r="N107" s="268"/>
      <c r="O107" s="268"/>
      <c r="P107" s="268"/>
      <c r="Q107" s="268"/>
      <c r="R107" s="268"/>
      <c r="S107" s="269"/>
      <c r="T107" s="221">
        <f>SUM(M107:S107)</f>
        <v>0</v>
      </c>
      <c r="U107" s="231">
        <f>SUM(T107,L107)</f>
        <v>0</v>
      </c>
      <c r="V107" s="227" t="b">
        <f>IF(T107&gt;0,T107/U107,)</f>
        <v>0</v>
      </c>
    </row>
    <row r="108" spans="1:22" customHeight="1" ht="15">
      <c r="A108" s="439" t="s">
        <v>160</v>
      </c>
      <c r="B108" s="440"/>
      <c r="C108" s="440"/>
      <c r="D108" s="441"/>
      <c r="E108" s="238">
        <f>SUM(E106:E107)</f>
        <v>0</v>
      </c>
      <c r="F108" s="238">
        <f>SUM(F106:F107)</f>
        <v>0</v>
      </c>
      <c r="G108" s="238">
        <f>SUM(G106:G107)</f>
        <v>0</v>
      </c>
      <c r="H108" s="238">
        <f>SUM(H106:H107)</f>
        <v>0</v>
      </c>
      <c r="I108" s="238">
        <f>SUM(I106:I107)</f>
        <v>0</v>
      </c>
      <c r="J108" s="238">
        <f>SUM(J106:J107)</f>
        <v>0</v>
      </c>
      <c r="K108" s="238">
        <f>SUM(K106:K107)</f>
        <v>0</v>
      </c>
      <c r="L108" s="240">
        <f>SUM(E108:K108)</f>
        <v>0</v>
      </c>
      <c r="M108" s="238">
        <f>SUM(M106:M107)</f>
        <v>0</v>
      </c>
      <c r="N108" s="238">
        <f>SUM(N106:N107)</f>
        <v>0</v>
      </c>
      <c r="O108" s="238">
        <f>SUM(O106:O107)</f>
        <v>0</v>
      </c>
      <c r="P108" s="238">
        <f>SUM(P106:P107)</f>
        <v>0</v>
      </c>
      <c r="Q108" s="238">
        <f>SUM(Q106:Q107)</f>
        <v>0</v>
      </c>
      <c r="R108" s="238">
        <f>SUM(R106:R107)</f>
        <v>0</v>
      </c>
      <c r="S108" s="242">
        <f>SUM(S106:S107)</f>
        <v>0</v>
      </c>
      <c r="T108" s="240">
        <f>SUM(M108:S108)</f>
        <v>0</v>
      </c>
      <c r="U108" s="243">
        <f>SUM(T108,L108)</f>
        <v>0</v>
      </c>
      <c r="V108" s="244" t="b">
        <f>IF(T108&gt;0,T108/U108,)</f>
        <v>0</v>
      </c>
    </row>
    <row r="109" spans="1:22" customHeight="1" ht="18">
      <c r="A109" s="407" t="s">
        <v>171</v>
      </c>
      <c r="B109" s="408"/>
      <c r="C109" s="408"/>
      <c r="D109" s="408"/>
      <c r="E109" s="408"/>
      <c r="F109" s="408"/>
      <c r="G109" s="408"/>
      <c r="H109" s="408"/>
      <c r="I109" s="408"/>
      <c r="J109" s="408"/>
      <c r="K109" s="408"/>
      <c r="L109" s="408"/>
      <c r="M109" s="408"/>
      <c r="N109" s="408"/>
      <c r="O109" s="408"/>
      <c r="P109" s="408"/>
      <c r="Q109" s="408"/>
      <c r="R109" s="408"/>
      <c r="S109" s="408"/>
      <c r="T109" s="408"/>
      <c r="U109" s="408"/>
      <c r="V109" s="409"/>
    </row>
    <row r="110" spans="1:22">
      <c r="A110" s="272" t="s">
        <v>105</v>
      </c>
      <c r="B110" s="437" t="s">
        <v>106</v>
      </c>
      <c r="C110" s="437"/>
      <c r="D110" s="438"/>
      <c r="E110" s="266">
        <v>2</v>
      </c>
      <c r="F110" s="261">
        <v>2</v>
      </c>
      <c r="G110" s="261">
        <v>0</v>
      </c>
      <c r="H110" s="261">
        <v>0</v>
      </c>
      <c r="I110" s="261">
        <v>0</v>
      </c>
      <c r="J110" s="261">
        <v>0</v>
      </c>
      <c r="K110" s="260">
        <v>0</v>
      </c>
      <c r="L110" s="221">
        <v>4</v>
      </c>
      <c r="M110" s="267">
        <v>0</v>
      </c>
      <c r="N110" s="268">
        <v>0</v>
      </c>
      <c r="O110" s="268">
        <v>0</v>
      </c>
      <c r="P110" s="268">
        <v>0</v>
      </c>
      <c r="Q110" s="268">
        <v>0</v>
      </c>
      <c r="R110" s="268">
        <v>0</v>
      </c>
      <c r="S110" s="269">
        <v>0</v>
      </c>
      <c r="T110" s="221">
        <v>0</v>
      </c>
      <c r="U110" s="231">
        <v>4</v>
      </c>
      <c r="V110" s="227" t="s">
        <v>132</v>
      </c>
    </row>
    <row r="111" spans="1:22" customHeight="1" ht="15">
      <c r="A111" s="272"/>
      <c r="B111" s="446"/>
      <c r="C111" s="446"/>
      <c r="D111" s="447"/>
      <c r="E111" s="266"/>
      <c r="F111" s="261"/>
      <c r="G111" s="261"/>
      <c r="H111" s="261"/>
      <c r="I111" s="261"/>
      <c r="J111" s="261"/>
      <c r="K111" s="260"/>
      <c r="L111" s="221">
        <f>SUM(E111:K111)</f>
        <v>0</v>
      </c>
      <c r="M111" s="267"/>
      <c r="N111" s="268"/>
      <c r="O111" s="268"/>
      <c r="P111" s="268"/>
      <c r="Q111" s="268"/>
      <c r="R111" s="268"/>
      <c r="S111" s="269"/>
      <c r="T111" s="221">
        <f>SUM(M111:S111)</f>
        <v>0</v>
      </c>
      <c r="U111" s="231">
        <f>SUM(T111,L111)</f>
        <v>0</v>
      </c>
      <c r="V111" s="227" t="b">
        <f>IF(T111&gt;0,T111/U111,)</f>
        <v>0</v>
      </c>
    </row>
    <row r="112" spans="1:22" customHeight="1" ht="15">
      <c r="A112" s="412" t="s">
        <v>160</v>
      </c>
      <c r="B112" s="413"/>
      <c r="C112" s="413"/>
      <c r="D112" s="414"/>
      <c r="E112" s="238">
        <f>SUM(E110:E111)</f>
        <v>2</v>
      </c>
      <c r="F112" s="238">
        <f>SUM(F110:F111)</f>
        <v>2</v>
      </c>
      <c r="G112" s="238">
        <f>SUM(G110:G111)</f>
        <v>0</v>
      </c>
      <c r="H112" s="238">
        <f>SUM(H110:H111)</f>
        <v>0</v>
      </c>
      <c r="I112" s="238">
        <f>SUM(I110:I111)</f>
        <v>0</v>
      </c>
      <c r="J112" s="238">
        <f>SUM(J110:J111)</f>
        <v>0</v>
      </c>
      <c r="K112" s="238">
        <f>SUM(K110:K111)</f>
        <v>0</v>
      </c>
      <c r="L112" s="240">
        <f>SUM(E112:K112)</f>
        <v>4</v>
      </c>
      <c r="M112" s="241">
        <f>SUM(M110:M111)</f>
        <v>0</v>
      </c>
      <c r="N112" s="238">
        <f>SUM(N110:N111)</f>
        <v>0</v>
      </c>
      <c r="O112" s="238">
        <f>SUM(O110:O111)</f>
        <v>0</v>
      </c>
      <c r="P112" s="238">
        <f>SUM(P110:P111)</f>
        <v>0</v>
      </c>
      <c r="Q112" s="238">
        <f>SUM(Q110:Q111)</f>
        <v>0</v>
      </c>
      <c r="R112" s="238">
        <f>SUM(R110:R111)</f>
        <v>0</v>
      </c>
      <c r="S112" s="242">
        <f>SUM(S110:S111)</f>
        <v>0</v>
      </c>
      <c r="T112" s="240">
        <f>SUM(M112:S112)</f>
        <v>0</v>
      </c>
      <c r="U112" s="243">
        <f>SUM(T112,L112)</f>
        <v>4</v>
      </c>
      <c r="V112" s="244" t="b">
        <f>IF(T112&gt;0,T112/U112,)</f>
        <v>0</v>
      </c>
    </row>
    <row r="113" spans="1:22" customHeight="1" ht="18">
      <c r="A113" s="407" t="s">
        <v>177</v>
      </c>
      <c r="B113" s="408"/>
      <c r="C113" s="408"/>
      <c r="D113" s="408"/>
      <c r="E113" s="408"/>
      <c r="F113" s="408"/>
      <c r="G113" s="408"/>
      <c r="H113" s="408"/>
      <c r="I113" s="408"/>
      <c r="J113" s="408"/>
      <c r="K113" s="408"/>
      <c r="L113" s="408"/>
      <c r="M113" s="408"/>
      <c r="N113" s="408"/>
      <c r="O113" s="408"/>
      <c r="P113" s="408"/>
      <c r="Q113" s="408"/>
      <c r="R113" s="408"/>
      <c r="S113" s="408"/>
      <c r="T113" s="408"/>
      <c r="U113" s="408"/>
      <c r="V113" s="409"/>
    </row>
    <row r="114" spans="1:22">
      <c r="A114" s="259"/>
      <c r="B114" s="444"/>
      <c r="C114" s="444"/>
      <c r="D114" s="445"/>
      <c r="E114" s="273"/>
      <c r="F114" s="274"/>
      <c r="G114" s="275"/>
      <c r="H114" s="274"/>
      <c r="I114" s="274"/>
      <c r="J114" s="275"/>
      <c r="K114" s="133"/>
      <c r="L114" s="225">
        <f>SUM(E114:K114)</f>
        <v>0</v>
      </c>
      <c r="M114" s="222"/>
      <c r="N114" s="223"/>
      <c r="O114" s="223"/>
      <c r="P114" s="223"/>
      <c r="Q114" s="223"/>
      <c r="R114" s="223"/>
      <c r="S114" s="224"/>
      <c r="T114" s="225">
        <f>SUM(M114:S114)</f>
        <v>0</v>
      </c>
      <c r="U114" s="226">
        <f>SUM(T114,L114)</f>
        <v>0</v>
      </c>
      <c r="V114" s="245" t="b">
        <f>IF(T114&gt;0,T114/U114,)</f>
        <v>0</v>
      </c>
    </row>
    <row r="115" spans="1:22" customHeight="1" ht="15">
      <c r="A115" s="259"/>
      <c r="B115" s="442"/>
      <c r="C115" s="442"/>
      <c r="D115" s="443"/>
      <c r="E115" s="273"/>
      <c r="F115" s="274"/>
      <c r="G115" s="275"/>
      <c r="H115" s="274"/>
      <c r="I115" s="274"/>
      <c r="J115" s="275"/>
      <c r="K115" s="133"/>
      <c r="L115" s="248">
        <f>SUM(E115:K115)</f>
        <v>0</v>
      </c>
      <c r="M115" s="228"/>
      <c r="N115" s="229"/>
      <c r="O115" s="229"/>
      <c r="P115" s="229"/>
      <c r="Q115" s="229"/>
      <c r="R115" s="229"/>
      <c r="S115" s="230"/>
      <c r="T115" s="248">
        <f>SUM(M115:S115)</f>
        <v>0</v>
      </c>
      <c r="U115" s="257">
        <f>SUM(T115,L115)</f>
        <v>0</v>
      </c>
      <c r="V115" s="258" t="b">
        <f>IF(T115&gt;0,T115/U115,)</f>
        <v>0</v>
      </c>
    </row>
    <row r="116" spans="1:22" customHeight="1" ht="15">
      <c r="A116" s="236" t="s">
        <v>160</v>
      </c>
      <c r="B116" s="237"/>
      <c r="C116" s="237"/>
      <c r="D116" s="237"/>
      <c r="E116" s="238">
        <f>SUM(E114:E115)</f>
        <v>0</v>
      </c>
      <c r="F116" s="238">
        <f>SUM(F114:F115)</f>
        <v>0</v>
      </c>
      <c r="G116" s="238">
        <f>SUM(G114:G115)</f>
        <v>0</v>
      </c>
      <c r="H116" s="238">
        <f>SUM(H114:H115)</f>
        <v>0</v>
      </c>
      <c r="I116" s="238">
        <f>SUM(I114:I115)</f>
        <v>0</v>
      </c>
      <c r="J116" s="238">
        <f>SUM(J114:J115)</f>
        <v>0</v>
      </c>
      <c r="K116" s="238">
        <f>SUM(K114:K115)</f>
        <v>0</v>
      </c>
      <c r="L116" s="240">
        <f>SUM(E116:K116)</f>
        <v>0</v>
      </c>
      <c r="M116" s="314">
        <f>SUM(M114:M115)</f>
        <v>0</v>
      </c>
      <c r="N116" s="314">
        <f>SUM(N114:N115)</f>
        <v>0</v>
      </c>
      <c r="O116" s="314">
        <f>SUM(O114:O115)</f>
        <v>0</v>
      </c>
      <c r="P116" s="314">
        <f>SUM(P114:P115)</f>
        <v>0</v>
      </c>
      <c r="Q116" s="314">
        <f>SUM(Q114:Q115)</f>
        <v>0</v>
      </c>
      <c r="R116" s="314">
        <f>SUM(R114:R115)</f>
        <v>0</v>
      </c>
      <c r="S116" s="314">
        <f>SUM(S114:S115)</f>
        <v>0</v>
      </c>
      <c r="T116" s="240">
        <f>SUM(M116:S116)</f>
        <v>0</v>
      </c>
      <c r="U116" s="243">
        <f>SUM(T116,L116)</f>
        <v>0</v>
      </c>
      <c r="V116" s="244" t="b">
        <f>IF(T116&gt;0,T116/U116,)</f>
        <v>0</v>
      </c>
    </row>
    <row r="117" spans="1:22" customHeight="1" ht="18">
      <c r="A117" s="407" t="s">
        <v>181</v>
      </c>
      <c r="B117" s="408"/>
      <c r="C117" s="408"/>
      <c r="D117" s="408"/>
      <c r="E117" s="408"/>
      <c r="F117" s="408"/>
      <c r="G117" s="408"/>
      <c r="H117" s="408"/>
      <c r="I117" s="408"/>
      <c r="J117" s="408"/>
      <c r="K117" s="408"/>
      <c r="L117" s="408"/>
      <c r="M117" s="408"/>
      <c r="N117" s="408"/>
      <c r="O117" s="408"/>
      <c r="P117" s="408"/>
      <c r="Q117" s="408"/>
      <c r="R117" s="408"/>
      <c r="S117" s="408"/>
      <c r="T117" s="408"/>
      <c r="U117" s="408"/>
      <c r="V117" s="409"/>
    </row>
    <row r="118" spans="1:22">
      <c r="A118" s="276" t="s">
        <v>60</v>
      </c>
      <c r="B118" s="437" t="s">
        <v>61</v>
      </c>
      <c r="C118" s="437"/>
      <c r="D118" s="438"/>
      <c r="E118" s="251">
        <v>2</v>
      </c>
      <c r="F118" s="252">
        <v>5</v>
      </c>
      <c r="G118" s="252">
        <v>0</v>
      </c>
      <c r="H118" s="252">
        <v>0</v>
      </c>
      <c r="I118" s="252">
        <v>0</v>
      </c>
      <c r="J118" s="252">
        <v>0</v>
      </c>
      <c r="K118" s="253">
        <v>0</v>
      </c>
      <c r="L118" s="221">
        <v>7</v>
      </c>
      <c r="M118" s="232">
        <v>1</v>
      </c>
      <c r="N118" s="233">
        <v>0</v>
      </c>
      <c r="O118" s="233">
        <v>0</v>
      </c>
      <c r="P118" s="233">
        <v>0</v>
      </c>
      <c r="Q118" s="233">
        <v>0</v>
      </c>
      <c r="R118" s="233">
        <v>0</v>
      </c>
      <c r="S118" s="234">
        <v>0</v>
      </c>
      <c r="T118" s="221">
        <v>1</v>
      </c>
      <c r="U118" s="231">
        <v>8</v>
      </c>
      <c r="V118" s="227" t="s">
        <v>203</v>
      </c>
    </row>
    <row r="119" spans="1:22" customHeight="1" ht="15">
      <c r="A119" s="276"/>
      <c r="B119" s="437"/>
      <c r="C119" s="437"/>
      <c r="D119" s="438"/>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439" t="s">
        <v>160</v>
      </c>
      <c r="B120" s="440"/>
      <c r="C120" s="440"/>
      <c r="D120" s="441"/>
      <c r="E120" s="238">
        <f>SUM(E118:E119)</f>
        <v>2</v>
      </c>
      <c r="F120" s="238">
        <f>SUM(F118:F119)</f>
        <v>5</v>
      </c>
      <c r="G120" s="238">
        <f>SUM(G118:G119)</f>
        <v>0</v>
      </c>
      <c r="H120" s="238">
        <f>SUM(H118:H119)</f>
        <v>0</v>
      </c>
      <c r="I120" s="238">
        <f>SUM(I118:I119)</f>
        <v>0</v>
      </c>
      <c r="J120" s="238">
        <f>SUM(J118:J119)</f>
        <v>0</v>
      </c>
      <c r="K120" s="238">
        <f>SUM(K118:K119)</f>
        <v>0</v>
      </c>
      <c r="L120" s="240">
        <f>SUM(E120:K120)</f>
        <v>7</v>
      </c>
      <c r="M120" s="238">
        <f>SUM(M118:M119)</f>
        <v>1</v>
      </c>
      <c r="N120" s="238">
        <f>SUM(N118:N119)</f>
        <v>0</v>
      </c>
      <c r="O120" s="238">
        <f>SUM(O118:O119)</f>
        <v>0</v>
      </c>
      <c r="P120" s="238">
        <f>SUM(P118:P119)</f>
        <v>0</v>
      </c>
      <c r="Q120" s="238">
        <f>SUM(Q118:Q119)</f>
        <v>0</v>
      </c>
      <c r="R120" s="238">
        <f>SUM(R118:R119)</f>
        <v>0</v>
      </c>
      <c r="S120" s="238">
        <f>SUM(S118:S119)</f>
        <v>0</v>
      </c>
      <c r="T120" s="240">
        <f>SUM(M120:S120)</f>
        <v>1</v>
      </c>
      <c r="U120" s="243">
        <f>SUM(T120,L120)</f>
        <v>8</v>
      </c>
      <c r="V120" s="244">
        <f>IF(T120&gt;0,T120/U120,)</f>
        <v>0.125</v>
      </c>
    </row>
    <row r="121" spans="1:22" customHeight="1" ht="18">
      <c r="A121" s="407" t="s">
        <v>184</v>
      </c>
      <c r="B121" s="408"/>
      <c r="C121" s="408"/>
      <c r="D121" s="408"/>
      <c r="E121" s="408"/>
      <c r="F121" s="408"/>
      <c r="G121" s="408"/>
      <c r="H121" s="408"/>
      <c r="I121" s="408"/>
      <c r="J121" s="408"/>
      <c r="K121" s="408"/>
      <c r="L121" s="408"/>
      <c r="M121" s="408"/>
      <c r="N121" s="408"/>
      <c r="O121" s="408"/>
      <c r="P121" s="408"/>
      <c r="Q121" s="408"/>
      <c r="R121" s="408"/>
      <c r="S121" s="408"/>
      <c r="T121" s="408"/>
      <c r="U121" s="408"/>
      <c r="V121" s="409"/>
    </row>
    <row r="122" spans="1:22">
      <c r="A122" s="276"/>
      <c r="B122" s="437"/>
      <c r="C122" s="437"/>
      <c r="D122" s="438"/>
      <c r="E122" s="251"/>
      <c r="F122" s="252"/>
      <c r="G122" s="252"/>
      <c r="H122" s="252"/>
      <c r="I122" s="252"/>
      <c r="J122" s="252"/>
      <c r="K122" s="253"/>
      <c r="L122" s="221">
        <f>SUM(E122:K122)</f>
        <v>0</v>
      </c>
      <c r="M122" s="232"/>
      <c r="N122" s="233"/>
      <c r="O122" s="233"/>
      <c r="P122" s="233"/>
      <c r="Q122" s="233"/>
      <c r="R122" s="233"/>
      <c r="S122" s="234"/>
      <c r="T122" s="221">
        <f>SUM(M122:S122)</f>
        <v>0</v>
      </c>
      <c r="U122" s="231">
        <f>SUM(T122,L122)</f>
        <v>0</v>
      </c>
      <c r="V122" s="227" t="b">
        <f>IF(T122&gt;0,T122/U122,)</f>
        <v>0</v>
      </c>
    </row>
    <row r="123" spans="1:22" customHeight="1" ht="15">
      <c r="A123" s="276"/>
      <c r="B123" s="437"/>
      <c r="C123" s="437"/>
      <c r="D123" s="438"/>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36" t="s">
        <v>160</v>
      </c>
      <c r="B124" s="237"/>
      <c r="C124" s="237"/>
      <c r="D124" s="237"/>
      <c r="E124" s="238">
        <f>SUM(E122:E123)</f>
        <v>0</v>
      </c>
      <c r="F124" s="238">
        <f>SUM(F122:F123)</f>
        <v>0</v>
      </c>
      <c r="G124" s="238">
        <f>SUM(G122:G123)</f>
        <v>0</v>
      </c>
      <c r="H124" s="238">
        <f>SUM(H122:H123)</f>
        <v>0</v>
      </c>
      <c r="I124" s="238">
        <f>SUM(I122:I123)</f>
        <v>0</v>
      </c>
      <c r="J124" s="238">
        <f>SUM(J122:J123)</f>
        <v>0</v>
      </c>
      <c r="K124" s="238">
        <f>SUM(K122:K123)</f>
        <v>0</v>
      </c>
      <c r="L124" s="240">
        <f>SUM(E124:K124)</f>
        <v>0</v>
      </c>
      <c r="M124" s="314">
        <f>SUM(M122:M123)</f>
        <v>0</v>
      </c>
      <c r="N124" s="314">
        <f>SUM(N122:N123)</f>
        <v>0</v>
      </c>
      <c r="O124" s="314">
        <f>SUM(O122:O123)</f>
        <v>0</v>
      </c>
      <c r="P124" s="314">
        <f>SUM(P122:P123)</f>
        <v>0</v>
      </c>
      <c r="Q124" s="314">
        <f>SUM(Q122:Q123)</f>
        <v>0</v>
      </c>
      <c r="R124" s="314">
        <f>SUM(R122:R123)</f>
        <v>0</v>
      </c>
      <c r="S124" s="314">
        <f>SUM(S122:S123)</f>
        <v>0</v>
      </c>
      <c r="T124" s="240">
        <f>SUM(M124:S124)</f>
        <v>0</v>
      </c>
      <c r="U124" s="243">
        <f>SUM(T124,L124)</f>
        <v>0</v>
      </c>
      <c r="V124" s="244" t="b">
        <f>IF(T124&gt;0,T124/U124,)</f>
        <v>0</v>
      </c>
    </row>
    <row r="125" spans="1:22" customHeight="1" ht="18">
      <c r="A125" s="407" t="s">
        <v>186</v>
      </c>
      <c r="B125" s="408"/>
      <c r="C125" s="408"/>
      <c r="D125" s="408"/>
      <c r="E125" s="408"/>
      <c r="F125" s="408"/>
      <c r="G125" s="408"/>
      <c r="H125" s="408"/>
      <c r="I125" s="408"/>
      <c r="J125" s="408"/>
      <c r="K125" s="408"/>
      <c r="L125" s="408"/>
      <c r="M125" s="408"/>
      <c r="N125" s="408"/>
      <c r="O125" s="408"/>
      <c r="P125" s="408"/>
      <c r="Q125" s="408"/>
      <c r="R125" s="408"/>
      <c r="S125" s="408"/>
      <c r="T125" s="408"/>
      <c r="U125" s="408"/>
      <c r="V125" s="409"/>
    </row>
    <row r="126" spans="1:22">
      <c r="A126" s="276"/>
      <c r="B126" s="437"/>
      <c r="C126" s="437"/>
      <c r="D126" s="438"/>
      <c r="E126" s="251"/>
      <c r="F126" s="252"/>
      <c r="G126" s="252"/>
      <c r="H126" s="252"/>
      <c r="I126" s="252"/>
      <c r="J126" s="252"/>
      <c r="K126" s="253"/>
      <c r="L126" s="221">
        <f>SUM(E126:K126)</f>
        <v>0</v>
      </c>
      <c r="M126" s="232"/>
      <c r="N126" s="233"/>
      <c r="O126" s="233"/>
      <c r="P126" s="233"/>
      <c r="Q126" s="233"/>
      <c r="R126" s="233"/>
      <c r="S126" s="234"/>
      <c r="T126" s="221">
        <f>SUM(M126:S126)</f>
        <v>0</v>
      </c>
      <c r="U126" s="231">
        <f>SUM(T126,L126)</f>
        <v>0</v>
      </c>
      <c r="V126" s="227" t="b">
        <f>IF(T126&gt;0,T126/U126,)</f>
        <v>0</v>
      </c>
    </row>
    <row r="127" spans="1:22" customHeight="1" ht="15">
      <c r="A127" s="276"/>
      <c r="B127" s="437"/>
      <c r="C127" s="437"/>
      <c r="D127" s="438"/>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36" t="s">
        <v>160</v>
      </c>
      <c r="B128" s="237"/>
      <c r="C128" s="237"/>
      <c r="D128" s="237"/>
      <c r="E128" s="238">
        <f>SUM(E126:E127)</f>
        <v>0</v>
      </c>
      <c r="F128" s="238">
        <f>SUM(F126:F127)</f>
        <v>0</v>
      </c>
      <c r="G128" s="238">
        <f>SUM(G126:G127)</f>
        <v>0</v>
      </c>
      <c r="H128" s="238">
        <f>SUM(H126:H127)</f>
        <v>0</v>
      </c>
      <c r="I128" s="238">
        <f>SUM(I126:I127)</f>
        <v>0</v>
      </c>
      <c r="J128" s="238">
        <f>SUM(J126:J127)</f>
        <v>0</v>
      </c>
      <c r="K128" s="238">
        <f>SUM(K126:K127)</f>
        <v>0</v>
      </c>
      <c r="L128" s="240">
        <f>SUM(E128:K128)</f>
        <v>0</v>
      </c>
      <c r="M128" s="314">
        <f>SUM(M126:M127)</f>
        <v>0</v>
      </c>
      <c r="N128" s="314">
        <f>SUM(N126:N127)</f>
        <v>0</v>
      </c>
      <c r="O128" s="314">
        <f>SUM(O126:O127)</f>
        <v>0</v>
      </c>
      <c r="P128" s="314">
        <f>SUM(P126:P127)</f>
        <v>0</v>
      </c>
      <c r="Q128" s="314">
        <f>SUM(Q126:Q127)</f>
        <v>0</v>
      </c>
      <c r="R128" s="314">
        <f>SUM(R126:R127)</f>
        <v>0</v>
      </c>
      <c r="S128" s="314">
        <f>SUM(S126:S127)</f>
        <v>0</v>
      </c>
      <c r="T128" s="240">
        <f>SUM(M128:S128)</f>
        <v>0</v>
      </c>
      <c r="U128" s="243">
        <f>SUM(T128,L128)</f>
        <v>0</v>
      </c>
      <c r="V128" s="244" t="b">
        <f>IF(T128&gt;0,T128/U128,)</f>
        <v>0</v>
      </c>
    </row>
    <row r="129" spans="1:22" customHeight="1" ht="18">
      <c r="A129" s="407" t="s">
        <v>190</v>
      </c>
      <c r="B129" s="408"/>
      <c r="C129" s="408"/>
      <c r="D129" s="408"/>
      <c r="E129" s="408"/>
      <c r="F129" s="408"/>
      <c r="G129" s="408"/>
      <c r="H129" s="408"/>
      <c r="I129" s="408"/>
      <c r="J129" s="408"/>
      <c r="K129" s="408"/>
      <c r="L129" s="408"/>
      <c r="M129" s="408"/>
      <c r="N129" s="408"/>
      <c r="O129" s="408"/>
      <c r="P129" s="408"/>
      <c r="Q129" s="408"/>
      <c r="R129" s="408"/>
      <c r="S129" s="408"/>
      <c r="T129" s="408"/>
      <c r="U129" s="408"/>
      <c r="V129" s="409"/>
    </row>
    <row r="130" spans="1:22">
      <c r="A130" s="276" t="s">
        <v>204</v>
      </c>
      <c r="B130" s="437" t="s">
        <v>205</v>
      </c>
      <c r="C130" s="437"/>
      <c r="D130" s="438"/>
      <c r="E130" s="251">
        <v>0</v>
      </c>
      <c r="F130" s="252">
        <v>0</v>
      </c>
      <c r="G130" s="252">
        <v>0</v>
      </c>
      <c r="H130" s="252">
        <v>0</v>
      </c>
      <c r="I130" s="252">
        <v>0</v>
      </c>
      <c r="J130" s="252">
        <v>0</v>
      </c>
      <c r="K130" s="253">
        <v>0</v>
      </c>
      <c r="L130" s="221">
        <v>0</v>
      </c>
      <c r="M130" s="232">
        <v>0</v>
      </c>
      <c r="N130" s="233">
        <v>0</v>
      </c>
      <c r="O130" s="233">
        <v>1</v>
      </c>
      <c r="P130" s="233">
        <v>0</v>
      </c>
      <c r="Q130" s="233">
        <v>0</v>
      </c>
      <c r="R130" s="233">
        <v>0</v>
      </c>
      <c r="S130" s="234">
        <v>0</v>
      </c>
      <c r="T130" s="221">
        <v>1</v>
      </c>
      <c r="U130" s="231">
        <v>1</v>
      </c>
      <c r="V130" s="227" t="s">
        <v>180</v>
      </c>
    </row>
    <row r="131" spans="1:22" customHeight="1" ht="15">
      <c r="A131" s="276"/>
      <c r="B131" s="437"/>
      <c r="C131" s="437"/>
      <c r="D131" s="438"/>
      <c r="E131" s="251"/>
      <c r="F131" s="252"/>
      <c r="G131" s="252"/>
      <c r="H131" s="252"/>
      <c r="I131" s="252"/>
      <c r="J131" s="252"/>
      <c r="K131" s="253"/>
      <c r="L131" s="221">
        <f>SUM(E131:K131)</f>
        <v>0</v>
      </c>
      <c r="M131" s="232"/>
      <c r="N131" s="233"/>
      <c r="O131" s="233"/>
      <c r="P131" s="233"/>
      <c r="Q131" s="233"/>
      <c r="R131" s="233"/>
      <c r="S131" s="234"/>
      <c r="T131" s="221">
        <f>SUM(M131:S131)</f>
        <v>0</v>
      </c>
      <c r="U131" s="231">
        <f>SUM(T131,L131)</f>
        <v>0</v>
      </c>
      <c r="V131" s="227" t="b">
        <f>IF(T131&gt;0,T131/U131,)</f>
        <v>0</v>
      </c>
    </row>
    <row r="132" spans="1:22" customHeight="1" ht="15">
      <c r="A132" s="236" t="s">
        <v>160</v>
      </c>
      <c r="B132" s="237"/>
      <c r="C132" s="237"/>
      <c r="D132" s="237"/>
      <c r="E132" s="238">
        <f>SUM(E130:E131)</f>
        <v>0</v>
      </c>
      <c r="F132" s="238">
        <f>SUM(F130:F131)</f>
        <v>0</v>
      </c>
      <c r="G132" s="238">
        <f>SUM(G130:G131)</f>
        <v>0</v>
      </c>
      <c r="H132" s="238">
        <f>SUM(H130:H131)</f>
        <v>0</v>
      </c>
      <c r="I132" s="238">
        <f>SUM(I130:I131)</f>
        <v>0</v>
      </c>
      <c r="J132" s="238">
        <f>SUM(J130:J131)</f>
        <v>0</v>
      </c>
      <c r="K132" s="238">
        <f>SUM(K130:K131)</f>
        <v>0</v>
      </c>
      <c r="L132" s="240">
        <f>SUM(E132:K132)</f>
        <v>0</v>
      </c>
      <c r="M132" s="314">
        <f>SUM(M130:M131)</f>
        <v>0</v>
      </c>
      <c r="N132" s="314">
        <f>SUM(N130:N131)</f>
        <v>0</v>
      </c>
      <c r="O132" s="314">
        <f>SUM(O130:O131)</f>
        <v>1</v>
      </c>
      <c r="P132" s="314">
        <f>SUM(P130:P131)</f>
        <v>0</v>
      </c>
      <c r="Q132" s="314">
        <f>SUM(Q130:Q131)</f>
        <v>0</v>
      </c>
      <c r="R132" s="314">
        <f>SUM(R130:R131)</f>
        <v>0</v>
      </c>
      <c r="S132" s="314">
        <f>SUM(S130:S131)</f>
        <v>0</v>
      </c>
      <c r="T132" s="240">
        <f>SUM(M132:S132)</f>
        <v>1</v>
      </c>
      <c r="U132" s="243">
        <f>SUM(T132,L132)</f>
        <v>1</v>
      </c>
      <c r="V132" s="244">
        <f>IF(T132&gt;0,T132/U132,)</f>
        <v>1</v>
      </c>
    </row>
    <row r="133" spans="1:22" customHeight="1" ht="18">
      <c r="A133" s="407" t="s">
        <v>191</v>
      </c>
      <c r="B133" s="408"/>
      <c r="C133" s="408"/>
      <c r="D133" s="408"/>
      <c r="E133" s="408"/>
      <c r="F133" s="408"/>
      <c r="G133" s="408"/>
      <c r="H133" s="408"/>
      <c r="I133" s="408"/>
      <c r="J133" s="408"/>
      <c r="K133" s="408"/>
      <c r="L133" s="408"/>
      <c r="M133" s="408"/>
      <c r="N133" s="408"/>
      <c r="O133" s="408"/>
      <c r="P133" s="408"/>
      <c r="Q133" s="408"/>
      <c r="R133" s="408"/>
      <c r="S133" s="408"/>
      <c r="T133" s="408"/>
      <c r="U133" s="408"/>
      <c r="V133" s="409"/>
    </row>
    <row r="134" spans="1:22">
      <c r="A134" s="271"/>
      <c r="B134" s="405"/>
      <c r="C134" s="405"/>
      <c r="D134" s="406"/>
      <c r="E134" s="251"/>
      <c r="F134" s="252"/>
      <c r="G134" s="252"/>
      <c r="H134" s="252"/>
      <c r="I134" s="252"/>
      <c r="J134" s="252"/>
      <c r="K134" s="253"/>
      <c r="L134" s="221">
        <f>SUM(E134:K134)</f>
        <v>0</v>
      </c>
      <c r="M134" s="232"/>
      <c r="N134" s="233"/>
      <c r="O134" s="233"/>
      <c r="P134" s="233"/>
      <c r="Q134" s="233"/>
      <c r="R134" s="233"/>
      <c r="S134" s="234"/>
      <c r="T134" s="221">
        <f>SUM(M134:S134)</f>
        <v>0</v>
      </c>
      <c r="U134" s="231">
        <f>SUM(T134,L134)</f>
        <v>0</v>
      </c>
      <c r="V134" s="227" t="b">
        <f>IF(T134&gt;0,T134/U134,)</f>
        <v>0</v>
      </c>
    </row>
    <row r="135" spans="1:22" customHeight="1" ht="15">
      <c r="A135" s="271"/>
      <c r="B135" s="405"/>
      <c r="C135" s="405"/>
      <c r="D135" s="406"/>
      <c r="E135" s="251"/>
      <c r="F135" s="252"/>
      <c r="G135" s="252"/>
      <c r="H135" s="252"/>
      <c r="I135" s="252"/>
      <c r="J135" s="252"/>
      <c r="K135" s="253"/>
      <c r="L135" s="221">
        <f>SUM(E135:K135)</f>
        <v>0</v>
      </c>
      <c r="M135" s="232"/>
      <c r="N135" s="233"/>
      <c r="O135" s="233"/>
      <c r="P135" s="233"/>
      <c r="Q135" s="233"/>
      <c r="R135" s="233"/>
      <c r="S135" s="234"/>
      <c r="T135" s="221">
        <f>SUM(M135:S135)</f>
        <v>0</v>
      </c>
      <c r="U135" s="231">
        <f>SUM(T135,L135)</f>
        <v>0</v>
      </c>
      <c r="V135" s="227" t="b">
        <f>IF(T135&gt;0,T135/U135,)</f>
        <v>0</v>
      </c>
    </row>
    <row r="136" spans="1:22" customHeight="1" ht="15">
      <c r="A136" s="236" t="s">
        <v>160</v>
      </c>
      <c r="B136" s="237"/>
      <c r="C136" s="237"/>
      <c r="D136" s="237"/>
      <c r="E136" s="238">
        <f>SUM(E134:E135)</f>
        <v>0</v>
      </c>
      <c r="F136" s="238">
        <f>SUM(F134:F135)</f>
        <v>0</v>
      </c>
      <c r="G136" s="238">
        <f>SUM(G134:G135)</f>
        <v>0</v>
      </c>
      <c r="H136" s="238">
        <f>SUM(H134:H135)</f>
        <v>0</v>
      </c>
      <c r="I136" s="238">
        <f>SUM(I134:I135)</f>
        <v>0</v>
      </c>
      <c r="J136" s="238">
        <f>SUM(J134:J135)</f>
        <v>0</v>
      </c>
      <c r="K136" s="238">
        <f>SUM(K134:K135)</f>
        <v>0</v>
      </c>
      <c r="L136" s="240">
        <f>SUM(E136:K136)</f>
        <v>0</v>
      </c>
      <c r="M136" s="238">
        <f>SUM(M134:M135)</f>
        <v>0</v>
      </c>
      <c r="N136" s="238">
        <f>SUM(N134:N135)</f>
        <v>0</v>
      </c>
      <c r="O136" s="238">
        <f>SUM(O134:O135)</f>
        <v>0</v>
      </c>
      <c r="P136" s="238">
        <f>SUM(P134:P135)</f>
        <v>0</v>
      </c>
      <c r="Q136" s="238">
        <f>SUM(Q134:Q135)</f>
        <v>0</v>
      </c>
      <c r="R136" s="238">
        <f>SUM(R134:R135)</f>
        <v>0</v>
      </c>
      <c r="S136" s="238">
        <f>SUM(S134:S135)</f>
        <v>0</v>
      </c>
      <c r="T136" s="240">
        <f>SUM(M136:S136)</f>
        <v>0</v>
      </c>
      <c r="U136" s="243">
        <f>SUM(T136,L136)</f>
        <v>0</v>
      </c>
      <c r="V136" s="244" t="b">
        <f>IF(T136&gt;0,T136/U136,)</f>
        <v>0</v>
      </c>
    </row>
    <row r="137" spans="1:22" customHeight="1" ht="18">
      <c r="A137" s="407" t="s">
        <v>192</v>
      </c>
      <c r="B137" s="408"/>
      <c r="C137" s="408"/>
      <c r="D137" s="408"/>
      <c r="E137" s="408"/>
      <c r="F137" s="408"/>
      <c r="G137" s="408"/>
      <c r="H137" s="408"/>
      <c r="I137" s="408"/>
      <c r="J137" s="408"/>
      <c r="K137" s="408"/>
      <c r="L137" s="408"/>
      <c r="M137" s="408"/>
      <c r="N137" s="408"/>
      <c r="O137" s="408"/>
      <c r="P137" s="408"/>
      <c r="Q137" s="408"/>
      <c r="R137" s="408"/>
      <c r="S137" s="408"/>
      <c r="T137" s="408"/>
      <c r="U137" s="408"/>
      <c r="V137" s="409"/>
    </row>
    <row r="138" spans="1:22">
      <c r="A138" s="264"/>
      <c r="B138" s="437"/>
      <c r="C138" s="437"/>
      <c r="D138" s="438"/>
      <c r="E138" s="251"/>
      <c r="F138" s="252"/>
      <c r="G138" s="252"/>
      <c r="H138" s="252"/>
      <c r="I138" s="252"/>
      <c r="J138" s="252"/>
      <c r="K138" s="253"/>
      <c r="L138" s="248">
        <f>SUM(E138:K138)</f>
        <v>0</v>
      </c>
      <c r="M138" s="232"/>
      <c r="N138" s="233"/>
      <c r="O138" s="233"/>
      <c r="P138" s="233"/>
      <c r="Q138" s="233"/>
      <c r="R138" s="233"/>
      <c r="S138" s="234"/>
      <c r="T138" s="248">
        <f>SUM(M138:S138)</f>
        <v>0</v>
      </c>
      <c r="U138" s="231">
        <f>SUM(T138,L138)</f>
        <v>0</v>
      </c>
      <c r="V138" s="227" t="b">
        <f>IF(T138&gt;0,T138/U138,)</f>
        <v>0</v>
      </c>
    </row>
    <row r="139" spans="1:22" customHeight="1" ht="15">
      <c r="A139" s="264"/>
      <c r="B139" s="437"/>
      <c r="C139" s="437"/>
      <c r="D139" s="438"/>
      <c r="E139" s="251"/>
      <c r="F139" s="252"/>
      <c r="G139" s="252"/>
      <c r="H139" s="252"/>
      <c r="I139" s="252"/>
      <c r="J139" s="252"/>
      <c r="K139" s="253"/>
      <c r="L139" s="221">
        <f>SUM(E139:K139)</f>
        <v>0</v>
      </c>
      <c r="M139" s="232"/>
      <c r="N139" s="233"/>
      <c r="O139" s="233"/>
      <c r="P139" s="233"/>
      <c r="Q139" s="233"/>
      <c r="R139" s="233"/>
      <c r="S139" s="234"/>
      <c r="T139" s="221">
        <f>SUM(M139:S139)</f>
        <v>0</v>
      </c>
      <c r="U139" s="231">
        <f>SUM(T139,L139)</f>
        <v>0</v>
      </c>
      <c r="V139" s="227" t="b">
        <f>IF(T139&gt;0,T139/U139,)</f>
        <v>0</v>
      </c>
    </row>
    <row r="140" spans="1:22" customHeight="1" ht="15">
      <c r="A140" s="236" t="s">
        <v>160</v>
      </c>
      <c r="B140" s="237"/>
      <c r="C140" s="237"/>
      <c r="D140" s="237"/>
      <c r="E140" s="238">
        <f>SUM(E138:E139)</f>
        <v>0</v>
      </c>
      <c r="F140" s="238">
        <f>SUM(F138:F139)</f>
        <v>0</v>
      </c>
      <c r="G140" s="238">
        <f>SUM(G138:G139)</f>
        <v>0</v>
      </c>
      <c r="H140" s="238">
        <f>SUM(H138:H139)</f>
        <v>0</v>
      </c>
      <c r="I140" s="238">
        <f>SUM(I138:I139)</f>
        <v>0</v>
      </c>
      <c r="J140" s="238">
        <f>SUM(J138:J139)</f>
        <v>0</v>
      </c>
      <c r="K140" s="238">
        <f>SUM(K138:K139)</f>
        <v>0</v>
      </c>
      <c r="L140" s="240">
        <f>SUM(E140:K140)</f>
        <v>0</v>
      </c>
      <c r="M140" s="238">
        <f>SUM(M138:M139)</f>
        <v>0</v>
      </c>
      <c r="N140" s="238">
        <f>SUM(N138:N139)</f>
        <v>0</v>
      </c>
      <c r="O140" s="238">
        <f>SUM(O138:O139)</f>
        <v>0</v>
      </c>
      <c r="P140" s="238">
        <f>SUM(P138:P139)</f>
        <v>0</v>
      </c>
      <c r="Q140" s="238">
        <f>SUM(Q138:Q139)</f>
        <v>0</v>
      </c>
      <c r="R140" s="238">
        <f>SUM(R138:R139)</f>
        <v>0</v>
      </c>
      <c r="S140" s="238">
        <f>SUM(S138:S139)</f>
        <v>0</v>
      </c>
      <c r="T140" s="240">
        <f>SUM(M140:S140)</f>
        <v>0</v>
      </c>
      <c r="U140" s="243">
        <f>SUM(T140,L140)</f>
        <v>0</v>
      </c>
      <c r="V140" s="244" t="b">
        <f>IF(T140&gt;0,T140/U140,)</f>
        <v>0</v>
      </c>
    </row>
    <row r="141" spans="1:22" customHeight="1" ht="18">
      <c r="A141" s="407" t="s">
        <v>195</v>
      </c>
      <c r="B141" s="408"/>
      <c r="C141" s="408"/>
      <c r="D141" s="408"/>
      <c r="E141" s="408"/>
      <c r="F141" s="408"/>
      <c r="G141" s="408"/>
      <c r="H141" s="408"/>
      <c r="I141" s="408"/>
      <c r="J141" s="408"/>
      <c r="K141" s="408"/>
      <c r="L141" s="408"/>
      <c r="M141" s="408"/>
      <c r="N141" s="408"/>
      <c r="O141" s="408"/>
      <c r="P141" s="408"/>
      <c r="Q141" s="408"/>
      <c r="R141" s="408"/>
      <c r="S141" s="408"/>
      <c r="T141" s="408"/>
      <c r="U141" s="408"/>
      <c r="V141" s="409"/>
    </row>
    <row r="142" spans="1:22">
      <c r="A142" s="250"/>
      <c r="B142" s="405"/>
      <c r="C142" s="405"/>
      <c r="D142" s="406"/>
      <c r="E142" s="251"/>
      <c r="F142" s="252"/>
      <c r="G142" s="252"/>
      <c r="H142" s="252"/>
      <c r="I142" s="252"/>
      <c r="J142" s="252"/>
      <c r="K142" s="253"/>
      <c r="L142" s="248">
        <f>SUM(E142:K142)</f>
        <v>0</v>
      </c>
      <c r="M142" s="228"/>
      <c r="N142" s="229"/>
      <c r="O142" s="229"/>
      <c r="P142" s="229"/>
      <c r="Q142" s="229"/>
      <c r="R142" s="229"/>
      <c r="S142" s="230"/>
      <c r="T142" s="248">
        <f>SUM(M142:S142)</f>
        <v>0</v>
      </c>
      <c r="U142" s="257">
        <f>SUM(T142,L142)</f>
        <v>0</v>
      </c>
      <c r="V142" s="258" t="b">
        <f>IF(T142&gt;0,T142/U142,)</f>
        <v>0</v>
      </c>
    </row>
    <row r="143" spans="1:22" customHeight="1" ht="15">
      <c r="A143" s="250"/>
      <c r="B143" s="405"/>
      <c r="C143" s="405"/>
      <c r="D143" s="406"/>
      <c r="E143" s="251"/>
      <c r="F143" s="252"/>
      <c r="G143" s="252"/>
      <c r="H143" s="252"/>
      <c r="I143" s="252"/>
      <c r="J143" s="252"/>
      <c r="K143" s="253"/>
      <c r="L143" s="248">
        <f>SUM(E143:K143)</f>
        <v>0</v>
      </c>
      <c r="M143" s="228"/>
      <c r="N143" s="229"/>
      <c r="O143" s="229"/>
      <c r="P143" s="229"/>
      <c r="Q143" s="229"/>
      <c r="R143" s="229"/>
      <c r="S143" s="230"/>
      <c r="T143" s="278">
        <f>SUM(M143:S143)</f>
        <v>0</v>
      </c>
      <c r="U143" s="257">
        <f>SUM(T143,L143)</f>
        <v>0</v>
      </c>
      <c r="V143" s="258" t="b">
        <f>IF(T143&gt;0,T143/U143,)</f>
        <v>0</v>
      </c>
    </row>
    <row r="144" spans="1:22" customHeight="1" ht="15">
      <c r="A144" s="236" t="s">
        <v>160</v>
      </c>
      <c r="B144" s="237"/>
      <c r="C144" s="237"/>
      <c r="D144" s="237"/>
      <c r="E144" s="238">
        <f>SUM(E142:E143)</f>
        <v>0</v>
      </c>
      <c r="F144" s="238">
        <f>SUM(F142:F143)</f>
        <v>0</v>
      </c>
      <c r="G144" s="238">
        <f>SUM(G142:G143)</f>
        <v>0</v>
      </c>
      <c r="H144" s="238">
        <f>SUM(H142:H143)</f>
        <v>0</v>
      </c>
      <c r="I144" s="238">
        <f>SUM(I142:I143)</f>
        <v>0</v>
      </c>
      <c r="J144" s="238">
        <f>SUM(J142:J143)</f>
        <v>0</v>
      </c>
      <c r="K144" s="238">
        <f>SUM(K142:K143)</f>
        <v>0</v>
      </c>
      <c r="L144" s="240">
        <f>SUM(E144:K144)</f>
        <v>0</v>
      </c>
      <c r="M144" s="238">
        <f>SUM(M142:M143)</f>
        <v>0</v>
      </c>
      <c r="N144" s="238">
        <f>SUM(N142:N143)</f>
        <v>0</v>
      </c>
      <c r="O144" s="238">
        <f>SUM(O142:O143)</f>
        <v>0</v>
      </c>
      <c r="P144" s="238">
        <f>SUM(P142:P143)</f>
        <v>0</v>
      </c>
      <c r="Q144" s="238">
        <f>SUM(Q142:Q143)</f>
        <v>0</v>
      </c>
      <c r="R144" s="238">
        <f>SUM(R142:R143)</f>
        <v>0</v>
      </c>
      <c r="S144" s="238">
        <f>SUM(S142:S143)</f>
        <v>0</v>
      </c>
      <c r="T144" s="240">
        <f>SUM(M144:S144)</f>
        <v>0</v>
      </c>
      <c r="U144" s="243">
        <f>SUM(T144,L144)</f>
        <v>0</v>
      </c>
      <c r="V144" s="244" t="b">
        <f>IF(T144&gt;0,T144/U144,)</f>
        <v>0</v>
      </c>
    </row>
    <row r="145" spans="1:22" customHeight="1" ht="18">
      <c r="A145" s="407" t="s">
        <v>196</v>
      </c>
      <c r="B145" s="408"/>
      <c r="C145" s="408"/>
      <c r="D145" s="408"/>
      <c r="E145" s="408"/>
      <c r="F145" s="408"/>
      <c r="G145" s="408"/>
      <c r="H145" s="408"/>
      <c r="I145" s="408"/>
      <c r="J145" s="408"/>
      <c r="K145" s="408"/>
      <c r="L145" s="408"/>
      <c r="M145" s="408"/>
      <c r="N145" s="408"/>
      <c r="O145" s="408"/>
      <c r="P145" s="408"/>
      <c r="Q145" s="408"/>
      <c r="R145" s="408"/>
      <c r="S145" s="408"/>
      <c r="T145" s="408"/>
      <c r="U145" s="408"/>
      <c r="V145" s="409"/>
    </row>
    <row r="146" spans="1:22">
      <c r="A146" s="95"/>
      <c r="B146" s="405"/>
      <c r="C146" s="405"/>
      <c r="D146" s="406"/>
      <c r="E146" s="251"/>
      <c r="F146" s="252"/>
      <c r="G146" s="252"/>
      <c r="H146" s="252"/>
      <c r="I146" s="252"/>
      <c r="J146" s="252"/>
      <c r="K146" s="253"/>
      <c r="L146" s="221">
        <f>SUM(E146:K146)</f>
        <v>0</v>
      </c>
      <c r="M146" s="228"/>
      <c r="N146" s="229"/>
      <c r="O146" s="229"/>
      <c r="P146" s="229"/>
      <c r="Q146" s="229"/>
      <c r="R146" s="229"/>
      <c r="S146" s="230"/>
      <c r="T146" s="221">
        <f>SUM(M146:S146)</f>
        <v>0</v>
      </c>
      <c r="U146" s="231">
        <f>SUM(T146,L146)</f>
        <v>0</v>
      </c>
      <c r="V146" s="227" t="b">
        <f>IF(T146&gt;0,T146/U146,)</f>
        <v>0</v>
      </c>
    </row>
    <row r="147" spans="1:22" customHeight="1" ht="15">
      <c r="A147" s="264"/>
      <c r="B147" s="432"/>
      <c r="C147" s="432"/>
      <c r="D147" s="433"/>
      <c r="E147" s="279"/>
      <c r="F147" s="275"/>
      <c r="G147" s="275"/>
      <c r="H147" s="275"/>
      <c r="I147" s="275"/>
      <c r="J147" s="275"/>
      <c r="K147" s="277"/>
      <c r="L147" s="221">
        <f>SUM(E147:K147)</f>
        <v>0</v>
      </c>
      <c r="M147" s="232"/>
      <c r="N147" s="233"/>
      <c r="O147" s="233"/>
      <c r="P147" s="233"/>
      <c r="Q147" s="233"/>
      <c r="R147" s="233"/>
      <c r="S147" s="234"/>
      <c r="T147" s="221">
        <f>SUM(M147:S147)</f>
        <v>0</v>
      </c>
      <c r="U147" s="231">
        <f>SUM(T147,L147)</f>
        <v>0</v>
      </c>
      <c r="V147" s="227" t="b">
        <f>IF(T147&gt;0,T147/U147,)</f>
        <v>0</v>
      </c>
    </row>
    <row r="148" spans="1:22" customHeight="1" ht="15">
      <c r="A148" s="434" t="s">
        <v>160</v>
      </c>
      <c r="B148" s="435"/>
      <c r="C148" s="435"/>
      <c r="D148" s="436"/>
      <c r="E148" s="238">
        <f>SUM(E146:E147)</f>
        <v>0</v>
      </c>
      <c r="F148" s="238">
        <f>SUM(F146:F147)</f>
        <v>0</v>
      </c>
      <c r="G148" s="238">
        <f>SUM(G146:G147)</f>
        <v>0</v>
      </c>
      <c r="H148" s="238">
        <f>SUM(H146:H147)</f>
        <v>0</v>
      </c>
      <c r="I148" s="238">
        <f>SUM(I146:I147)</f>
        <v>0</v>
      </c>
      <c r="J148" s="238">
        <f>SUM(J146:J147)</f>
        <v>0</v>
      </c>
      <c r="K148" s="238">
        <f>SUM(K146:K147)</f>
        <v>0</v>
      </c>
      <c r="L148" s="240">
        <f>SUM(E148:K148)</f>
        <v>0</v>
      </c>
      <c r="M148" s="238">
        <f>SUM(M146:M147)</f>
        <v>0</v>
      </c>
      <c r="N148" s="238">
        <f>SUM(N146:N147)</f>
        <v>0</v>
      </c>
      <c r="O148" s="238">
        <f>SUM(O146:O147)</f>
        <v>0</v>
      </c>
      <c r="P148" s="238">
        <f>SUM(P146:P147)</f>
        <v>0</v>
      </c>
      <c r="Q148" s="238">
        <f>SUM(Q146:Q147)</f>
        <v>0</v>
      </c>
      <c r="R148" s="238">
        <f>SUM(R146:R147)</f>
        <v>0</v>
      </c>
      <c r="S148" s="238">
        <f>SUM(S146:S147)</f>
        <v>0</v>
      </c>
      <c r="T148" s="240">
        <f>SUM(M148:S148)</f>
        <v>0</v>
      </c>
      <c r="U148" s="243">
        <f>SUM(T148,L148)</f>
        <v>0</v>
      </c>
      <c r="V148" s="244" t="b">
        <f>IF(T148&gt;0,T148/U148,)</f>
        <v>0</v>
      </c>
    </row>
    <row r="149" spans="1:22" customHeight="1" ht="18.5">
      <c r="A149" s="280" t="s">
        <v>197</v>
      </c>
      <c r="B149" s="281"/>
      <c r="C149" s="281"/>
      <c r="D149" s="282"/>
      <c r="E149" s="283">
        <f>SUM(E148,E144,E140,E136,E132,E128,E120,E124,E112,E116,E108,E104,E100,E96,E92)</f>
        <v>4</v>
      </c>
      <c r="F149" s="283">
        <f>SUM(F92,F96,F100,F104,F108,F112,F116,F120,F124,F128,F132,F136,F140,F144,F148)</f>
        <v>7</v>
      </c>
      <c r="G149" s="283">
        <f>SUM(G92,G96,G100,G104,G108,G112,G116,G120,G124,G128,G132,G136,G140,G144,G148)</f>
        <v>3</v>
      </c>
      <c r="H149" s="283">
        <f>SUM(H92,H96,H100,H104,H108,H112,H116,H120,H124,H128,H132,H136,H140,H144,H148)</f>
        <v>0</v>
      </c>
      <c r="I149" s="283">
        <f>SUM(I92,I96,I100,I104,I108,I112,I116,I120,I124,I128,I132,I136,I140,I144,I148)</f>
        <v>0</v>
      </c>
      <c r="J149" s="283">
        <f>SUM(J92,J96,J100,J104,J108,J112,J116,J120,J124,J128,J132,J136,J140,J144,J148)</f>
        <v>0</v>
      </c>
      <c r="K149" s="283">
        <f>SUM(K92,K96,K100,K104,K108,K112,K116,K120,K124,K128,K132,K136,K140,K144,K148)</f>
        <v>0</v>
      </c>
      <c r="L149" s="240">
        <f>SUM(L92,L96,L100,L104,L108,L112,L116,L120,L124,L128,L132,L136,L140,L144,L148)</f>
        <v>14</v>
      </c>
      <c r="M149" s="283">
        <f>SUM(M148,M144,M140,M136,M132,M128,M124,M120,M116,M112,M108,M104,M100,M96,M92)</f>
        <v>1</v>
      </c>
      <c r="N149" s="283">
        <f>SUM(N148,N144,N140,N136,N132,N128,N124,N120,N116,N112,N108,N104,N100,N96,N92)</f>
        <v>0</v>
      </c>
      <c r="O149" s="283">
        <f>SUM(O148,O144,O140,O136,O132,O128,O124,O120,O116,O112,O108,O104,O100,O96,O92)</f>
        <v>1</v>
      </c>
      <c r="P149" s="283">
        <f>SUM(P148,P144,P140,P136,P132,P128,P124,P120,P116,P112,P108,P104,P100,P96,P92)</f>
        <v>0</v>
      </c>
      <c r="Q149" s="283">
        <f>SUM(Q148,Q144,Q140,Q136,Q132,Q128,Q124,Q120,Q116,Q112,Q108,Q104,Q100,Q96,Q92)</f>
        <v>0</v>
      </c>
      <c r="R149" s="283">
        <f>SUM(R148,R144,R140,R136,R132,R128,R124,R120,R116,R112,R108,R104,R100,R96,R92)</f>
        <v>0</v>
      </c>
      <c r="S149" s="283">
        <f>SUM(S148,S144,S140,S136,S132,S128,S124,S120,S116,S112,S108,S104,S100,S96,S92)</f>
        <v>0</v>
      </c>
      <c r="T149" s="240">
        <f>SUM(M149:S149)</f>
        <v>2</v>
      </c>
      <c r="U149" s="243">
        <f>SUM(T149,L149)</f>
        <v>16</v>
      </c>
      <c r="V149" s="244">
        <f>IF(T149&gt;0,T149/U149,)</f>
        <v>0.125</v>
      </c>
    </row>
    <row r="150" spans="1:22">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row>
    <row r="152" spans="1:22">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row>
    <row r="153" spans="1:22">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row>
    <row r="154" spans="1:22" customHeight="1" ht="15">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row>
    <row r="155" spans="1:22" customHeight="1" ht="20.5">
      <c r="A155" s="423" t="s">
        <v>206</v>
      </c>
      <c r="B155" s="424"/>
      <c r="C155" s="424"/>
      <c r="D155" s="424"/>
      <c r="E155" s="424"/>
      <c r="F155" s="424"/>
      <c r="G155" s="424"/>
      <c r="H155" s="424"/>
      <c r="I155" s="424"/>
      <c r="J155" s="424"/>
      <c r="K155" s="424"/>
      <c r="L155" s="424"/>
      <c r="M155" s="424"/>
      <c r="N155" s="424"/>
      <c r="O155" s="424"/>
      <c r="P155" s="424"/>
      <c r="Q155" s="424"/>
      <c r="R155" s="424"/>
      <c r="S155" s="424"/>
      <c r="T155" s="424"/>
      <c r="U155" s="424"/>
      <c r="V155" s="425"/>
    </row>
    <row r="156" spans="1:22" customHeight="1" ht="15">
      <c r="A156" s="288"/>
      <c r="B156" s="289"/>
      <c r="C156" s="289"/>
      <c r="D156" s="290"/>
      <c r="E156" s="426" t="s">
        <v>153</v>
      </c>
      <c r="F156" s="427"/>
      <c r="G156" s="427"/>
      <c r="H156" s="427"/>
      <c r="I156" s="427"/>
      <c r="J156" s="427"/>
      <c r="K156" s="428"/>
      <c r="L156" s="291"/>
      <c r="M156" s="429" t="s">
        <v>153</v>
      </c>
      <c r="N156" s="430"/>
      <c r="O156" s="430"/>
      <c r="P156" s="430"/>
      <c r="Q156" s="430"/>
      <c r="R156" s="430"/>
      <c r="S156" s="431"/>
      <c r="T156" s="292"/>
      <c r="U156" s="292"/>
      <c r="V156" s="292"/>
    </row>
    <row r="157" spans="1:22" customHeight="1" ht="15">
      <c r="A157" s="291"/>
      <c r="B157" s="293"/>
      <c r="C157" s="293"/>
      <c r="D157" s="294"/>
      <c r="E157" s="295">
        <v>1</v>
      </c>
      <c r="F157" s="296">
        <v>2</v>
      </c>
      <c r="G157" s="296">
        <v>3</v>
      </c>
      <c r="H157" s="296">
        <v>4</v>
      </c>
      <c r="I157" s="296">
        <v>5</v>
      </c>
      <c r="J157" s="296">
        <v>6</v>
      </c>
      <c r="K157" s="296">
        <v>7</v>
      </c>
      <c r="L157" s="297"/>
      <c r="M157" s="298">
        <v>1</v>
      </c>
      <c r="N157" s="299">
        <v>2</v>
      </c>
      <c r="O157" s="299">
        <v>3</v>
      </c>
      <c r="P157" s="299">
        <v>4</v>
      </c>
      <c r="Q157" s="299">
        <v>5</v>
      </c>
      <c r="R157" s="299">
        <v>6</v>
      </c>
      <c r="S157" s="299">
        <v>7</v>
      </c>
      <c r="T157" s="297"/>
      <c r="U157" s="297"/>
      <c r="V157" s="297"/>
    </row>
    <row r="158" spans="1:22" customHeight="1" ht="15">
      <c r="A158" s="415" t="s">
        <v>207</v>
      </c>
      <c r="B158" s="416"/>
      <c r="C158" s="416"/>
      <c r="D158" s="417"/>
      <c r="E158" s="418" t="s">
        <v>52</v>
      </c>
      <c r="F158" s="419"/>
      <c r="G158" s="419"/>
      <c r="H158" s="419"/>
      <c r="I158" s="419"/>
      <c r="J158" s="419"/>
      <c r="K158" s="420"/>
      <c r="L158" s="300" t="s">
        <v>155</v>
      </c>
      <c r="M158" s="418" t="s">
        <v>54</v>
      </c>
      <c r="N158" s="421"/>
      <c r="O158" s="421"/>
      <c r="P158" s="421"/>
      <c r="Q158" s="421"/>
      <c r="R158" s="421"/>
      <c r="S158" s="422"/>
      <c r="T158" s="300" t="s">
        <v>155</v>
      </c>
      <c r="U158" s="301" t="s">
        <v>156</v>
      </c>
      <c r="V158" s="301" t="s">
        <v>123</v>
      </c>
    </row>
    <row r="159" spans="1:22" customHeight="1" ht="18">
      <c r="A159" s="407" t="s">
        <v>208</v>
      </c>
      <c r="B159" s="408"/>
      <c r="C159" s="408"/>
      <c r="D159" s="408"/>
      <c r="E159" s="408"/>
      <c r="F159" s="408"/>
      <c r="G159" s="408"/>
      <c r="H159" s="408"/>
      <c r="I159" s="408"/>
      <c r="J159" s="408"/>
      <c r="K159" s="408"/>
      <c r="L159" s="408"/>
      <c r="M159" s="408"/>
      <c r="N159" s="408"/>
      <c r="O159" s="408"/>
      <c r="P159" s="408"/>
      <c r="Q159" s="408"/>
      <c r="R159" s="408"/>
      <c r="S159" s="408"/>
      <c r="T159" s="408"/>
      <c r="U159" s="408"/>
      <c r="V159" s="409"/>
    </row>
    <row r="160" spans="1:22">
      <c r="A160" s="264" t="s">
        <v>209</v>
      </c>
      <c r="B160" s="410" t="s">
        <v>210</v>
      </c>
      <c r="C160" s="410"/>
      <c r="D160" s="411"/>
      <c r="E160" s="251">
        <v>0</v>
      </c>
      <c r="F160" s="252">
        <v>0</v>
      </c>
      <c r="G160" s="252">
        <v>2</v>
      </c>
      <c r="H160" s="252">
        <v>0</v>
      </c>
      <c r="I160" s="252">
        <v>0</v>
      </c>
      <c r="J160" s="252">
        <v>0</v>
      </c>
      <c r="K160" s="253">
        <v>0</v>
      </c>
      <c r="L160" s="248">
        <v>2</v>
      </c>
      <c r="M160" s="228">
        <v>0</v>
      </c>
      <c r="N160" s="229">
        <v>0</v>
      </c>
      <c r="O160" s="229">
        <v>0</v>
      </c>
      <c r="P160" s="229">
        <v>0</v>
      </c>
      <c r="Q160" s="229">
        <v>0</v>
      </c>
      <c r="R160" s="229">
        <v>0</v>
      </c>
      <c r="S160" s="230">
        <v>0</v>
      </c>
      <c r="T160" s="248">
        <v>0</v>
      </c>
      <c r="U160" s="257">
        <v>2</v>
      </c>
      <c r="V160" s="258" t="s">
        <v>132</v>
      </c>
    </row>
    <row r="161" spans="1:22" customHeight="1" ht="15">
      <c r="A161" s="264"/>
      <c r="B161" s="405"/>
      <c r="C161" s="405"/>
      <c r="D161" s="406"/>
      <c r="E161" s="251"/>
      <c r="F161" s="252"/>
      <c r="G161" s="252"/>
      <c r="H161" s="252"/>
      <c r="I161" s="252"/>
      <c r="J161" s="252"/>
      <c r="K161" s="253"/>
      <c r="L161" s="221">
        <f>SUM(E161:K161)</f>
        <v>0</v>
      </c>
      <c r="M161" s="232"/>
      <c r="N161" s="233"/>
      <c r="O161" s="233"/>
      <c r="P161" s="233"/>
      <c r="Q161" s="233"/>
      <c r="R161" s="233"/>
      <c r="S161" s="234"/>
      <c r="T161" s="221">
        <f>SUM(M161:S161)</f>
        <v>0</v>
      </c>
      <c r="U161" s="231">
        <f>SUM(T161,L161)</f>
        <v>0</v>
      </c>
      <c r="V161" s="227" t="b">
        <f>IF(T161&gt;0,T161/U161,)</f>
        <v>0</v>
      </c>
    </row>
    <row r="162" spans="1:22" customHeight="1" ht="15">
      <c r="A162" s="236" t="s">
        <v>160</v>
      </c>
      <c r="B162" s="237"/>
      <c r="C162" s="237"/>
      <c r="D162" s="237"/>
      <c r="E162" s="238">
        <f>SUM(E160:E161)</f>
        <v>0</v>
      </c>
      <c r="F162" s="238">
        <f>SUM(F160:F161)</f>
        <v>0</v>
      </c>
      <c r="G162" s="239">
        <f>SUM(G160:G161)</f>
        <v>2</v>
      </c>
      <c r="H162" s="238">
        <f>SUM(H160:H161)</f>
        <v>0</v>
      </c>
      <c r="I162" s="238">
        <f>SUM(I160:I161)</f>
        <v>0</v>
      </c>
      <c r="J162" s="239">
        <f>SUM(H162:I162)</f>
        <v>0</v>
      </c>
      <c r="K162" s="239">
        <f>SUM(I162:J162)</f>
        <v>0</v>
      </c>
      <c r="L162" s="240">
        <f>SUM(E162:K162)</f>
        <v>2</v>
      </c>
      <c r="M162" s="241">
        <f>SUM(M160:M161)</f>
        <v>0</v>
      </c>
      <c r="N162" s="238">
        <f>SUM(N160:N161)</f>
        <v>0</v>
      </c>
      <c r="O162" s="238">
        <f>SUM(O160:O161)</f>
        <v>0</v>
      </c>
      <c r="P162" s="238">
        <f>SUM(P160:P161)</f>
        <v>0</v>
      </c>
      <c r="Q162" s="238">
        <f>SUM(Q160:Q161)</f>
        <v>0</v>
      </c>
      <c r="R162" s="238">
        <f>SUM(R160:R161)</f>
        <v>0</v>
      </c>
      <c r="S162" s="242">
        <f>SUM(S160:S161)</f>
        <v>0</v>
      </c>
      <c r="T162" s="240">
        <f>SUM(M162:S162)</f>
        <v>0</v>
      </c>
      <c r="U162" s="243">
        <f>SUM(T162,L162)</f>
        <v>2</v>
      </c>
      <c r="V162" s="244" t="b">
        <f>IF(T162&gt;0,T162/U162,)</f>
        <v>0</v>
      </c>
    </row>
    <row r="163" spans="1:22" customHeight="1" ht="18">
      <c r="A163" s="407" t="s">
        <v>211</v>
      </c>
      <c r="B163" s="408"/>
      <c r="C163" s="408"/>
      <c r="D163" s="408"/>
      <c r="E163" s="408"/>
      <c r="F163" s="408"/>
      <c r="G163" s="408"/>
      <c r="H163" s="408"/>
      <c r="I163" s="408"/>
      <c r="J163" s="408"/>
      <c r="K163" s="408"/>
      <c r="L163" s="408"/>
      <c r="M163" s="408"/>
      <c r="N163" s="408"/>
      <c r="O163" s="408"/>
      <c r="P163" s="408"/>
      <c r="Q163" s="408"/>
      <c r="R163" s="408"/>
      <c r="S163" s="408"/>
      <c r="T163" s="408"/>
      <c r="U163" s="408"/>
      <c r="V163" s="409"/>
    </row>
    <row r="164" spans="1:22">
      <c r="A164" s="264" t="s">
        <v>212</v>
      </c>
      <c r="B164" s="410" t="s">
        <v>213</v>
      </c>
      <c r="C164" s="410"/>
      <c r="D164" s="411"/>
      <c r="E164" s="251">
        <v>0</v>
      </c>
      <c r="F164" s="252">
        <v>0</v>
      </c>
      <c r="G164" s="252">
        <v>0</v>
      </c>
      <c r="H164" s="252">
        <v>0</v>
      </c>
      <c r="I164" s="252">
        <v>0</v>
      </c>
      <c r="J164" s="252">
        <v>0</v>
      </c>
      <c r="K164" s="253">
        <v>0</v>
      </c>
      <c r="L164" s="248">
        <v>0</v>
      </c>
      <c r="M164" s="228">
        <v>0</v>
      </c>
      <c r="N164" s="229">
        <v>0</v>
      </c>
      <c r="O164" s="229">
        <v>1</v>
      </c>
      <c r="P164" s="229">
        <v>0</v>
      </c>
      <c r="Q164" s="229">
        <v>0</v>
      </c>
      <c r="R164" s="229">
        <v>0</v>
      </c>
      <c r="S164" s="230">
        <v>0</v>
      </c>
      <c r="T164" s="248">
        <v>1</v>
      </c>
      <c r="U164" s="257">
        <v>1</v>
      </c>
      <c r="V164" s="258" t="s">
        <v>180</v>
      </c>
    </row>
    <row r="165" spans="1:22" customHeight="1" ht="15">
      <c r="A165" s="264"/>
      <c r="B165" s="405"/>
      <c r="C165" s="405"/>
      <c r="D165" s="406"/>
      <c r="E165" s="251"/>
      <c r="F165" s="252"/>
      <c r="G165" s="252"/>
      <c r="H165" s="252"/>
      <c r="I165" s="252"/>
      <c r="J165" s="252"/>
      <c r="K165" s="253"/>
      <c r="L165" s="221">
        <f>SUM(E165:K165)</f>
        <v>0</v>
      </c>
      <c r="M165" s="232"/>
      <c r="N165" s="233"/>
      <c r="O165" s="233"/>
      <c r="P165" s="233"/>
      <c r="Q165" s="233"/>
      <c r="R165" s="233"/>
      <c r="S165" s="234"/>
      <c r="T165" s="221">
        <f>SUM(M165:S165)</f>
        <v>0</v>
      </c>
      <c r="U165" s="231">
        <f>SUM(T165,L165)</f>
        <v>0</v>
      </c>
      <c r="V165" s="227" t="b">
        <f>IF(T165&gt;0,T165/U165,)</f>
        <v>0</v>
      </c>
    </row>
    <row r="166" spans="1:22" customHeight="1" ht="15">
      <c r="A166" s="236" t="s">
        <v>160</v>
      </c>
      <c r="B166" s="237"/>
      <c r="C166" s="237"/>
      <c r="D166" s="237"/>
      <c r="E166" s="238">
        <f>SUM(E164:E165)</f>
        <v>0</v>
      </c>
      <c r="F166" s="238">
        <f>SUM(F164:F165)</f>
        <v>0</v>
      </c>
      <c r="G166" s="239">
        <f>SUM(G164:G165)</f>
        <v>0</v>
      </c>
      <c r="H166" s="238">
        <f>SUM(H164:H165)</f>
        <v>0</v>
      </c>
      <c r="I166" s="238">
        <f>SUM(I164:I165)</f>
        <v>0</v>
      </c>
      <c r="J166" s="239">
        <f>SUM(H166:I166)</f>
        <v>0</v>
      </c>
      <c r="K166" s="239">
        <f>SUM(I166:J166)</f>
        <v>0</v>
      </c>
      <c r="L166" s="240">
        <f>SUM(E166:K166)</f>
        <v>0</v>
      </c>
      <c r="M166" s="241">
        <f>SUM(M164:M165)</f>
        <v>0</v>
      </c>
      <c r="N166" s="238">
        <f>SUM(N164:N165)</f>
        <v>0</v>
      </c>
      <c r="O166" s="238">
        <f>SUM(O164:O165)</f>
        <v>1</v>
      </c>
      <c r="P166" s="238">
        <f>SUM(P164:P165)</f>
        <v>0</v>
      </c>
      <c r="Q166" s="238">
        <f>SUM(Q164:Q165)</f>
        <v>0</v>
      </c>
      <c r="R166" s="238">
        <f>SUM(R164:R165)</f>
        <v>0</v>
      </c>
      <c r="S166" s="242">
        <f>SUM(S164:S165)</f>
        <v>0</v>
      </c>
      <c r="T166" s="240">
        <f>SUM(M166:S166)</f>
        <v>1</v>
      </c>
      <c r="U166" s="243">
        <f>SUM(T166,L166)</f>
        <v>1</v>
      </c>
      <c r="V166" s="244">
        <f>IF(T166&gt;0,T166/U166,)</f>
        <v>1</v>
      </c>
    </row>
    <row r="167" spans="1:22" customHeight="1" ht="18">
      <c r="A167" s="407" t="s">
        <v>214</v>
      </c>
      <c r="B167" s="408"/>
      <c r="C167" s="408"/>
      <c r="D167" s="408"/>
      <c r="E167" s="408"/>
      <c r="F167" s="408"/>
      <c r="G167" s="408"/>
      <c r="H167" s="408"/>
      <c r="I167" s="408"/>
      <c r="J167" s="408"/>
      <c r="K167" s="408"/>
      <c r="L167" s="408"/>
      <c r="M167" s="408"/>
      <c r="N167" s="408"/>
      <c r="O167" s="408"/>
      <c r="P167" s="408"/>
      <c r="Q167" s="408"/>
      <c r="R167" s="408"/>
      <c r="S167" s="408"/>
      <c r="T167" s="408"/>
      <c r="U167" s="408"/>
      <c r="V167" s="409"/>
    </row>
    <row r="168" spans="1:22">
      <c r="A168" s="264" t="s">
        <v>66</v>
      </c>
      <c r="B168" s="410" t="s">
        <v>67</v>
      </c>
      <c r="C168" s="410"/>
      <c r="D168" s="411"/>
      <c r="E168" s="251">
        <v>4</v>
      </c>
      <c r="F168" s="252">
        <v>4</v>
      </c>
      <c r="G168" s="252">
        <v>0</v>
      </c>
      <c r="H168" s="252">
        <v>0</v>
      </c>
      <c r="I168" s="252">
        <v>0</v>
      </c>
      <c r="J168" s="252">
        <v>0</v>
      </c>
      <c r="K168" s="253">
        <v>0</v>
      </c>
      <c r="L168" s="248">
        <v>8</v>
      </c>
      <c r="M168" s="228">
        <v>1</v>
      </c>
      <c r="N168" s="229">
        <v>0</v>
      </c>
      <c r="O168" s="229">
        <v>0</v>
      </c>
      <c r="P168" s="229">
        <v>0</v>
      </c>
      <c r="Q168" s="229">
        <v>0</v>
      </c>
      <c r="R168" s="229">
        <v>0</v>
      </c>
      <c r="S168" s="230">
        <v>0</v>
      </c>
      <c r="T168" s="248">
        <v>1</v>
      </c>
      <c r="U168" s="257">
        <v>9</v>
      </c>
      <c r="V168" s="258" t="s">
        <v>162</v>
      </c>
    </row>
    <row r="169" spans="1:22" customHeight="1" ht="15">
      <c r="A169" s="264"/>
      <c r="B169" s="405"/>
      <c r="C169" s="405"/>
      <c r="D169" s="406"/>
      <c r="E169" s="251"/>
      <c r="F169" s="252"/>
      <c r="G169" s="252"/>
      <c r="H169" s="252"/>
      <c r="I169" s="252"/>
      <c r="J169" s="252"/>
      <c r="K169" s="253"/>
      <c r="L169" s="221">
        <f>SUM(E169:K169)</f>
        <v>0</v>
      </c>
      <c r="M169" s="232"/>
      <c r="N169" s="233"/>
      <c r="O169" s="233"/>
      <c r="P169" s="233"/>
      <c r="Q169" s="233"/>
      <c r="R169" s="233"/>
      <c r="S169" s="234"/>
      <c r="T169" s="221">
        <f>SUM(M169:S169)</f>
        <v>0</v>
      </c>
      <c r="U169" s="231">
        <f>SUM(T169,L169)</f>
        <v>0</v>
      </c>
      <c r="V169" s="227" t="b">
        <f>IF(T169&gt;0,T169/U169,)</f>
        <v>0</v>
      </c>
    </row>
    <row r="170" spans="1:22" customHeight="1" ht="15">
      <c r="A170" s="236" t="s">
        <v>160</v>
      </c>
      <c r="B170" s="237"/>
      <c r="C170" s="237"/>
      <c r="D170" s="237"/>
      <c r="E170" s="238">
        <f>SUM(E168:E169)</f>
        <v>4</v>
      </c>
      <c r="F170" s="238">
        <f>SUM(F168:F169)</f>
        <v>4</v>
      </c>
      <c r="G170" s="239">
        <f>SUM(G168:G169)</f>
        <v>0</v>
      </c>
      <c r="H170" s="238">
        <f>SUM(H168:H169)</f>
        <v>0</v>
      </c>
      <c r="I170" s="238">
        <f>SUM(I168:I169)</f>
        <v>0</v>
      </c>
      <c r="J170" s="239">
        <f>SUM(H170:I170)</f>
        <v>0</v>
      </c>
      <c r="K170" s="239">
        <f>SUM(I170:J170)</f>
        <v>0</v>
      </c>
      <c r="L170" s="240">
        <f>SUM(E170:K170)</f>
        <v>8</v>
      </c>
      <c r="M170" s="241">
        <f>SUM(M168:M169)</f>
        <v>1</v>
      </c>
      <c r="N170" s="238">
        <f>SUM(N168:N169)</f>
        <v>0</v>
      </c>
      <c r="O170" s="238">
        <f>SUM(O168:O169)</f>
        <v>0</v>
      </c>
      <c r="P170" s="238">
        <f>SUM(P168:P169)</f>
        <v>0</v>
      </c>
      <c r="Q170" s="238">
        <f>SUM(Q168:Q169)</f>
        <v>0</v>
      </c>
      <c r="R170" s="238">
        <f>SUM(R168:R169)</f>
        <v>0</v>
      </c>
      <c r="S170" s="242">
        <f>SUM(S168:S169)</f>
        <v>0</v>
      </c>
      <c r="T170" s="240">
        <f>SUM(M170:S170)</f>
        <v>1</v>
      </c>
      <c r="U170" s="243">
        <f>SUM(T170,L170)</f>
        <v>9</v>
      </c>
      <c r="V170" s="244">
        <f>IF(T170&gt;0,T170/U170,)</f>
        <v>0.11111111111111</v>
      </c>
    </row>
    <row r="171" spans="1:22" customHeight="1" ht="18">
      <c r="A171" s="407" t="s">
        <v>215</v>
      </c>
      <c r="B171" s="408"/>
      <c r="C171" s="408"/>
      <c r="D171" s="408"/>
      <c r="E171" s="408"/>
      <c r="F171" s="408"/>
      <c r="G171" s="408"/>
      <c r="H171" s="408"/>
      <c r="I171" s="408"/>
      <c r="J171" s="408"/>
      <c r="K171" s="408"/>
      <c r="L171" s="408"/>
      <c r="M171" s="408"/>
      <c r="N171" s="408"/>
      <c r="O171" s="408"/>
      <c r="P171" s="408"/>
      <c r="Q171" s="408"/>
      <c r="R171" s="408"/>
      <c r="S171" s="408"/>
      <c r="T171" s="408"/>
      <c r="U171" s="408"/>
      <c r="V171" s="409"/>
    </row>
    <row r="172" spans="1:22">
      <c r="A172" s="264" t="s">
        <v>216</v>
      </c>
      <c r="B172" s="410" t="s">
        <v>217</v>
      </c>
      <c r="C172" s="410"/>
      <c r="D172" s="411"/>
      <c r="E172" s="251">
        <v>0</v>
      </c>
      <c r="F172" s="252">
        <v>0</v>
      </c>
      <c r="G172" s="252">
        <v>1</v>
      </c>
      <c r="H172" s="252">
        <v>0</v>
      </c>
      <c r="I172" s="252">
        <v>0</v>
      </c>
      <c r="J172" s="252">
        <v>0</v>
      </c>
      <c r="K172" s="253">
        <v>0</v>
      </c>
      <c r="L172" s="248">
        <v>1</v>
      </c>
      <c r="M172" s="228">
        <v>1</v>
      </c>
      <c r="N172" s="229">
        <v>0</v>
      </c>
      <c r="O172" s="229">
        <v>0</v>
      </c>
      <c r="P172" s="229">
        <v>0</v>
      </c>
      <c r="Q172" s="229">
        <v>0</v>
      </c>
      <c r="R172" s="229">
        <v>0</v>
      </c>
      <c r="S172" s="230">
        <v>0</v>
      </c>
      <c r="T172" s="248">
        <v>1</v>
      </c>
      <c r="U172" s="257">
        <v>2</v>
      </c>
      <c r="V172" s="258" t="s">
        <v>189</v>
      </c>
    </row>
    <row r="173" spans="1:22" customHeight="1" ht="15">
      <c r="A173" s="264"/>
      <c r="B173" s="405"/>
      <c r="C173" s="405"/>
      <c r="D173" s="406"/>
      <c r="E173" s="251"/>
      <c r="F173" s="252"/>
      <c r="G173" s="252"/>
      <c r="H173" s="252"/>
      <c r="I173" s="252"/>
      <c r="J173" s="252"/>
      <c r="K173" s="253"/>
      <c r="L173" s="221">
        <f>SUM(E173:K173)</f>
        <v>0</v>
      </c>
      <c r="M173" s="232"/>
      <c r="N173" s="233"/>
      <c r="O173" s="233"/>
      <c r="P173" s="233"/>
      <c r="Q173" s="233"/>
      <c r="R173" s="233"/>
      <c r="S173" s="234"/>
      <c r="T173" s="221">
        <f>SUM(M173:S173)</f>
        <v>0</v>
      </c>
      <c r="U173" s="231">
        <f>SUM(T173,L173)</f>
        <v>0</v>
      </c>
      <c r="V173" s="227" t="b">
        <f>IF(T173&gt;0,T173/U173,)</f>
        <v>0</v>
      </c>
    </row>
    <row r="174" spans="1:22" customHeight="1" ht="15">
      <c r="A174" s="236" t="s">
        <v>160</v>
      </c>
      <c r="B174" s="237"/>
      <c r="C174" s="237"/>
      <c r="D174" s="237"/>
      <c r="E174" s="238">
        <f>SUM(E172:E173)</f>
        <v>0</v>
      </c>
      <c r="F174" s="238">
        <f>SUM(F172:F173)</f>
        <v>0</v>
      </c>
      <c r="G174" s="239">
        <f>SUM(G172:G173)</f>
        <v>1</v>
      </c>
      <c r="H174" s="238">
        <f>SUM(H172:H173)</f>
        <v>0</v>
      </c>
      <c r="I174" s="238">
        <f>SUM(I172:I173)</f>
        <v>0</v>
      </c>
      <c r="J174" s="239">
        <f>SUM(H174:I174)</f>
        <v>0</v>
      </c>
      <c r="K174" s="239">
        <f>SUM(I174:J174)</f>
        <v>0</v>
      </c>
      <c r="L174" s="240">
        <f>SUM(E174:K174)</f>
        <v>1</v>
      </c>
      <c r="M174" s="241">
        <f>SUM(M172:M173)</f>
        <v>1</v>
      </c>
      <c r="N174" s="238">
        <f>SUM(N172:N173)</f>
        <v>0</v>
      </c>
      <c r="O174" s="238">
        <f>SUM(O172:O173)</f>
        <v>0</v>
      </c>
      <c r="P174" s="238">
        <f>SUM(P172:P173)</f>
        <v>0</v>
      </c>
      <c r="Q174" s="238">
        <f>SUM(Q172:Q173)</f>
        <v>0</v>
      </c>
      <c r="R174" s="238">
        <f>SUM(R172:R173)</f>
        <v>0</v>
      </c>
      <c r="S174" s="242">
        <f>SUM(S172:S173)</f>
        <v>0</v>
      </c>
      <c r="T174" s="240">
        <f>SUM(M174:S174)</f>
        <v>1</v>
      </c>
      <c r="U174" s="243">
        <f>SUM(T174,L174)</f>
        <v>2</v>
      </c>
      <c r="V174" s="244">
        <f>IF(T174&gt;0,T174/U174,)</f>
        <v>0.5</v>
      </c>
    </row>
    <row r="175" spans="1:22" customHeight="1" ht="18">
      <c r="A175" s="407" t="s">
        <v>218</v>
      </c>
      <c r="B175" s="408"/>
      <c r="C175" s="408"/>
      <c r="D175" s="408"/>
      <c r="E175" s="408"/>
      <c r="F175" s="408"/>
      <c r="G175" s="408"/>
      <c r="H175" s="408"/>
      <c r="I175" s="408"/>
      <c r="J175" s="408"/>
      <c r="K175" s="408"/>
      <c r="L175" s="408"/>
      <c r="M175" s="408"/>
      <c r="N175" s="408"/>
      <c r="O175" s="408"/>
      <c r="P175" s="408"/>
      <c r="Q175" s="408"/>
      <c r="R175" s="408"/>
      <c r="S175" s="408"/>
      <c r="T175" s="408"/>
      <c r="U175" s="408"/>
      <c r="V175" s="409"/>
    </row>
    <row r="176" spans="1:22">
      <c r="A176" s="264" t="s">
        <v>219</v>
      </c>
      <c r="B176" s="410" t="s">
        <v>220</v>
      </c>
      <c r="C176" s="410"/>
      <c r="D176" s="411"/>
      <c r="E176" s="251">
        <v>0</v>
      </c>
      <c r="F176" s="252">
        <v>0</v>
      </c>
      <c r="G176" s="252">
        <v>1</v>
      </c>
      <c r="H176" s="252">
        <v>0</v>
      </c>
      <c r="I176" s="252">
        <v>0</v>
      </c>
      <c r="J176" s="252">
        <v>0</v>
      </c>
      <c r="K176" s="253">
        <v>0</v>
      </c>
      <c r="L176" s="248">
        <v>1</v>
      </c>
      <c r="M176" s="228">
        <v>0</v>
      </c>
      <c r="N176" s="229">
        <v>0</v>
      </c>
      <c r="O176" s="229">
        <v>0</v>
      </c>
      <c r="P176" s="229">
        <v>0</v>
      </c>
      <c r="Q176" s="229">
        <v>0</v>
      </c>
      <c r="R176" s="229">
        <v>0</v>
      </c>
      <c r="S176" s="230">
        <v>0</v>
      </c>
      <c r="T176" s="248">
        <v>0</v>
      </c>
      <c r="U176" s="257">
        <v>1</v>
      </c>
      <c r="V176" s="258" t="s">
        <v>132</v>
      </c>
    </row>
    <row r="177" spans="1:22" customHeight="1" ht="15">
      <c r="A177" s="264"/>
      <c r="B177" s="405"/>
      <c r="C177" s="405"/>
      <c r="D177" s="406"/>
      <c r="E177" s="251"/>
      <c r="F177" s="252"/>
      <c r="G177" s="252"/>
      <c r="H177" s="252"/>
      <c r="I177" s="252"/>
      <c r="J177" s="252"/>
      <c r="K177" s="253"/>
      <c r="L177" s="221">
        <f>SUM(E177:K177)</f>
        <v>0</v>
      </c>
      <c r="M177" s="232"/>
      <c r="N177" s="233"/>
      <c r="O177" s="233"/>
      <c r="P177" s="233"/>
      <c r="Q177" s="233"/>
      <c r="R177" s="233"/>
      <c r="S177" s="234"/>
      <c r="T177" s="221">
        <f>SUM(M177:S177)</f>
        <v>0</v>
      </c>
      <c r="U177" s="231">
        <f>SUM(T177,L177)</f>
        <v>0</v>
      </c>
      <c r="V177" s="227" t="b">
        <f>IF(T177&gt;0,T177/U177,)</f>
        <v>0</v>
      </c>
    </row>
    <row r="178" spans="1:22" customHeight="1" ht="15">
      <c r="A178" s="236" t="s">
        <v>160</v>
      </c>
      <c r="B178" s="237"/>
      <c r="C178" s="237"/>
      <c r="D178" s="237"/>
      <c r="E178" s="238">
        <f>SUM(E176:E177)</f>
        <v>0</v>
      </c>
      <c r="F178" s="238">
        <f>SUM(F176:F177)</f>
        <v>0</v>
      </c>
      <c r="G178" s="239">
        <f>SUM(G176:G177)</f>
        <v>1</v>
      </c>
      <c r="H178" s="238">
        <f>SUM(H176:H177)</f>
        <v>0</v>
      </c>
      <c r="I178" s="238">
        <f>SUM(I176:I177)</f>
        <v>0</v>
      </c>
      <c r="J178" s="239">
        <f>SUM(H178:I178)</f>
        <v>0</v>
      </c>
      <c r="K178" s="239">
        <f>SUM(I178:J178)</f>
        <v>0</v>
      </c>
      <c r="L178" s="240">
        <f>SUM(E178:K178)</f>
        <v>1</v>
      </c>
      <c r="M178" s="241">
        <f>SUM(M176:M177)</f>
        <v>0</v>
      </c>
      <c r="N178" s="238">
        <f>SUM(N176:N177)</f>
        <v>0</v>
      </c>
      <c r="O178" s="238">
        <f>SUM(O176:O177)</f>
        <v>0</v>
      </c>
      <c r="P178" s="238">
        <f>SUM(P176:P177)</f>
        <v>0</v>
      </c>
      <c r="Q178" s="238">
        <f>SUM(Q176:Q177)</f>
        <v>0</v>
      </c>
      <c r="R178" s="238">
        <f>SUM(R176:R177)</f>
        <v>0</v>
      </c>
      <c r="S178" s="242">
        <f>SUM(S176:S177)</f>
        <v>0</v>
      </c>
      <c r="T178" s="240">
        <f>SUM(M178:S178)</f>
        <v>0</v>
      </c>
      <c r="U178" s="243">
        <f>SUM(T178,L178)</f>
        <v>1</v>
      </c>
      <c r="V178" s="244" t="b">
        <f>IF(T178&gt;0,T178/U178,)</f>
        <v>0</v>
      </c>
    </row>
    <row r="179" spans="1:22" customHeight="1" ht="18">
      <c r="A179" s="407" t="s">
        <v>221</v>
      </c>
      <c r="B179" s="408"/>
      <c r="C179" s="408"/>
      <c r="D179" s="408"/>
      <c r="E179" s="408"/>
      <c r="F179" s="408"/>
      <c r="G179" s="408"/>
      <c r="H179" s="408"/>
      <c r="I179" s="408"/>
      <c r="J179" s="408"/>
      <c r="K179" s="408"/>
      <c r="L179" s="408"/>
      <c r="M179" s="408"/>
      <c r="N179" s="408"/>
      <c r="O179" s="408"/>
      <c r="P179" s="408"/>
      <c r="Q179" s="408"/>
      <c r="R179" s="408"/>
      <c r="S179" s="408"/>
      <c r="T179" s="408"/>
      <c r="U179" s="408"/>
      <c r="V179" s="409"/>
    </row>
    <row r="180" spans="1:22">
      <c r="A180" s="264" t="s">
        <v>100</v>
      </c>
      <c r="B180" s="410" t="s">
        <v>101</v>
      </c>
      <c r="C180" s="410"/>
      <c r="D180" s="411"/>
      <c r="E180" s="251">
        <v>1</v>
      </c>
      <c r="F180" s="252">
        <v>2</v>
      </c>
      <c r="G180" s="252">
        <v>0</v>
      </c>
      <c r="H180" s="252">
        <v>0</v>
      </c>
      <c r="I180" s="252">
        <v>0</v>
      </c>
      <c r="J180" s="252">
        <v>0</v>
      </c>
      <c r="K180" s="253">
        <v>0</v>
      </c>
      <c r="L180" s="248">
        <v>3</v>
      </c>
      <c r="M180" s="228">
        <v>0</v>
      </c>
      <c r="N180" s="229">
        <v>1</v>
      </c>
      <c r="O180" s="229">
        <v>0</v>
      </c>
      <c r="P180" s="229">
        <v>0</v>
      </c>
      <c r="Q180" s="229">
        <v>0</v>
      </c>
      <c r="R180" s="229">
        <v>0</v>
      </c>
      <c r="S180" s="230">
        <v>0</v>
      </c>
      <c r="T180" s="248">
        <v>1</v>
      </c>
      <c r="U180" s="257">
        <v>4</v>
      </c>
      <c r="V180" s="258" t="s">
        <v>165</v>
      </c>
    </row>
    <row r="181" spans="1:22" customHeight="1" ht="15">
      <c r="A181" s="264"/>
      <c r="B181" s="405"/>
      <c r="C181" s="405"/>
      <c r="D181" s="406"/>
      <c r="E181" s="251"/>
      <c r="F181" s="252"/>
      <c r="G181" s="252"/>
      <c r="H181" s="252"/>
      <c r="I181" s="252"/>
      <c r="J181" s="252"/>
      <c r="K181" s="253"/>
      <c r="L181" s="221">
        <f>SUM(E181:K181)</f>
        <v>0</v>
      </c>
      <c r="M181" s="232"/>
      <c r="N181" s="233"/>
      <c r="O181" s="233"/>
      <c r="P181" s="233"/>
      <c r="Q181" s="233"/>
      <c r="R181" s="233"/>
      <c r="S181" s="234"/>
      <c r="T181" s="221">
        <f>SUM(M181:S181)</f>
        <v>0</v>
      </c>
      <c r="U181" s="231">
        <f>SUM(T181,L181)</f>
        <v>0</v>
      </c>
      <c r="V181" s="227" t="b">
        <f>IF(T181&gt;0,T181/U181,)</f>
        <v>0</v>
      </c>
    </row>
    <row r="182" spans="1:22" customHeight="1" ht="15">
      <c r="A182" s="236" t="s">
        <v>160</v>
      </c>
      <c r="B182" s="237"/>
      <c r="C182" s="237"/>
      <c r="D182" s="237"/>
      <c r="E182" s="238">
        <f>SUM(E180:E181)</f>
        <v>1</v>
      </c>
      <c r="F182" s="238">
        <f>SUM(F180:F181)</f>
        <v>2</v>
      </c>
      <c r="G182" s="239">
        <f>SUM(G180:G181)</f>
        <v>0</v>
      </c>
      <c r="H182" s="238">
        <f>SUM(H180:H181)</f>
        <v>0</v>
      </c>
      <c r="I182" s="238">
        <f>SUM(I180:I181)</f>
        <v>0</v>
      </c>
      <c r="J182" s="239">
        <f>SUM(H182:I182)</f>
        <v>0</v>
      </c>
      <c r="K182" s="239">
        <f>SUM(I182:J182)</f>
        <v>0</v>
      </c>
      <c r="L182" s="240">
        <f>SUM(E182:K182)</f>
        <v>3</v>
      </c>
      <c r="M182" s="241">
        <f>SUM(M180:M181)</f>
        <v>0</v>
      </c>
      <c r="N182" s="238">
        <f>SUM(N180:N181)</f>
        <v>1</v>
      </c>
      <c r="O182" s="238">
        <f>SUM(O180:O181)</f>
        <v>0</v>
      </c>
      <c r="P182" s="238">
        <f>SUM(P180:P181)</f>
        <v>0</v>
      </c>
      <c r="Q182" s="238">
        <f>SUM(Q180:Q181)</f>
        <v>0</v>
      </c>
      <c r="R182" s="238">
        <f>SUM(R180:R181)</f>
        <v>0</v>
      </c>
      <c r="S182" s="242">
        <f>SUM(S180:S181)</f>
        <v>0</v>
      </c>
      <c r="T182" s="240">
        <f>SUM(M182:S182)</f>
        <v>1</v>
      </c>
      <c r="U182" s="243">
        <f>SUM(T182,L182)</f>
        <v>4</v>
      </c>
      <c r="V182" s="244">
        <f>IF(T182&gt;0,T182/U182,)</f>
        <v>0.25</v>
      </c>
    </row>
    <row r="183" spans="1:22" customHeight="1" ht="18">
      <c r="A183" s="407" t="s">
        <v>222</v>
      </c>
      <c r="B183" s="408"/>
      <c r="C183" s="408"/>
      <c r="D183" s="408"/>
      <c r="E183" s="408"/>
      <c r="F183" s="408"/>
      <c r="G183" s="408"/>
      <c r="H183" s="408"/>
      <c r="I183" s="408"/>
      <c r="J183" s="408"/>
      <c r="K183" s="408"/>
      <c r="L183" s="408"/>
      <c r="M183" s="408"/>
      <c r="N183" s="408"/>
      <c r="O183" s="408"/>
      <c r="P183" s="408"/>
      <c r="Q183" s="408"/>
      <c r="R183" s="408"/>
      <c r="S183" s="408"/>
      <c r="T183" s="408"/>
      <c r="U183" s="408"/>
      <c r="V183" s="409"/>
    </row>
    <row r="184" spans="1:22">
      <c r="A184" s="264"/>
      <c r="B184" s="410"/>
      <c r="C184" s="410"/>
      <c r="D184" s="411"/>
      <c r="E184" s="251"/>
      <c r="F184" s="252"/>
      <c r="G184" s="252"/>
      <c r="H184" s="252"/>
      <c r="I184" s="252"/>
      <c r="J184" s="252"/>
      <c r="K184" s="253"/>
      <c r="L184" s="248">
        <f>SUM(E184:K184)</f>
        <v>0</v>
      </c>
      <c r="M184" s="228"/>
      <c r="N184" s="229"/>
      <c r="O184" s="229"/>
      <c r="P184" s="229"/>
      <c r="Q184" s="229"/>
      <c r="R184" s="229"/>
      <c r="S184" s="230"/>
      <c r="T184" s="248">
        <f>SUM(M184:S184)</f>
        <v>0</v>
      </c>
      <c r="U184" s="257">
        <f>SUM(T184,L184)</f>
        <v>0</v>
      </c>
      <c r="V184" s="258" t="b">
        <f>IF(T184&gt;0,T184/U184,)</f>
        <v>0</v>
      </c>
    </row>
    <row r="185" spans="1:22" customHeight="1" ht="15">
      <c r="A185" s="264"/>
      <c r="B185" s="405"/>
      <c r="C185" s="405"/>
      <c r="D185" s="406"/>
      <c r="E185" s="251"/>
      <c r="F185" s="252"/>
      <c r="G185" s="252"/>
      <c r="H185" s="252"/>
      <c r="I185" s="252"/>
      <c r="J185" s="252"/>
      <c r="K185" s="253"/>
      <c r="L185" s="221">
        <f>SUM(E185:K185)</f>
        <v>0</v>
      </c>
      <c r="M185" s="232"/>
      <c r="N185" s="233"/>
      <c r="O185" s="233"/>
      <c r="P185" s="233"/>
      <c r="Q185" s="233"/>
      <c r="R185" s="233"/>
      <c r="S185" s="234"/>
      <c r="T185" s="221">
        <f>SUM(M185:S185)</f>
        <v>0</v>
      </c>
      <c r="U185" s="231">
        <f>SUM(T185,L185)</f>
        <v>0</v>
      </c>
      <c r="V185" s="227" t="b">
        <f>IF(T185&gt;0,T185/U185,)</f>
        <v>0</v>
      </c>
    </row>
    <row r="186" spans="1:22" customHeight="1" ht="15">
      <c r="A186" s="236" t="s">
        <v>160</v>
      </c>
      <c r="B186" s="237"/>
      <c r="C186" s="237"/>
      <c r="D186" s="237"/>
      <c r="E186" s="238">
        <f>SUM(E184:E185)</f>
        <v>0</v>
      </c>
      <c r="F186" s="238">
        <f>SUM(F184:F185)</f>
        <v>0</v>
      </c>
      <c r="G186" s="239">
        <f>SUM(G184:G185)</f>
        <v>0</v>
      </c>
      <c r="H186" s="238">
        <f>SUM(H184:H185)</f>
        <v>0</v>
      </c>
      <c r="I186" s="238">
        <f>SUM(I184:I185)</f>
        <v>0</v>
      </c>
      <c r="J186" s="239">
        <f>SUM(H186:I186)</f>
        <v>0</v>
      </c>
      <c r="K186" s="239">
        <f>SUM(I186:J186)</f>
        <v>0</v>
      </c>
      <c r="L186" s="240">
        <f>SUM(E186:K186)</f>
        <v>0</v>
      </c>
      <c r="M186" s="241">
        <f>SUM(M184:M185)</f>
        <v>0</v>
      </c>
      <c r="N186" s="238">
        <f>SUM(N184:N185)</f>
        <v>0</v>
      </c>
      <c r="O186" s="238">
        <f>SUM(O184:O185)</f>
        <v>0</v>
      </c>
      <c r="P186" s="238">
        <f>SUM(P184:P185)</f>
        <v>0</v>
      </c>
      <c r="Q186" s="238">
        <f>SUM(Q184:Q185)</f>
        <v>0</v>
      </c>
      <c r="R186" s="238">
        <f>SUM(R184:R185)</f>
        <v>0</v>
      </c>
      <c r="S186" s="242">
        <f>SUM(S184:S185)</f>
        <v>0</v>
      </c>
      <c r="T186" s="240">
        <f>SUM(M186:S186)</f>
        <v>0</v>
      </c>
      <c r="U186" s="243">
        <f>SUM(T186,L186)</f>
        <v>0</v>
      </c>
      <c r="V186" s="244" t="b">
        <f>IF(T186&gt;0,T186/U186,)</f>
        <v>0</v>
      </c>
    </row>
    <row r="187" spans="1:22" customHeight="1" ht="18">
      <c r="A187" s="407" t="s">
        <v>223</v>
      </c>
      <c r="B187" s="408"/>
      <c r="C187" s="408"/>
      <c r="D187" s="408"/>
      <c r="E187" s="408"/>
      <c r="F187" s="408"/>
      <c r="G187" s="408"/>
      <c r="H187" s="408"/>
      <c r="I187" s="408"/>
      <c r="J187" s="408"/>
      <c r="K187" s="408"/>
      <c r="L187" s="408"/>
      <c r="M187" s="408"/>
      <c r="N187" s="408"/>
      <c r="O187" s="408"/>
      <c r="P187" s="408"/>
      <c r="Q187" s="408"/>
      <c r="R187" s="408"/>
      <c r="S187" s="408"/>
      <c r="T187" s="408"/>
      <c r="U187" s="408"/>
      <c r="V187" s="409"/>
    </row>
    <row r="188" spans="1:22">
      <c r="A188" s="264"/>
      <c r="B188" s="410"/>
      <c r="C188" s="410"/>
      <c r="D188" s="411"/>
      <c r="E188" s="251"/>
      <c r="F188" s="252"/>
      <c r="G188" s="252"/>
      <c r="H188" s="252"/>
      <c r="I188" s="252"/>
      <c r="J188" s="252"/>
      <c r="K188" s="253"/>
      <c r="L188" s="248">
        <f>SUM(E188:K188)</f>
        <v>0</v>
      </c>
      <c r="M188" s="228"/>
      <c r="N188" s="229"/>
      <c r="O188" s="229"/>
      <c r="P188" s="229"/>
      <c r="Q188" s="229"/>
      <c r="R188" s="229"/>
      <c r="S188" s="230"/>
      <c r="T188" s="248">
        <f>SUM(M188:S188)</f>
        <v>0</v>
      </c>
      <c r="U188" s="257">
        <f>SUM(T188,L188)</f>
        <v>0</v>
      </c>
      <c r="V188" s="258" t="b">
        <f>IF(T188&gt;0,T188/U188,)</f>
        <v>0</v>
      </c>
    </row>
    <row r="189" spans="1:22" customHeight="1" ht="15">
      <c r="A189" s="264"/>
      <c r="B189" s="405"/>
      <c r="C189" s="405"/>
      <c r="D189" s="406"/>
      <c r="E189" s="251"/>
      <c r="F189" s="252"/>
      <c r="G189" s="252"/>
      <c r="H189" s="252"/>
      <c r="I189" s="252"/>
      <c r="J189" s="252"/>
      <c r="K189" s="253"/>
      <c r="L189" s="221">
        <f>SUM(E189:K189)</f>
        <v>0</v>
      </c>
      <c r="M189" s="232"/>
      <c r="N189" s="233"/>
      <c r="O189" s="233"/>
      <c r="P189" s="233"/>
      <c r="Q189" s="233"/>
      <c r="R189" s="233"/>
      <c r="S189" s="234"/>
      <c r="T189" s="221">
        <f>SUM(M189:S189)</f>
        <v>0</v>
      </c>
      <c r="U189" s="231">
        <f>SUM(T189,L189)</f>
        <v>0</v>
      </c>
      <c r="V189" s="227" t="b">
        <f>IF(T189&gt;0,T189/U189,)</f>
        <v>0</v>
      </c>
    </row>
    <row r="190" spans="1:22" customHeight="1" ht="15">
      <c r="A190" s="236" t="s">
        <v>160</v>
      </c>
      <c r="B190" s="237"/>
      <c r="C190" s="237"/>
      <c r="D190" s="237"/>
      <c r="E190" s="238">
        <f>SUM(E188:E189)</f>
        <v>0</v>
      </c>
      <c r="F190" s="238">
        <f>SUM(F188:F189)</f>
        <v>0</v>
      </c>
      <c r="G190" s="239">
        <f>SUM(G188:G189)</f>
        <v>0</v>
      </c>
      <c r="H190" s="238">
        <f>SUM(H188:H189)</f>
        <v>0</v>
      </c>
      <c r="I190" s="238">
        <f>SUM(I188:I189)</f>
        <v>0</v>
      </c>
      <c r="J190" s="239">
        <f>SUM(H190:I190)</f>
        <v>0</v>
      </c>
      <c r="K190" s="239">
        <f>SUM(I190:J190)</f>
        <v>0</v>
      </c>
      <c r="L190" s="240">
        <f>SUM(E190:K190)</f>
        <v>0</v>
      </c>
      <c r="M190" s="241">
        <f>SUM(M188:M189)</f>
        <v>0</v>
      </c>
      <c r="N190" s="238">
        <f>SUM(N188:N189)</f>
        <v>0</v>
      </c>
      <c r="O190" s="238">
        <f>SUM(O188:O189)</f>
        <v>0</v>
      </c>
      <c r="P190" s="238">
        <f>SUM(P188:P189)</f>
        <v>0</v>
      </c>
      <c r="Q190" s="238">
        <f>SUM(Q188:Q189)</f>
        <v>0</v>
      </c>
      <c r="R190" s="238">
        <f>SUM(R188:R189)</f>
        <v>0</v>
      </c>
      <c r="S190" s="242">
        <f>SUM(S188:S189)</f>
        <v>0</v>
      </c>
      <c r="T190" s="240">
        <f>SUM(M190:S190)</f>
        <v>0</v>
      </c>
      <c r="U190" s="243">
        <f>SUM(T190,L190)</f>
        <v>0</v>
      </c>
      <c r="V190" s="244" t="b">
        <f>IF(T190&gt;0,T190/U190,)</f>
        <v>0</v>
      </c>
    </row>
    <row r="191" spans="1:22" customHeight="1" ht="18.5">
      <c r="A191" s="280" t="s">
        <v>197</v>
      </c>
      <c r="B191" s="304"/>
      <c r="C191" s="304"/>
      <c r="D191" s="305"/>
      <c r="E191" s="306">
        <f>SUM(E162,E166,E174,E178,E182,E186,E190)</f>
        <v>1</v>
      </c>
      <c r="F191" s="306">
        <f>SUM(F174,F166,F162,F178,F182,F190)</f>
        <v>2</v>
      </c>
      <c r="G191" s="306">
        <f>SUM(G162,G166,G170,G174,G178,G182,G186,G190)</f>
        <v>4</v>
      </c>
      <c r="H191" s="306">
        <f>SUM(H162,H166,H170,H174,H182,H186,H190)</f>
        <v>0</v>
      </c>
      <c r="I191" s="306">
        <f>SUM(I162,I166,I174,I170,I178,I182,I186,I190)</f>
        <v>0</v>
      </c>
      <c r="J191" s="306">
        <f>SUM(J162,J166,J170,J174,J182,J186,J190)</f>
        <v>0</v>
      </c>
      <c r="K191" s="306">
        <f>SUM(K162,K166,K170,K174,K182,K186,K190)</f>
        <v>0</v>
      </c>
      <c r="L191" s="240">
        <f>SUM(L162,L166,L170,L174,L178,L182,L186,L190)</f>
        <v>15</v>
      </c>
      <c r="M191" s="307">
        <f>SUM(M162,M166,M170,M174,M178,M182,M186,M190)</f>
        <v>2</v>
      </c>
      <c r="N191" s="307">
        <f>SUM(N162,N166,N170,N174,N178,N182,N186,N190)</f>
        <v>1</v>
      </c>
      <c r="O191" s="307">
        <f>SUM(O162,O166,O170,O174,O178,O182,O186,O190)</f>
        <v>1</v>
      </c>
      <c r="P191" s="307">
        <f>SUM(P162,P166,P170,P174,P178,P182,P186,P190)</f>
        <v>0</v>
      </c>
      <c r="Q191" s="307">
        <f>SUM(Q162,Q166,Q170,Q174,Q178,Q182,Q186,Q190)</f>
        <v>0</v>
      </c>
      <c r="R191" s="307">
        <f>SUM(R162,R166,R170,R174,R178,R182,R186,R190)</f>
        <v>0</v>
      </c>
      <c r="S191" s="307">
        <f>SUM(S162,S166,S170,S174,S178,S182,S186,S190)</f>
        <v>0</v>
      </c>
      <c r="T191" s="240">
        <f>SUM(T162,T166,T170,T174,T178,T182,T186,T190)</f>
        <v>4</v>
      </c>
      <c r="U191" s="243">
        <f>SUM(T191,L191)</f>
        <v>19</v>
      </c>
      <c r="V191" s="244">
        <f>IF(T191&gt;0,T191/U191,)</f>
        <v>0.21052631578947</v>
      </c>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row r="298" spans="1:22">
      <c r="A298" s="58"/>
      <c r="B298" s="58"/>
      <c r="C298" s="58"/>
      <c r="D298" s="58"/>
      <c r="E298" s="58"/>
      <c r="F298" s="58"/>
      <c r="G298" s="58"/>
      <c r="H298" s="58"/>
      <c r="I298" s="58"/>
      <c r="J298" s="58"/>
      <c r="K298" s="58"/>
      <c r="L298" s="58"/>
      <c r="M298" s="58"/>
      <c r="N298" s="58"/>
      <c r="O298" s="58"/>
      <c r="P298" s="58"/>
      <c r="Q298" s="58"/>
      <c r="R298" s="58"/>
      <c r="S298" s="58"/>
      <c r="T298" s="58"/>
      <c r="U298" s="58"/>
      <c r="V298" s="58"/>
    </row>
    <row r="299" spans="1:22">
      <c r="A299" s="58"/>
      <c r="B299" s="58"/>
      <c r="C299" s="58"/>
      <c r="D299" s="58"/>
      <c r="E299" s="58"/>
      <c r="F299" s="58"/>
      <c r="G299" s="58"/>
      <c r="H299" s="58"/>
      <c r="I299" s="58"/>
      <c r="J299" s="58"/>
      <c r="K299" s="58"/>
      <c r="L299" s="58"/>
      <c r="M299" s="58"/>
      <c r="N299" s="58"/>
      <c r="O299" s="58"/>
      <c r="P299" s="58"/>
      <c r="Q299" s="58"/>
      <c r="R299" s="58"/>
      <c r="S299" s="58"/>
      <c r="T299" s="58"/>
      <c r="U299" s="58"/>
      <c r="V299"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9:D19"/>
    <mergeCell ref="A15:V15"/>
    <mergeCell ref="B16:D16"/>
    <mergeCell ref="B18:D18"/>
    <mergeCell ref="A14:D14"/>
    <mergeCell ref="E14:K14"/>
    <mergeCell ref="M14:S14"/>
    <mergeCell ref="B38:D38"/>
    <mergeCell ref="B34:D34"/>
    <mergeCell ref="B35:D35"/>
    <mergeCell ref="A36:D36"/>
    <mergeCell ref="A37:V37"/>
    <mergeCell ref="B25:D25"/>
    <mergeCell ref="B26:D26"/>
    <mergeCell ref="A20:V20"/>
    <mergeCell ref="B22:D22"/>
    <mergeCell ref="A24:V24"/>
    <mergeCell ref="A23:D23"/>
    <mergeCell ref="B21:D21"/>
    <mergeCell ref="B29:D29"/>
    <mergeCell ref="B31:D31"/>
    <mergeCell ref="A33:V33"/>
    <mergeCell ref="A27:D27"/>
    <mergeCell ref="A28:V28"/>
    <mergeCell ref="B56:D56"/>
    <mergeCell ref="A58:V58"/>
    <mergeCell ref="B60:D60"/>
    <mergeCell ref="A62:V62"/>
    <mergeCell ref="B59:D59"/>
    <mergeCell ref="B48:D48"/>
    <mergeCell ref="A49:D49"/>
    <mergeCell ref="A50:V50"/>
    <mergeCell ref="B52:D52"/>
    <mergeCell ref="A54:V54"/>
    <mergeCell ref="B55:D55"/>
    <mergeCell ref="B51:D51"/>
    <mergeCell ref="A46:V46"/>
    <mergeCell ref="B47:D47"/>
    <mergeCell ref="B40:D40"/>
    <mergeCell ref="A41:D41"/>
    <mergeCell ref="A42:V42"/>
    <mergeCell ref="B43:D43"/>
    <mergeCell ref="B44:D44"/>
    <mergeCell ref="B76:D76"/>
    <mergeCell ref="B72:D72"/>
    <mergeCell ref="B73:D73"/>
    <mergeCell ref="A75:V75"/>
    <mergeCell ref="A71:V71"/>
    <mergeCell ref="B67:D67"/>
    <mergeCell ref="B69:D69"/>
    <mergeCell ref="B63:D63"/>
    <mergeCell ref="B64:D64"/>
    <mergeCell ref="A66:V66"/>
    <mergeCell ref="A88:D88"/>
    <mergeCell ref="E88:K88"/>
    <mergeCell ref="M88:S88"/>
    <mergeCell ref="A89:V89"/>
    <mergeCell ref="B90:D90"/>
    <mergeCell ref="B77:D77"/>
    <mergeCell ref="A78:D78"/>
    <mergeCell ref="A85:V85"/>
    <mergeCell ref="E86:K86"/>
    <mergeCell ref="M86:S86"/>
    <mergeCell ref="A97:V97"/>
    <mergeCell ref="A100:D100"/>
    <mergeCell ref="A101:V101"/>
    <mergeCell ref="B102:D102"/>
    <mergeCell ref="B103:D103"/>
    <mergeCell ref="B91:D91"/>
    <mergeCell ref="B94:D94"/>
    <mergeCell ref="B95:D95"/>
    <mergeCell ref="A93:V93"/>
    <mergeCell ref="A96:D96"/>
    <mergeCell ref="B98:D98"/>
    <mergeCell ref="B99:D99"/>
    <mergeCell ref="B114:D114"/>
    <mergeCell ref="A117:V117"/>
    <mergeCell ref="A109:V109"/>
    <mergeCell ref="B110:D110"/>
    <mergeCell ref="B111:D111"/>
    <mergeCell ref="A113:V113"/>
    <mergeCell ref="B106:D106"/>
    <mergeCell ref="B107:D107"/>
    <mergeCell ref="A108:D108"/>
    <mergeCell ref="B126:D126"/>
    <mergeCell ref="A125:V125"/>
    <mergeCell ref="B127:D127"/>
    <mergeCell ref="B119:D119"/>
    <mergeCell ref="B122:D122"/>
    <mergeCell ref="B123:D123"/>
    <mergeCell ref="A120:D120"/>
    <mergeCell ref="A121:V121"/>
    <mergeCell ref="B115:D115"/>
    <mergeCell ref="B118:D118"/>
    <mergeCell ref="A141:V141"/>
    <mergeCell ref="B142:D142"/>
    <mergeCell ref="B143:D143"/>
    <mergeCell ref="B135:D135"/>
    <mergeCell ref="B134:D134"/>
    <mergeCell ref="A137:V137"/>
    <mergeCell ref="B138:D138"/>
    <mergeCell ref="A129:V129"/>
    <mergeCell ref="B130:D130"/>
    <mergeCell ref="B131:D131"/>
    <mergeCell ref="A133:V133"/>
    <mergeCell ref="A105:V105"/>
    <mergeCell ref="A112:D112"/>
    <mergeCell ref="B168:D168"/>
    <mergeCell ref="B169:D169"/>
    <mergeCell ref="B173:D173"/>
    <mergeCell ref="B164:D164"/>
    <mergeCell ref="B165:D165"/>
    <mergeCell ref="B172:D172"/>
    <mergeCell ref="A171:V171"/>
    <mergeCell ref="B161:D161"/>
    <mergeCell ref="A163:V163"/>
    <mergeCell ref="A158:D158"/>
    <mergeCell ref="E158:K158"/>
    <mergeCell ref="M158:S158"/>
    <mergeCell ref="A159:V159"/>
    <mergeCell ref="B160:D160"/>
    <mergeCell ref="A155:V155"/>
    <mergeCell ref="E156:K156"/>
    <mergeCell ref="M156:S156"/>
    <mergeCell ref="A145:V145"/>
    <mergeCell ref="B146:D146"/>
    <mergeCell ref="B147:D147"/>
    <mergeCell ref="A148:D148"/>
    <mergeCell ref="B139:D139"/>
    <mergeCell ref="B185:D185"/>
    <mergeCell ref="A187:V187"/>
    <mergeCell ref="B188:D188"/>
    <mergeCell ref="B189:D189"/>
    <mergeCell ref="A167:V167"/>
    <mergeCell ref="A175:V175"/>
    <mergeCell ref="B176:D176"/>
    <mergeCell ref="B177:D177"/>
    <mergeCell ref="A179:V179"/>
    <mergeCell ref="B180:D180"/>
    <mergeCell ref="B181:D181"/>
    <mergeCell ref="A183:V183"/>
    <mergeCell ref="B184:D184"/>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7" customHeight="1" ht="15">
      <c r="A1" s="327" t="s">
        <v>224</v>
      </c>
      <c r="B1" s="339"/>
      <c r="C1" s="339"/>
      <c r="D1" s="339"/>
      <c r="E1" s="339"/>
      <c r="F1" s="339"/>
      <c r="G1" s="339"/>
      <c r="H1" s="339"/>
      <c r="I1" s="339"/>
      <c r="J1" s="340"/>
      <c r="K1" s="340"/>
      <c r="L1" s="340"/>
      <c r="M1"/>
      <c r="N1"/>
      <c r="O1"/>
      <c r="Q1"/>
    </row>
    <row r="2" spans="1:17" customHeight="1" ht="15">
      <c r="A2" s="341"/>
      <c r="B2" s="342"/>
      <c r="C2" s="342"/>
      <c r="D2" s="342"/>
      <c r="E2" s="342"/>
      <c r="F2" s="342"/>
      <c r="G2" s="342"/>
      <c r="H2" s="342"/>
      <c r="I2" s="342"/>
      <c r="J2" s="343"/>
      <c r="K2" s="343"/>
      <c r="L2" s="343"/>
      <c r="M2"/>
      <c r="N2"/>
      <c r="O2"/>
      <c r="Q2"/>
    </row>
    <row r="3" spans="1:17" customHeight="1" ht="15">
      <c r="A3" s="506" t="s">
        <v>225</v>
      </c>
      <c r="B3" s="507"/>
      <c r="C3" s="508" t="s">
        <v>144</v>
      </c>
      <c r="D3" s="509"/>
      <c r="E3" s="509"/>
      <c r="F3" s="510"/>
      <c r="G3" s="508"/>
      <c r="H3" s="509"/>
      <c r="I3" s="510"/>
      <c r="J3" s="25"/>
      <c r="K3" s="25"/>
      <c r="L3" s="25"/>
      <c r="M3"/>
      <c r="N3"/>
      <c r="O3"/>
      <c r="Q3"/>
    </row>
    <row r="4" spans="1:17">
      <c r="A4" s="506" t="s">
        <v>226</v>
      </c>
      <c r="B4" s="507"/>
      <c r="C4" s="508" t="s">
        <v>146</v>
      </c>
      <c r="D4" s="509"/>
      <c r="E4" s="509"/>
      <c r="F4" s="510"/>
      <c r="G4" s="6"/>
      <c r="H4" s="6"/>
      <c r="I4" s="6"/>
      <c r="J4" s="25"/>
      <c r="K4" s="25"/>
      <c r="L4" s="25"/>
      <c r="M4"/>
      <c r="N4"/>
      <c r="O4"/>
      <c r="Q4"/>
    </row>
    <row r="5" spans="1:17">
      <c r="A5" s="506" t="s">
        <v>227</v>
      </c>
      <c r="B5" s="507"/>
      <c r="C5" s="508" t="s">
        <v>148</v>
      </c>
      <c r="D5" s="509"/>
      <c r="E5" s="509"/>
      <c r="F5" s="510"/>
      <c r="G5" s="6"/>
      <c r="H5" s="6"/>
      <c r="I5" s="6"/>
      <c r="J5" s="25"/>
      <c r="K5" s="25"/>
      <c r="L5" s="25"/>
      <c r="M5"/>
      <c r="N5"/>
      <c r="O5"/>
      <c r="Q5"/>
    </row>
    <row r="6" spans="1:17">
      <c r="A6" s="506" t="s">
        <v>228</v>
      </c>
      <c r="B6" s="507"/>
      <c r="C6" s="508" t="s">
        <v>229</v>
      </c>
      <c r="D6" s="509"/>
      <c r="E6" s="509"/>
      <c r="F6" s="510"/>
      <c r="G6" s="6"/>
      <c r="H6" s="6"/>
      <c r="I6" s="6"/>
      <c r="J6" s="25"/>
      <c r="K6" s="25"/>
      <c r="L6" s="25"/>
      <c r="M6"/>
      <c r="N6"/>
      <c r="O6"/>
      <c r="Q6"/>
    </row>
    <row r="7" spans="1:17" customHeight="1" ht="15">
      <c r="A7" s="23"/>
      <c r="B7" s="24"/>
      <c r="C7" s="24"/>
      <c r="D7" s="24"/>
      <c r="E7" s="24"/>
      <c r="F7" s="24"/>
      <c r="G7" s="24"/>
      <c r="H7" s="24"/>
      <c r="I7" s="24"/>
      <c r="J7" s="26"/>
      <c r="K7" s="26"/>
      <c r="L7" s="26"/>
      <c r="M7"/>
      <c r="N7"/>
      <c r="O7"/>
      <c r="Q7"/>
    </row>
    <row r="8" spans="1:17">
      <c r="Q8"/>
    </row>
    <row r="9" spans="1:17" customHeight="1" ht="15">
      <c r="Q9"/>
    </row>
    <row r="10" spans="1:17" customHeight="1" ht="15.5">
      <c r="A10" s="1"/>
      <c r="B10" s="37" t="s">
        <v>230</v>
      </c>
      <c r="C10" s="38" t="s">
        <v>230</v>
      </c>
      <c r="D10" s="38" t="s">
        <v>230</v>
      </c>
      <c r="E10" s="38" t="s">
        <v>230</v>
      </c>
      <c r="F10" s="38" t="s">
        <v>230</v>
      </c>
      <c r="G10" s="38" t="s">
        <v>230</v>
      </c>
      <c r="H10" s="38" t="s">
        <v>230</v>
      </c>
      <c r="I10" s="38" t="s">
        <v>230</v>
      </c>
      <c r="J10" s="88" t="s">
        <v>230</v>
      </c>
      <c r="K10" s="88" t="s">
        <v>230</v>
      </c>
      <c r="L10" s="88" t="s">
        <v>230</v>
      </c>
      <c r="M10" s="39"/>
      <c r="N10"/>
      <c r="O10" s="12" t="s">
        <v>231</v>
      </c>
      <c r="P10" s="7"/>
      <c r="Q10" s="8"/>
    </row>
    <row r="11" spans="1:17" customHeight="1" ht="15">
      <c r="A11" s="32" t="s">
        <v>232</v>
      </c>
      <c r="B11" s="28" t="s">
        <v>233</v>
      </c>
      <c r="C11" s="28"/>
      <c r="D11" s="28"/>
      <c r="E11" s="28"/>
      <c r="F11" s="28"/>
      <c r="G11" s="28"/>
      <c r="H11" s="28"/>
      <c r="I11" s="28"/>
      <c r="J11" s="28"/>
      <c r="K11" s="28"/>
      <c r="L11" s="28"/>
      <c r="M11" s="40"/>
      <c r="N11"/>
      <c r="O11" s="503" t="s">
        <v>234</v>
      </c>
      <c r="P11" s="328"/>
      <c r="Q11" s="20" t="s">
        <v>269</v>
      </c>
    </row>
    <row r="12" spans="1:17">
      <c r="A12" s="15" t="s">
        <v>235</v>
      </c>
      <c r="B12" s="27">
        <v>26</v>
      </c>
      <c r="C12" s="27"/>
      <c r="D12" s="27"/>
      <c r="E12" s="27"/>
      <c r="F12" s="27"/>
      <c r="G12" s="27"/>
      <c r="H12" s="27"/>
      <c r="I12" s="27"/>
      <c r="J12" s="27"/>
      <c r="K12" s="27"/>
      <c r="L12" s="27"/>
      <c r="M12" s="40">
        <f>SUM(B12:J12)</f>
        <v>26</v>
      </c>
      <c r="N12"/>
      <c r="O12" s="504" t="s">
        <v>236</v>
      </c>
      <c r="P12" s="505"/>
      <c r="Q12" s="89" t="s">
        <v>270</v>
      </c>
    </row>
    <row r="13" spans="1:17">
      <c r="A13" s="33" t="s">
        <v>237</v>
      </c>
      <c r="B13" s="29" t="s">
        <v>238</v>
      </c>
      <c r="C13" s="29" t="s">
        <v>239</v>
      </c>
      <c r="D13" s="29" t="s">
        <v>240</v>
      </c>
      <c r="E13" s="29" t="s">
        <v>241</v>
      </c>
      <c r="F13" s="29" t="s">
        <v>242</v>
      </c>
      <c r="G13" s="29" t="s">
        <v>243</v>
      </c>
      <c r="H13" s="29" t="s">
        <v>244</v>
      </c>
      <c r="I13" s="29" t="s">
        <v>245</v>
      </c>
      <c r="J13" s="29" t="s">
        <v>246</v>
      </c>
      <c r="K13" s="29"/>
      <c r="L13" s="29"/>
      <c r="M13" s="40"/>
      <c r="N13"/>
      <c r="O13" s="511" t="s">
        <v>247</v>
      </c>
      <c r="P13" s="512"/>
      <c r="Q13" s="90" t="s">
        <v>271</v>
      </c>
    </row>
    <row r="14" spans="1:17">
      <c r="A14" s="34" t="s">
        <v>235</v>
      </c>
      <c r="B14" s="30">
        <v>11</v>
      </c>
      <c r="C14" s="30">
        <v>13</v>
      </c>
      <c r="D14" s="30">
        <v>14</v>
      </c>
      <c r="E14" s="30">
        <v>5</v>
      </c>
      <c r="F14" s="30">
        <v>4</v>
      </c>
      <c r="G14" s="30">
        <v>7</v>
      </c>
      <c r="H14" s="30">
        <v>18</v>
      </c>
      <c r="I14" s="30">
        <v>1</v>
      </c>
      <c r="J14" s="30">
        <v>28</v>
      </c>
      <c r="K14" s="30"/>
      <c r="L14" s="30"/>
      <c r="M14" s="40">
        <f>SUM(B14:J14)</f>
        <v>101</v>
      </c>
      <c r="N14"/>
      <c r="O14" s="511" t="s">
        <v>248</v>
      </c>
      <c r="P14" s="512"/>
      <c r="Q14" s="90" t="s">
        <v>272</v>
      </c>
    </row>
    <row r="15" spans="1:17">
      <c r="A15" s="35" t="s">
        <v>249</v>
      </c>
      <c r="B15" s="28"/>
      <c r="C15" s="28"/>
      <c r="D15" s="28"/>
      <c r="E15" s="28"/>
      <c r="F15" s="28"/>
      <c r="G15" s="28"/>
      <c r="H15" s="28"/>
      <c r="I15" s="28"/>
      <c r="J15" s="28"/>
      <c r="K15" s="28"/>
      <c r="L15" s="28"/>
      <c r="M15" s="40"/>
      <c r="N15"/>
      <c r="O15" s="513" t="s">
        <v>250</v>
      </c>
      <c r="P15" s="514"/>
      <c r="Q15" s="92" t="s">
        <v>273</v>
      </c>
    </row>
    <row r="16" spans="1:17">
      <c r="A16" s="15" t="s">
        <v>235</v>
      </c>
      <c r="B16" s="27"/>
      <c r="C16" s="27"/>
      <c r="D16" s="27"/>
      <c r="E16" s="27"/>
      <c r="F16" s="27"/>
      <c r="G16" s="27"/>
      <c r="H16" s="27"/>
      <c r="I16" s="27"/>
      <c r="J16" s="27"/>
      <c r="K16" s="27"/>
      <c r="L16" s="27"/>
      <c r="M16" s="40">
        <f>SUM(B16:J16)</f>
        <v>0</v>
      </c>
      <c r="N16"/>
      <c r="O16" s="515" t="s">
        <v>251</v>
      </c>
      <c r="P16" s="516"/>
      <c r="Q16" s="91" t="s">
        <v>274</v>
      </c>
    </row>
    <row r="17" spans="1:17">
      <c r="A17" s="33" t="s">
        <v>252</v>
      </c>
      <c r="B17" s="29"/>
      <c r="C17" s="29"/>
      <c r="D17" s="29"/>
      <c r="E17" s="29"/>
      <c r="F17" s="29"/>
      <c r="G17" s="29"/>
      <c r="H17" s="29"/>
      <c r="I17" s="29"/>
      <c r="J17" s="29"/>
      <c r="K17" s="29"/>
      <c r="L17" s="29"/>
      <c r="M17" s="40"/>
      <c r="N17"/>
      <c r="O17" s="517"/>
      <c r="P17" s="518"/>
      <c r="Q17" s="93"/>
    </row>
    <row r="18" spans="1:17">
      <c r="A18" s="34" t="s">
        <v>235</v>
      </c>
      <c r="B18" s="30"/>
      <c r="C18" s="30"/>
      <c r="D18" s="30"/>
      <c r="E18" s="30"/>
      <c r="F18" s="30"/>
      <c r="G18" s="30"/>
      <c r="H18" s="30"/>
      <c r="I18" s="30"/>
      <c r="J18" s="30"/>
      <c r="K18" s="30"/>
      <c r="L18" s="30"/>
      <c r="M18" s="40">
        <f>SUM(B18:J18)</f>
        <v>0</v>
      </c>
      <c r="N18"/>
      <c r="O18" s="517"/>
      <c r="P18" s="518"/>
      <c r="Q18" s="93"/>
    </row>
    <row r="19" spans="1:17">
      <c r="A19" s="35" t="s">
        <v>253</v>
      </c>
      <c r="B19" s="28"/>
      <c r="C19" s="28"/>
      <c r="D19" s="28"/>
      <c r="E19" s="28"/>
      <c r="F19" s="28"/>
      <c r="G19" s="28"/>
      <c r="H19" s="28"/>
      <c r="I19" s="28"/>
      <c r="J19" s="28"/>
      <c r="K19" s="28"/>
      <c r="L19" s="28"/>
      <c r="M19" s="40"/>
      <c r="N19"/>
      <c r="O19" s="517"/>
      <c r="P19" s="518"/>
      <c r="Q19" s="93"/>
    </row>
    <row r="20" spans="1:17">
      <c r="A20" s="15" t="s">
        <v>235</v>
      </c>
      <c r="B20" s="27"/>
      <c r="C20" s="27"/>
      <c r="D20" s="27"/>
      <c r="E20" s="27"/>
      <c r="F20" s="27"/>
      <c r="G20" s="27"/>
      <c r="H20" s="27"/>
      <c r="I20" s="27"/>
      <c r="J20" s="27"/>
      <c r="K20" s="27"/>
      <c r="L20" s="27"/>
      <c r="M20" s="40">
        <f>SUM(B20:J20)</f>
        <v>0</v>
      </c>
      <c r="N20"/>
      <c r="O20" s="517"/>
      <c r="P20" s="518"/>
      <c r="Q20" s="93"/>
    </row>
    <row r="21" spans="1:17">
      <c r="A21" s="33" t="s">
        <v>254</v>
      </c>
      <c r="B21" s="29"/>
      <c r="C21" s="29"/>
      <c r="D21" s="29"/>
      <c r="E21" s="29"/>
      <c r="F21" s="29"/>
      <c r="G21" s="29"/>
      <c r="H21" s="29"/>
      <c r="I21" s="29"/>
      <c r="J21" s="29"/>
      <c r="K21" s="29"/>
      <c r="L21" s="29"/>
      <c r="M21" s="40"/>
      <c r="N21"/>
      <c r="O21" s="517"/>
      <c r="P21" s="518"/>
      <c r="Q21" s="93"/>
    </row>
    <row r="22" spans="1:17">
      <c r="A22" s="34" t="s">
        <v>235</v>
      </c>
      <c r="B22" s="30"/>
      <c r="C22" s="30"/>
      <c r="D22" s="30"/>
      <c r="E22" s="30"/>
      <c r="F22" s="30"/>
      <c r="G22" s="30"/>
      <c r="H22" s="30"/>
      <c r="I22" s="30"/>
      <c r="J22" s="30"/>
      <c r="K22" s="30"/>
      <c r="L22" s="30"/>
      <c r="M22" s="40">
        <f>SUM(B22:J22)</f>
        <v>0</v>
      </c>
      <c r="N22"/>
      <c r="O22" s="517"/>
      <c r="P22" s="518"/>
      <c r="Q22" s="93"/>
    </row>
    <row r="23" spans="1:17">
      <c r="A23" s="35" t="s">
        <v>255</v>
      </c>
      <c r="B23" s="28" t="s">
        <v>256</v>
      </c>
      <c r="C23" s="28"/>
      <c r="D23" s="28"/>
      <c r="E23" s="28"/>
      <c r="F23" s="28"/>
      <c r="G23" s="28"/>
      <c r="H23" s="28"/>
      <c r="I23" s="28"/>
      <c r="J23" s="28"/>
      <c r="K23" s="28"/>
      <c r="L23" s="28"/>
      <c r="M23" s="40"/>
      <c r="N23"/>
      <c r="O23" s="517"/>
      <c r="P23" s="518"/>
      <c r="Q23" s="93"/>
    </row>
    <row r="24" spans="1:17">
      <c r="A24" s="15" t="s">
        <v>235</v>
      </c>
      <c r="B24" s="27">
        <v>46</v>
      </c>
      <c r="C24" s="27"/>
      <c r="D24" s="27"/>
      <c r="E24" s="27"/>
      <c r="F24" s="27"/>
      <c r="G24" s="27"/>
      <c r="H24" s="27"/>
      <c r="I24" s="27"/>
      <c r="J24" s="27"/>
      <c r="K24" s="27"/>
      <c r="L24" s="27"/>
      <c r="M24" s="40">
        <f>SUM(B24:J24)</f>
        <v>46</v>
      </c>
      <c r="N24"/>
      <c r="O24" s="517"/>
      <c r="P24" s="518"/>
      <c r="Q24" s="93"/>
    </row>
    <row r="25" spans="1:17">
      <c r="A25" s="33" t="s">
        <v>257</v>
      </c>
      <c r="B25" s="29"/>
      <c r="C25" s="29"/>
      <c r="D25" s="29"/>
      <c r="E25" s="29"/>
      <c r="F25" s="29"/>
      <c r="G25" s="29"/>
      <c r="H25" s="29"/>
      <c r="I25" s="29"/>
      <c r="J25" s="29"/>
      <c r="K25" s="29"/>
      <c r="L25" s="29"/>
      <c r="M25" s="40"/>
      <c r="N25"/>
      <c r="O25" s="517"/>
      <c r="P25" s="518"/>
      <c r="Q25" s="93"/>
    </row>
    <row r="26" spans="1:17">
      <c r="A26" s="34" t="s">
        <v>235</v>
      </c>
      <c r="B26" s="30"/>
      <c r="C26" s="30"/>
      <c r="D26" s="30"/>
      <c r="E26" s="30"/>
      <c r="F26" s="30"/>
      <c r="G26" s="30"/>
      <c r="H26" s="30"/>
      <c r="I26" s="30"/>
      <c r="J26" s="30"/>
      <c r="K26" s="30"/>
      <c r="L26" s="30"/>
      <c r="M26" s="40">
        <f>SUM(B26:J26)</f>
        <v>0</v>
      </c>
      <c r="N26"/>
      <c r="O26" s="517"/>
      <c r="P26" s="518"/>
      <c r="Q26" s="93"/>
    </row>
    <row r="27" spans="1:17">
      <c r="A27" s="35" t="s">
        <v>258</v>
      </c>
      <c r="B27" s="28"/>
      <c r="C27" s="28"/>
      <c r="D27" s="28"/>
      <c r="E27" s="28"/>
      <c r="F27" s="28"/>
      <c r="G27" s="28"/>
      <c r="H27" s="28"/>
      <c r="I27" s="28"/>
      <c r="J27" s="28"/>
      <c r="K27" s="28"/>
      <c r="L27" s="28"/>
      <c r="M27" s="40"/>
      <c r="N27"/>
      <c r="O27" s="517"/>
      <c r="P27" s="518"/>
      <c r="Q27" s="93"/>
    </row>
    <row r="28" spans="1:17">
      <c r="A28" s="15" t="s">
        <v>235</v>
      </c>
      <c r="B28" s="27"/>
      <c r="C28" s="27"/>
      <c r="D28" s="27"/>
      <c r="E28" s="27"/>
      <c r="F28" s="27"/>
      <c r="G28" s="27"/>
      <c r="H28" s="27"/>
      <c r="I28" s="27"/>
      <c r="J28" s="27"/>
      <c r="K28" s="27"/>
      <c r="L28" s="27"/>
      <c r="M28" s="40">
        <f>SUM(B28:J28)</f>
        <v>0</v>
      </c>
      <c r="N28"/>
      <c r="O28" s="517"/>
      <c r="P28" s="518"/>
      <c r="Q28" s="93"/>
    </row>
    <row r="29" spans="1:17">
      <c r="A29" s="33" t="s">
        <v>259</v>
      </c>
      <c r="B29" s="29" t="s">
        <v>260</v>
      </c>
      <c r="C29" s="29"/>
      <c r="D29" s="29"/>
      <c r="E29" s="29"/>
      <c r="F29" s="29"/>
      <c r="G29" s="29"/>
      <c r="H29" s="29"/>
      <c r="I29" s="29"/>
      <c r="J29" s="29"/>
      <c r="K29" s="29"/>
      <c r="L29" s="29"/>
      <c r="M29" s="40"/>
      <c r="N29"/>
      <c r="O29" s="517"/>
      <c r="P29" s="518"/>
      <c r="Q29" s="93"/>
    </row>
    <row r="30" spans="1:17">
      <c r="A30" s="34" t="s">
        <v>235</v>
      </c>
      <c r="B30" s="30">
        <v>22</v>
      </c>
      <c r="C30" s="30"/>
      <c r="D30" s="30"/>
      <c r="E30" s="30"/>
      <c r="F30" s="30"/>
      <c r="G30" s="30"/>
      <c r="H30" s="30"/>
      <c r="I30" s="30"/>
      <c r="J30" s="30"/>
      <c r="K30" s="30"/>
      <c r="L30" s="30"/>
      <c r="M30" s="40">
        <f>SUM(B30:J30)</f>
        <v>22</v>
      </c>
      <c r="N30"/>
      <c r="O30" s="517"/>
      <c r="P30" s="518"/>
      <c r="Q30" s="93"/>
    </row>
    <row r="31" spans="1:17">
      <c r="A31" s="35" t="s">
        <v>261</v>
      </c>
      <c r="B31" s="28" t="s">
        <v>262</v>
      </c>
      <c r="C31" s="28" t="s">
        <v>263</v>
      </c>
      <c r="D31" s="28" t="s">
        <v>264</v>
      </c>
      <c r="E31" s="28"/>
      <c r="F31" s="28"/>
      <c r="G31" s="28"/>
      <c r="H31" s="28"/>
      <c r="I31" s="28"/>
      <c r="J31" s="28"/>
      <c r="K31" s="28"/>
      <c r="L31" s="28"/>
      <c r="M31" s="40"/>
      <c r="N31"/>
      <c r="O31" s="517"/>
      <c r="P31" s="518"/>
      <c r="Q31" s="93"/>
    </row>
    <row r="32" spans="1:17">
      <c r="A32" s="15" t="s">
        <v>235</v>
      </c>
      <c r="B32" s="27">
        <v>14</v>
      </c>
      <c r="C32" s="27">
        <v>17</v>
      </c>
      <c r="D32" s="27">
        <v>35</v>
      </c>
      <c r="E32" s="27"/>
      <c r="F32" s="27"/>
      <c r="G32" s="27"/>
      <c r="H32" s="27"/>
      <c r="I32" s="27"/>
      <c r="J32" s="27"/>
      <c r="K32" s="27"/>
      <c r="L32" s="27"/>
      <c r="M32" s="40">
        <f>SUM(B32:J32)</f>
        <v>66</v>
      </c>
      <c r="N32"/>
      <c r="O32" s="511"/>
      <c r="P32" s="512"/>
      <c r="Q32" s="90"/>
    </row>
    <row r="33" spans="1:17">
      <c r="A33" s="33" t="s">
        <v>265</v>
      </c>
      <c r="B33" s="29" t="s">
        <v>266</v>
      </c>
      <c r="C33" s="29" t="s">
        <v>267</v>
      </c>
      <c r="D33" s="29" t="s">
        <v>268</v>
      </c>
      <c r="E33" s="29"/>
      <c r="F33" s="29"/>
      <c r="G33" s="29"/>
      <c r="H33" s="29"/>
      <c r="I33" s="29"/>
      <c r="J33" s="29"/>
      <c r="K33" s="29"/>
      <c r="L33" s="29"/>
      <c r="M33" s="40"/>
      <c r="N33"/>
      <c r="O33" s="511"/>
      <c r="P33" s="512"/>
      <c r="Q33" s="90"/>
    </row>
    <row r="34" spans="1:17" customHeight="1" ht="15">
      <c r="A34" s="36" t="s">
        <v>235</v>
      </c>
      <c r="B34" s="31">
        <v>32</v>
      </c>
      <c r="C34" s="31">
        <v>14</v>
      </c>
      <c r="D34" s="31">
        <v>7</v>
      </c>
      <c r="E34" s="31"/>
      <c r="F34" s="31"/>
      <c r="G34" s="31"/>
      <c r="H34" s="31"/>
      <c r="I34" s="31"/>
      <c r="J34" s="31"/>
      <c r="K34" s="31"/>
      <c r="L34" s="31"/>
      <c r="M34" s="41">
        <f>SUM(B34:J34)</f>
        <v>53</v>
      </c>
      <c r="N34"/>
      <c r="O34" s="335"/>
      <c r="P34" s="336"/>
      <c r="Q34" s="22"/>
    </row>
    <row r="35" spans="1:17" customHeight="1" ht="15.5">
      <c r="O35"/>
      <c r="Q35"/>
    </row>
    <row r="36" spans="1:17" customHeight="1" ht="15.5">
      <c r="M36" s="77">
        <f>SUM(M12,M14,M16,M18,M20,M22,M24,M26,M28,M30,M32,M34)</f>
        <v>314</v>
      </c>
      <c r="Q36"/>
    </row>
  </sheetData>
  <sheetProtection formatCells="0" formatColumns="0" formatRows="0" insertColumns="0" insertRows="0" insertHyperlinks="0" deleteColumns="0" deleteRows="0" sort="0" autoFilter="0" pivotTables="0"/>
  <mergeCells>
    <mergeCell ref="O33:P33"/>
    <mergeCell ref="O34:P34"/>
    <mergeCell ref="O28:P28"/>
    <mergeCell ref="O29:P29"/>
    <mergeCell ref="O30:P30"/>
    <mergeCell ref="O31:P31"/>
    <mergeCell ref="O32:P32"/>
    <mergeCell ref="O23:P23"/>
    <mergeCell ref="O24:P24"/>
    <mergeCell ref="O25:P25"/>
    <mergeCell ref="O26:P26"/>
    <mergeCell ref="O27:P27"/>
    <mergeCell ref="O18:P18"/>
    <mergeCell ref="O19:P19"/>
    <mergeCell ref="O20:P20"/>
    <mergeCell ref="O21:P21"/>
    <mergeCell ref="O22:P22"/>
    <mergeCell ref="O13:P13"/>
    <mergeCell ref="O14:P14"/>
    <mergeCell ref="O15:P15"/>
    <mergeCell ref="O16:P16"/>
    <mergeCell ref="O17:P17"/>
    <mergeCell ref="O11:P11"/>
    <mergeCell ref="O12:P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275</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225</v>
      </c>
      <c r="B3" s="507"/>
      <c r="C3" s="508" t="s">
        <v>144</v>
      </c>
      <c r="D3" s="509"/>
      <c r="E3" s="509"/>
      <c r="F3" s="510"/>
      <c r="G3" s="508"/>
      <c r="H3" s="509"/>
      <c r="I3" s="510"/>
      <c r="J3" s="25"/>
      <c r="K3"/>
      <c r="L3"/>
      <c r="M3"/>
      <c r="O3"/>
    </row>
    <row r="4" spans="1:15">
      <c r="A4" s="506" t="s">
        <v>226</v>
      </c>
      <c r="B4" s="507"/>
      <c r="C4" s="508" t="s">
        <v>146</v>
      </c>
      <c r="D4" s="509"/>
      <c r="E4" s="509"/>
      <c r="F4" s="510"/>
      <c r="G4" s="6"/>
      <c r="H4" s="6"/>
      <c r="I4" s="6"/>
      <c r="J4" s="25"/>
      <c r="K4"/>
      <c r="L4"/>
      <c r="M4"/>
      <c r="O4"/>
    </row>
    <row r="5" spans="1:15">
      <c r="A5" s="506" t="s">
        <v>227</v>
      </c>
      <c r="B5" s="507"/>
      <c r="C5" s="508" t="s">
        <v>148</v>
      </c>
      <c r="D5" s="509"/>
      <c r="E5" s="509"/>
      <c r="F5" s="510"/>
      <c r="G5" s="6"/>
      <c r="H5" s="6"/>
      <c r="I5" s="6"/>
      <c r="J5" s="25"/>
      <c r="K5"/>
      <c r="L5"/>
      <c r="M5"/>
      <c r="O5"/>
    </row>
    <row r="6" spans="1:15">
      <c r="A6" s="506" t="s">
        <v>228</v>
      </c>
      <c r="B6" s="507"/>
      <c r="C6" s="508" t="s">
        <v>229</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230</v>
      </c>
      <c r="C10" s="38" t="s">
        <v>230</v>
      </c>
      <c r="D10" s="38" t="s">
        <v>230</v>
      </c>
      <c r="E10" s="38" t="s">
        <v>230</v>
      </c>
      <c r="F10" s="38" t="s">
        <v>230</v>
      </c>
      <c r="G10" s="38" t="s">
        <v>230</v>
      </c>
      <c r="H10" s="38" t="s">
        <v>230</v>
      </c>
      <c r="I10" s="38" t="s">
        <v>230</v>
      </c>
      <c r="J10" s="88" t="s">
        <v>230</v>
      </c>
      <c r="K10" s="178"/>
      <c r="L10"/>
      <c r="M10" s="519" t="s">
        <v>276</v>
      </c>
      <c r="N10" s="520"/>
      <c r="O10" s="521"/>
    </row>
    <row r="11" spans="1:15" customHeight="1" ht="15">
      <c r="A11" s="32" t="s">
        <v>232</v>
      </c>
      <c r="B11" s="28" t="s">
        <v>277</v>
      </c>
      <c r="C11" s="28"/>
      <c r="D11" s="28"/>
      <c r="E11" s="28"/>
      <c r="F11" s="28"/>
      <c r="G11" s="28"/>
      <c r="H11" s="28"/>
      <c r="I11" s="28"/>
      <c r="J11" s="28"/>
      <c r="K11" s="179"/>
      <c r="L11"/>
      <c r="M11" s="522" t="s">
        <v>278</v>
      </c>
      <c r="N11" s="523"/>
      <c r="O11" s="20">
        <v>12</v>
      </c>
    </row>
    <row r="12" spans="1:15">
      <c r="A12" s="15" t="s">
        <v>235</v>
      </c>
      <c r="B12" s="27">
        <v>7</v>
      </c>
      <c r="C12" s="27"/>
      <c r="D12" s="27"/>
      <c r="E12" s="27"/>
      <c r="F12" s="27"/>
      <c r="G12" s="27"/>
      <c r="H12" s="27"/>
      <c r="I12" s="27"/>
      <c r="J12" s="27"/>
      <c r="K12" s="179">
        <f>SUM(B12:J12)</f>
        <v>7</v>
      </c>
      <c r="L12"/>
      <c r="M12" s="524" t="s">
        <v>279</v>
      </c>
      <c r="N12" s="525"/>
      <c r="O12" s="89">
        <f>K36</f>
        <v>134</v>
      </c>
    </row>
    <row r="13" spans="1:15">
      <c r="A13" s="33" t="s">
        <v>237</v>
      </c>
      <c r="B13" s="29" t="s">
        <v>280</v>
      </c>
      <c r="C13" s="29" t="s">
        <v>246</v>
      </c>
      <c r="D13" s="29" t="s">
        <v>245</v>
      </c>
      <c r="E13" s="29"/>
      <c r="F13" s="29"/>
      <c r="G13" s="29"/>
      <c r="H13" s="29"/>
      <c r="I13" s="29"/>
      <c r="J13" s="29"/>
      <c r="K13" s="179"/>
      <c r="L13"/>
      <c r="M13" s="511"/>
      <c r="N13" s="512"/>
      <c r="O13" s="90"/>
    </row>
    <row r="14" spans="1:15">
      <c r="A14" s="34" t="s">
        <v>235</v>
      </c>
      <c r="B14" s="30">
        <v>6</v>
      </c>
      <c r="C14" s="30">
        <v>7</v>
      </c>
      <c r="D14" s="30">
        <v>12</v>
      </c>
      <c r="E14" s="30"/>
      <c r="F14" s="30"/>
      <c r="G14" s="30"/>
      <c r="H14" s="30"/>
      <c r="I14" s="30"/>
      <c r="J14" s="30"/>
      <c r="K14" s="179">
        <f>SUM(B14:J14)</f>
        <v>25</v>
      </c>
      <c r="L14"/>
      <c r="M14" s="511"/>
      <c r="N14" s="512"/>
      <c r="O14" s="90"/>
    </row>
    <row r="15" spans="1:15">
      <c r="A15" s="35" t="s">
        <v>249</v>
      </c>
      <c r="B15" s="28" t="s">
        <v>281</v>
      </c>
      <c r="C15" s="28" t="s">
        <v>282</v>
      </c>
      <c r="D15" s="28" t="s">
        <v>283</v>
      </c>
      <c r="E15" s="28"/>
      <c r="F15" s="28"/>
      <c r="G15" s="28"/>
      <c r="H15" s="28"/>
      <c r="I15" s="28"/>
      <c r="J15" s="28"/>
      <c r="K15" s="179"/>
      <c r="L15"/>
      <c r="M15" s="513"/>
      <c r="N15" s="514"/>
      <c r="O15" s="92"/>
    </row>
    <row r="16" spans="1:15">
      <c r="A16" s="15" t="s">
        <v>235</v>
      </c>
      <c r="B16" s="27">
        <v>19</v>
      </c>
      <c r="C16" s="27">
        <v>14</v>
      </c>
      <c r="D16" s="27">
        <v>0</v>
      </c>
      <c r="E16" s="27"/>
      <c r="F16" s="27"/>
      <c r="G16" s="27"/>
      <c r="H16" s="27"/>
      <c r="I16" s="27"/>
      <c r="J16" s="27"/>
      <c r="K16" s="179">
        <f>SUM(B16:J16)</f>
        <v>33</v>
      </c>
      <c r="L16"/>
      <c r="M16" s="515"/>
      <c r="N16" s="516"/>
      <c r="O16" s="91"/>
    </row>
    <row r="17" spans="1:15">
      <c r="A17" s="33" t="s">
        <v>252</v>
      </c>
      <c r="B17" s="29" t="s">
        <v>284</v>
      </c>
      <c r="C17" s="29"/>
      <c r="D17" s="29"/>
      <c r="E17" s="29"/>
      <c r="F17" s="29"/>
      <c r="G17" s="29"/>
      <c r="H17" s="29"/>
      <c r="I17" s="29"/>
      <c r="J17" s="29"/>
      <c r="K17" s="179"/>
      <c r="L17"/>
      <c r="M17" s="517"/>
      <c r="N17" s="518"/>
      <c r="O17" s="93"/>
    </row>
    <row r="18" spans="1:15">
      <c r="A18" s="34" t="s">
        <v>235</v>
      </c>
      <c r="B18" s="30">
        <v>27</v>
      </c>
      <c r="C18" s="30"/>
      <c r="D18" s="30"/>
      <c r="E18" s="30"/>
      <c r="F18" s="30"/>
      <c r="G18" s="30"/>
      <c r="H18" s="30"/>
      <c r="I18" s="30"/>
      <c r="J18" s="30"/>
      <c r="K18" s="179">
        <f>SUM(B18:J18)</f>
        <v>27</v>
      </c>
      <c r="L18"/>
      <c r="M18" s="517"/>
      <c r="N18" s="518"/>
      <c r="O18" s="93"/>
    </row>
    <row r="19" spans="1:15">
      <c r="A19" s="35" t="s">
        <v>253</v>
      </c>
      <c r="B19" s="28"/>
      <c r="C19" s="28"/>
      <c r="D19" s="28"/>
      <c r="E19" s="28"/>
      <c r="F19" s="28"/>
      <c r="G19" s="28"/>
      <c r="H19" s="28"/>
      <c r="I19" s="28"/>
      <c r="J19" s="28"/>
      <c r="K19" s="179"/>
      <c r="L19"/>
      <c r="M19" s="517"/>
      <c r="N19" s="518"/>
      <c r="O19" s="93"/>
    </row>
    <row r="20" spans="1:15">
      <c r="A20" s="15" t="s">
        <v>235</v>
      </c>
      <c r="B20" s="27"/>
      <c r="C20" s="27"/>
      <c r="D20" s="27"/>
      <c r="E20" s="27"/>
      <c r="F20" s="27"/>
      <c r="G20" s="27"/>
      <c r="H20" s="27"/>
      <c r="I20" s="27"/>
      <c r="J20" s="27"/>
      <c r="K20" s="179">
        <f>SUM(B20:J20)</f>
        <v>0</v>
      </c>
      <c r="L20"/>
      <c r="M20" s="517"/>
      <c r="N20" s="518"/>
      <c r="O20" s="93"/>
    </row>
    <row r="21" spans="1:15">
      <c r="A21" s="33" t="s">
        <v>254</v>
      </c>
      <c r="B21" s="29"/>
      <c r="C21" s="29"/>
      <c r="D21" s="29"/>
      <c r="E21" s="29"/>
      <c r="F21" s="29"/>
      <c r="G21" s="29"/>
      <c r="H21" s="29"/>
      <c r="I21" s="29"/>
      <c r="J21" s="29"/>
      <c r="K21" s="179"/>
      <c r="L21"/>
      <c r="M21" s="517"/>
      <c r="N21" s="518"/>
      <c r="O21" s="93"/>
    </row>
    <row r="22" spans="1:15">
      <c r="A22" s="34" t="s">
        <v>235</v>
      </c>
      <c r="B22" s="30"/>
      <c r="C22" s="30"/>
      <c r="D22" s="30"/>
      <c r="E22" s="30"/>
      <c r="F22" s="30"/>
      <c r="G22" s="30"/>
      <c r="H22" s="30"/>
      <c r="I22" s="30"/>
      <c r="J22" s="30"/>
      <c r="K22" s="179">
        <f>SUM(B22:J22)</f>
        <v>0</v>
      </c>
      <c r="L22"/>
      <c r="M22" s="517"/>
      <c r="N22" s="518"/>
      <c r="O22" s="93"/>
    </row>
    <row r="23" spans="1:15">
      <c r="A23" s="35" t="s">
        <v>255</v>
      </c>
      <c r="B23" s="28"/>
      <c r="C23" s="28"/>
      <c r="D23" s="28"/>
      <c r="E23" s="28"/>
      <c r="F23" s="28"/>
      <c r="G23" s="28"/>
      <c r="H23" s="28"/>
      <c r="I23" s="28"/>
      <c r="J23" s="28"/>
      <c r="K23" s="179"/>
      <c r="L23"/>
      <c r="M23" s="517"/>
      <c r="N23" s="518"/>
      <c r="O23" s="93"/>
    </row>
    <row r="24" spans="1:15">
      <c r="A24" s="15" t="s">
        <v>235</v>
      </c>
      <c r="B24" s="27"/>
      <c r="C24" s="27"/>
      <c r="D24" s="27"/>
      <c r="E24" s="27"/>
      <c r="F24" s="27"/>
      <c r="G24" s="27"/>
      <c r="H24" s="27"/>
      <c r="I24" s="27"/>
      <c r="J24" s="27"/>
      <c r="K24" s="179">
        <f>SUM(B24:J24)</f>
        <v>0</v>
      </c>
      <c r="L24"/>
      <c r="M24" s="517"/>
      <c r="N24" s="518"/>
      <c r="O24" s="93"/>
    </row>
    <row r="25" spans="1:15">
      <c r="A25" s="33" t="s">
        <v>257</v>
      </c>
      <c r="B25" s="29" t="s">
        <v>285</v>
      </c>
      <c r="C25" s="29"/>
      <c r="D25" s="29"/>
      <c r="E25" s="29"/>
      <c r="F25" s="29"/>
      <c r="G25" s="29"/>
      <c r="H25" s="29"/>
      <c r="I25" s="29"/>
      <c r="J25" s="29"/>
      <c r="K25" s="179"/>
      <c r="L25"/>
      <c r="M25" s="517"/>
      <c r="N25" s="518"/>
      <c r="O25" s="93"/>
    </row>
    <row r="26" spans="1:15">
      <c r="A26" s="34" t="s">
        <v>235</v>
      </c>
      <c r="B26" s="30">
        <v>2</v>
      </c>
      <c r="C26" s="30"/>
      <c r="D26" s="30"/>
      <c r="E26" s="30"/>
      <c r="F26" s="30"/>
      <c r="G26" s="30"/>
      <c r="H26" s="30"/>
      <c r="I26" s="30"/>
      <c r="J26" s="30"/>
      <c r="K26" s="179">
        <f>SUM(B26:J26)</f>
        <v>2</v>
      </c>
      <c r="L26"/>
      <c r="M26" s="517"/>
      <c r="N26" s="518"/>
      <c r="O26" s="93"/>
    </row>
    <row r="27" spans="1:15">
      <c r="A27" s="35" t="s">
        <v>258</v>
      </c>
      <c r="B27" s="28"/>
      <c r="C27" s="28"/>
      <c r="D27" s="28"/>
      <c r="E27" s="28"/>
      <c r="F27" s="28"/>
      <c r="G27" s="28"/>
      <c r="H27" s="28"/>
      <c r="I27" s="28"/>
      <c r="J27" s="28"/>
      <c r="K27" s="179"/>
      <c r="L27"/>
      <c r="M27" s="517"/>
      <c r="N27" s="518"/>
      <c r="O27" s="93"/>
    </row>
    <row r="28" spans="1:15">
      <c r="A28" s="15" t="s">
        <v>235</v>
      </c>
      <c r="B28" s="27"/>
      <c r="C28" s="27"/>
      <c r="D28" s="27"/>
      <c r="E28" s="27"/>
      <c r="F28" s="27"/>
      <c r="G28" s="27"/>
      <c r="H28" s="27"/>
      <c r="I28" s="27"/>
      <c r="J28" s="27"/>
      <c r="K28" s="179">
        <f>SUM(B28:J28)</f>
        <v>0</v>
      </c>
      <c r="L28"/>
      <c r="M28" s="517"/>
      <c r="N28" s="518"/>
      <c r="O28" s="93"/>
    </row>
    <row r="29" spans="1:15">
      <c r="A29" s="33" t="s">
        <v>259</v>
      </c>
      <c r="B29" s="29" t="s">
        <v>286</v>
      </c>
      <c r="C29" s="29"/>
      <c r="D29" s="29"/>
      <c r="E29" s="29"/>
      <c r="F29" s="29"/>
      <c r="G29" s="29"/>
      <c r="H29" s="29"/>
      <c r="I29" s="29"/>
      <c r="J29" s="29"/>
      <c r="K29" s="179"/>
      <c r="L29"/>
      <c r="M29" s="517"/>
      <c r="N29" s="518"/>
      <c r="O29" s="93"/>
    </row>
    <row r="30" spans="1:15">
      <c r="A30" s="34" t="s">
        <v>235</v>
      </c>
      <c r="B30" s="30">
        <v>8</v>
      </c>
      <c r="C30" s="30"/>
      <c r="D30" s="30"/>
      <c r="E30" s="30"/>
      <c r="F30" s="30"/>
      <c r="G30" s="30"/>
      <c r="H30" s="30"/>
      <c r="I30" s="30"/>
      <c r="J30" s="30"/>
      <c r="K30" s="179">
        <f>SUM(B30:J30)</f>
        <v>8</v>
      </c>
      <c r="L30"/>
      <c r="M30" s="517"/>
      <c r="N30" s="518"/>
      <c r="O30" s="93"/>
    </row>
    <row r="31" spans="1:15">
      <c r="A31" s="35" t="s">
        <v>261</v>
      </c>
      <c r="B31" s="28" t="s">
        <v>287</v>
      </c>
      <c r="C31" s="28" t="s">
        <v>288</v>
      </c>
      <c r="D31" s="28"/>
      <c r="E31" s="28"/>
      <c r="F31" s="28"/>
      <c r="G31" s="28"/>
      <c r="H31" s="28"/>
      <c r="I31" s="28"/>
      <c r="J31" s="28"/>
      <c r="K31" s="179"/>
      <c r="L31"/>
      <c r="M31" s="517"/>
      <c r="N31" s="518"/>
      <c r="O31" s="93"/>
    </row>
    <row r="32" spans="1:15">
      <c r="A32" s="15" t="s">
        <v>235</v>
      </c>
      <c r="B32" s="27">
        <v>15</v>
      </c>
      <c r="C32" s="27">
        <v>17</v>
      </c>
      <c r="D32" s="27"/>
      <c r="E32" s="27"/>
      <c r="F32" s="27"/>
      <c r="G32" s="27"/>
      <c r="H32" s="27"/>
      <c r="I32" s="27"/>
      <c r="J32" s="27"/>
      <c r="K32" s="179">
        <f>SUM(B32:J32)</f>
        <v>32</v>
      </c>
      <c r="L32"/>
      <c r="M32" s="511"/>
      <c r="N32" s="512"/>
      <c r="O32" s="90"/>
    </row>
    <row r="33" spans="1:15">
      <c r="A33" s="33" t="s">
        <v>265</v>
      </c>
      <c r="B33" s="29"/>
      <c r="C33" s="29"/>
      <c r="D33" s="29"/>
      <c r="E33" s="29"/>
      <c r="F33" s="29"/>
      <c r="G33" s="29"/>
      <c r="H33" s="29"/>
      <c r="I33" s="29"/>
      <c r="J33" s="29"/>
      <c r="K33" s="179"/>
      <c r="L33"/>
      <c r="M33" s="511"/>
      <c r="N33" s="512"/>
      <c r="O33" s="90"/>
    </row>
    <row r="34" spans="1:15" customHeight="1" ht="15">
      <c r="A34" s="36" t="s">
        <v>235</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134</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289</v>
      </c>
      <c r="D2" s="545"/>
      <c r="E2" s="545"/>
      <c r="F2" s="545"/>
      <c r="G2" s="545"/>
      <c r="H2" s="545"/>
      <c r="I2" s="545"/>
      <c r="J2" s="546"/>
      <c r="K2" s="544" t="s">
        <v>290</v>
      </c>
      <c r="L2" s="545"/>
      <c r="M2" s="545"/>
      <c r="N2" s="545"/>
      <c r="O2" s="545"/>
      <c r="P2" s="545"/>
      <c r="Q2" s="545"/>
      <c r="R2" s="546"/>
      <c r="S2" s="544" t="s">
        <v>291</v>
      </c>
      <c r="T2" s="545"/>
      <c r="U2" s="545"/>
      <c r="V2" s="545"/>
      <c r="W2" s="545"/>
      <c r="X2" s="545"/>
      <c r="Y2" s="545"/>
      <c r="Z2" s="546"/>
      <c r="AA2" s="13"/>
      <c r="AB2" s="42">
        <v>2</v>
      </c>
      <c r="AC2" s="13"/>
      <c r="AD2" s="544" t="s">
        <v>292</v>
      </c>
      <c r="AE2" s="545"/>
      <c r="AF2" s="545"/>
      <c r="AG2" s="545"/>
      <c r="AH2" s="545"/>
      <c r="AI2" s="545"/>
      <c r="AJ2" s="545"/>
      <c r="AK2" s="546"/>
      <c r="AL2" s="544" t="s">
        <v>293</v>
      </c>
      <c r="AM2" s="545"/>
      <c r="AN2" s="545"/>
      <c r="AO2" s="545"/>
      <c r="AP2" s="545"/>
      <c r="AQ2" s="545"/>
      <c r="AR2" s="545"/>
      <c r="AS2" s="546"/>
      <c r="AT2" s="544" t="s">
        <v>294</v>
      </c>
      <c r="AU2" s="545"/>
      <c r="AV2" s="545"/>
      <c r="AW2" s="545"/>
      <c r="AX2" s="545"/>
      <c r="AY2" s="545"/>
      <c r="AZ2" s="545"/>
      <c r="BA2" s="546"/>
    </row>
    <row r="3" spans="1:53" customHeight="1" ht="152.25">
      <c r="C3" s="49" t="s">
        <v>295</v>
      </c>
      <c r="D3" s="50" t="s">
        <v>296</v>
      </c>
      <c r="E3" s="50" t="s">
        <v>297</v>
      </c>
      <c r="F3" s="50" t="s">
        <v>298</v>
      </c>
      <c r="G3" s="185" t="s">
        <v>299</v>
      </c>
      <c r="H3" s="50" t="s">
        <v>300</v>
      </c>
      <c r="I3" s="50" t="s">
        <v>301</v>
      </c>
      <c r="J3" s="51" t="s">
        <v>302</v>
      </c>
      <c r="K3" s="49" t="s">
        <v>295</v>
      </c>
      <c r="L3" s="50" t="s">
        <v>296</v>
      </c>
      <c r="M3" s="50" t="s">
        <v>297</v>
      </c>
      <c r="N3" s="50" t="s">
        <v>298</v>
      </c>
      <c r="O3" s="50" t="s">
        <v>299</v>
      </c>
      <c r="P3" s="50" t="s">
        <v>300</v>
      </c>
      <c r="Q3" s="50" t="s">
        <v>301</v>
      </c>
      <c r="R3" s="51" t="s">
        <v>302</v>
      </c>
      <c r="S3" s="49" t="s">
        <v>295</v>
      </c>
      <c r="T3" s="50" t="s">
        <v>296</v>
      </c>
      <c r="U3" s="50" t="s">
        <v>297</v>
      </c>
      <c r="V3" s="50" t="s">
        <v>298</v>
      </c>
      <c r="W3" s="50" t="s">
        <v>299</v>
      </c>
      <c r="X3" s="50" t="s">
        <v>300</v>
      </c>
      <c r="Y3" s="50" t="s">
        <v>301</v>
      </c>
      <c r="Z3" s="51" t="s">
        <v>302</v>
      </c>
      <c r="AD3" s="46" t="s">
        <v>295</v>
      </c>
      <c r="AE3" s="47" t="s">
        <v>296</v>
      </c>
      <c r="AF3" s="47" t="s">
        <v>297</v>
      </c>
      <c r="AG3" s="47" t="s">
        <v>298</v>
      </c>
      <c r="AH3" s="47" t="s">
        <v>299</v>
      </c>
      <c r="AI3" s="47" t="s">
        <v>300</v>
      </c>
      <c r="AJ3" s="47" t="s">
        <v>301</v>
      </c>
      <c r="AK3" s="48" t="s">
        <v>302</v>
      </c>
      <c r="AL3" s="46" t="s">
        <v>295</v>
      </c>
      <c r="AM3" s="47" t="s">
        <v>296</v>
      </c>
      <c r="AN3" s="47" t="s">
        <v>297</v>
      </c>
      <c r="AO3" s="47" t="s">
        <v>298</v>
      </c>
      <c r="AP3" s="47" t="s">
        <v>299</v>
      </c>
      <c r="AQ3" s="47" t="s">
        <v>300</v>
      </c>
      <c r="AR3" s="47" t="s">
        <v>301</v>
      </c>
      <c r="AS3" s="48" t="s">
        <v>302</v>
      </c>
      <c r="AT3" s="46" t="s">
        <v>295</v>
      </c>
      <c r="AU3" s="47" t="s">
        <v>296</v>
      </c>
      <c r="AV3" s="47" t="s">
        <v>297</v>
      </c>
      <c r="AW3" s="47" t="s">
        <v>298</v>
      </c>
      <c r="AX3" s="47" t="s">
        <v>299</v>
      </c>
      <c r="AY3" s="47" t="s">
        <v>300</v>
      </c>
      <c r="AZ3" s="47" t="s">
        <v>301</v>
      </c>
      <c r="BA3" s="48" t="s">
        <v>302</v>
      </c>
    </row>
    <row r="4" spans="1:53">
      <c r="A4" s="1" t="s">
        <v>303</v>
      </c>
      <c r="B4" s="2" t="s">
        <v>304</v>
      </c>
      <c r="C4" s="43"/>
      <c r="D4" s="13"/>
      <c r="E4" s="13"/>
      <c r="F4" s="13"/>
      <c r="G4" s="13"/>
      <c r="H4" s="13"/>
      <c r="I4" s="13"/>
      <c r="J4" s="78"/>
      <c r="K4" s="43"/>
      <c r="L4" s="13"/>
      <c r="M4" s="13"/>
      <c r="N4" s="13"/>
      <c r="O4" s="13"/>
      <c r="P4" s="13">
        <v>3</v>
      </c>
      <c r="Q4" s="13"/>
      <c r="R4" s="78">
        <v>1</v>
      </c>
      <c r="S4" s="43"/>
      <c r="T4" s="13"/>
      <c r="U4" s="13"/>
      <c r="V4" s="13"/>
      <c r="W4" s="13">
        <v>29</v>
      </c>
      <c r="X4" s="13"/>
      <c r="Y4" s="13"/>
      <c r="Z4" s="78">
        <v>1</v>
      </c>
      <c r="AB4" s="1" t="s">
        <v>303</v>
      </c>
      <c r="AC4" s="2" t="s">
        <v>304</v>
      </c>
      <c r="AD4" s="43"/>
      <c r="AE4" s="13"/>
      <c r="AF4" s="13"/>
      <c r="AG4" s="13"/>
      <c r="AH4" s="13"/>
      <c r="AI4" s="13">
        <v>1</v>
      </c>
      <c r="AJ4" s="13"/>
      <c r="AK4" s="78">
        <v>1</v>
      </c>
      <c r="AL4" s="43"/>
      <c r="AM4" s="13"/>
      <c r="AN4" s="13"/>
      <c r="AO4" s="13">
        <v>1</v>
      </c>
      <c r="AP4" s="13"/>
      <c r="AQ4" s="13">
        <v>1</v>
      </c>
      <c r="AR4" s="13"/>
      <c r="AS4" s="78"/>
      <c r="AT4" s="43"/>
      <c r="AU4" s="13"/>
      <c r="AV4" s="13"/>
      <c r="AW4" s="13"/>
      <c r="AX4" s="13"/>
      <c r="AY4" s="13"/>
      <c r="AZ4" s="13"/>
      <c r="BA4" s="78"/>
    </row>
    <row r="5" spans="1:53">
      <c r="A5" s="82"/>
      <c r="B5" s="9" t="s">
        <v>305</v>
      </c>
      <c r="C5" s="43"/>
      <c r="D5" s="13"/>
      <c r="E5" s="13"/>
      <c r="F5" s="13"/>
      <c r="G5" s="13"/>
      <c r="H5" s="13"/>
      <c r="I5" s="13"/>
      <c r="J5" s="78"/>
      <c r="K5" s="43"/>
      <c r="L5" s="13"/>
      <c r="M5" s="13"/>
      <c r="N5" s="13"/>
      <c r="O5" s="13"/>
      <c r="P5" s="13"/>
      <c r="Q5" s="13"/>
      <c r="R5" s="78"/>
      <c r="S5" s="43"/>
      <c r="T5" s="13"/>
      <c r="U5" s="13"/>
      <c r="V5" s="13"/>
      <c r="W5" s="13"/>
      <c r="X5" s="13"/>
      <c r="Y5" s="13"/>
      <c r="Z5" s="78">
        <v>1</v>
      </c>
      <c r="AB5" s="82"/>
      <c r="AC5" s="9" t="s">
        <v>305</v>
      </c>
      <c r="AD5" s="43"/>
      <c r="AE5" s="13"/>
      <c r="AF5" s="13"/>
      <c r="AG5" s="13"/>
      <c r="AH5" s="13"/>
      <c r="AI5" s="13"/>
      <c r="AJ5" s="13"/>
      <c r="AK5" s="78"/>
      <c r="AL5" s="43"/>
      <c r="AM5" s="13"/>
      <c r="AN5" s="13"/>
      <c r="AO5" s="13">
        <v>1</v>
      </c>
      <c r="AP5" s="13"/>
      <c r="AQ5" s="13"/>
      <c r="AR5" s="13"/>
      <c r="AS5" s="78"/>
      <c r="AT5" s="43"/>
      <c r="AU5" s="13"/>
      <c r="AV5" s="13"/>
      <c r="AW5" s="13"/>
      <c r="AX5" s="13"/>
      <c r="AY5" s="13"/>
      <c r="AZ5" s="13"/>
      <c r="BA5" s="78"/>
    </row>
    <row r="6" spans="1:53">
      <c r="A6" s="82"/>
      <c r="B6" s="9" t="s">
        <v>306</v>
      </c>
      <c r="C6" s="43"/>
      <c r="D6" s="13"/>
      <c r="E6" s="13"/>
      <c r="F6" s="13"/>
      <c r="G6" s="13"/>
      <c r="H6" s="13"/>
      <c r="I6" s="13"/>
      <c r="J6" s="78"/>
      <c r="K6" s="43"/>
      <c r="L6" s="13"/>
      <c r="M6" s="13"/>
      <c r="N6" s="13"/>
      <c r="O6" s="13"/>
      <c r="P6" s="13"/>
      <c r="Q6" s="13"/>
      <c r="R6" s="78"/>
      <c r="S6" s="43"/>
      <c r="T6" s="13"/>
      <c r="U6" s="13"/>
      <c r="V6" s="13"/>
      <c r="W6" s="13"/>
      <c r="X6" s="13"/>
      <c r="Y6" s="13"/>
      <c r="Z6" s="78"/>
      <c r="AB6" s="82"/>
      <c r="AC6" s="9" t="s">
        <v>306</v>
      </c>
      <c r="AD6" s="43"/>
      <c r="AE6" s="13"/>
      <c r="AF6" s="13"/>
      <c r="AG6" s="13"/>
      <c r="AH6" s="13"/>
      <c r="AI6" s="13"/>
      <c r="AJ6" s="13"/>
      <c r="AK6" s="78">
        <v>1</v>
      </c>
      <c r="AL6" s="43"/>
      <c r="AM6" s="13"/>
      <c r="AN6" s="13"/>
      <c r="AO6" s="13">
        <v>1</v>
      </c>
      <c r="AP6" s="13"/>
      <c r="AQ6" s="13"/>
      <c r="AR6" s="13"/>
      <c r="AS6" s="78"/>
      <c r="AT6" s="43"/>
      <c r="AU6" s="13"/>
      <c r="AV6" s="13"/>
      <c r="AW6" s="13"/>
      <c r="AX6" s="13"/>
      <c r="AY6" s="13"/>
      <c r="AZ6" s="13"/>
      <c r="BA6" s="78"/>
    </row>
    <row r="7" spans="1:53">
      <c r="A7" s="82" t="s">
        <v>307</v>
      </c>
      <c r="B7" s="9" t="s">
        <v>304</v>
      </c>
      <c r="C7" s="43"/>
      <c r="D7" s="13"/>
      <c r="E7" s="13"/>
      <c r="F7" s="13"/>
      <c r="G7" s="13"/>
      <c r="H7" s="13"/>
      <c r="I7" s="13"/>
      <c r="J7" s="78"/>
      <c r="K7" s="43"/>
      <c r="L7" s="13"/>
      <c r="M7" s="13"/>
      <c r="N7" s="13"/>
      <c r="O7" s="13"/>
      <c r="P7" s="13"/>
      <c r="Q7" s="13"/>
      <c r="R7" s="78"/>
      <c r="S7" s="43"/>
      <c r="T7" s="13"/>
      <c r="U7" s="13"/>
      <c r="V7" s="13"/>
      <c r="W7" s="13">
        <v>18</v>
      </c>
      <c r="X7" s="13"/>
      <c r="Y7" s="13"/>
      <c r="Z7" s="78"/>
      <c r="AB7" s="82" t="s">
        <v>307</v>
      </c>
      <c r="AC7" s="9" t="s">
        <v>304</v>
      </c>
      <c r="AD7" s="43"/>
      <c r="AE7" s="13">
        <v>1</v>
      </c>
      <c r="AF7" s="13"/>
      <c r="AG7" s="13"/>
      <c r="AH7" s="13"/>
      <c r="AI7" s="13">
        <v>1</v>
      </c>
      <c r="AJ7" s="13"/>
      <c r="AK7" s="78">
        <v>1</v>
      </c>
      <c r="AL7" s="43"/>
      <c r="AM7" s="13"/>
      <c r="AN7" s="13"/>
      <c r="AO7" s="13">
        <v>1</v>
      </c>
      <c r="AP7" s="13"/>
      <c r="AQ7" s="13"/>
      <c r="AR7" s="13"/>
      <c r="AS7" s="78"/>
      <c r="AT7" s="43"/>
      <c r="AU7" s="13"/>
      <c r="AV7" s="13"/>
      <c r="AW7" s="13"/>
      <c r="AX7" s="13"/>
      <c r="AY7" s="13"/>
      <c r="AZ7" s="13"/>
      <c r="BA7" s="78"/>
    </row>
    <row r="8" spans="1:53">
      <c r="A8" s="82"/>
      <c r="B8" s="9" t="s">
        <v>305</v>
      </c>
      <c r="C8" s="43"/>
      <c r="D8" s="13"/>
      <c r="E8" s="13"/>
      <c r="F8" s="13"/>
      <c r="G8" s="13"/>
      <c r="H8" s="13"/>
      <c r="I8" s="13"/>
      <c r="J8" s="78"/>
      <c r="K8" s="43"/>
      <c r="L8" s="13"/>
      <c r="M8" s="13"/>
      <c r="N8" s="13"/>
      <c r="O8" s="13"/>
      <c r="P8" s="13"/>
      <c r="Q8" s="13"/>
      <c r="R8" s="78"/>
      <c r="S8" s="43"/>
      <c r="T8" s="13"/>
      <c r="U8" s="13"/>
      <c r="V8" s="13"/>
      <c r="W8" s="13"/>
      <c r="X8" s="13"/>
      <c r="Y8" s="13"/>
      <c r="Z8" s="78"/>
      <c r="AB8" s="82"/>
      <c r="AC8" s="9" t="s">
        <v>305</v>
      </c>
      <c r="AD8" s="43"/>
      <c r="AE8" s="13">
        <v>1</v>
      </c>
      <c r="AF8" s="13"/>
      <c r="AG8" s="13"/>
      <c r="AH8" s="13"/>
      <c r="AI8" s="13"/>
      <c r="AJ8" s="13"/>
      <c r="AK8" s="78">
        <v>1</v>
      </c>
      <c r="AL8" s="43"/>
      <c r="AM8" s="13"/>
      <c r="AN8" s="13"/>
      <c r="AO8" s="13">
        <v>1</v>
      </c>
      <c r="AP8" s="13"/>
      <c r="AQ8" s="13"/>
      <c r="AR8" s="13"/>
      <c r="AS8" s="78"/>
      <c r="AT8" s="43"/>
      <c r="AU8" s="13"/>
      <c r="AV8" s="13"/>
      <c r="AW8" s="13"/>
      <c r="AX8" s="13"/>
      <c r="AY8" s="13"/>
      <c r="AZ8" s="13"/>
      <c r="BA8" s="78"/>
    </row>
    <row r="9" spans="1:53">
      <c r="A9" s="82"/>
      <c r="B9" s="9" t="s">
        <v>306</v>
      </c>
      <c r="C9" s="43"/>
      <c r="D9" s="13"/>
      <c r="E9" s="13"/>
      <c r="F9" s="13"/>
      <c r="G9" s="13"/>
      <c r="H9" s="13"/>
      <c r="I9" s="13"/>
      <c r="J9" s="78"/>
      <c r="K9" s="43"/>
      <c r="L9" s="13"/>
      <c r="M9" s="13"/>
      <c r="N9" s="13"/>
      <c r="O9" s="13"/>
      <c r="P9" s="13"/>
      <c r="Q9" s="13"/>
      <c r="R9" s="78"/>
      <c r="S9" s="43"/>
      <c r="T9" s="13"/>
      <c r="U9" s="13"/>
      <c r="V9" s="13"/>
      <c r="W9" s="13"/>
      <c r="X9" s="13"/>
      <c r="Y9" s="13"/>
      <c r="Z9" s="78"/>
      <c r="AB9" s="82"/>
      <c r="AC9" s="9" t="s">
        <v>306</v>
      </c>
      <c r="AD9" s="43"/>
      <c r="AE9" s="13"/>
      <c r="AF9" s="13"/>
      <c r="AG9" s="13"/>
      <c r="AH9" s="13"/>
      <c r="AI9" s="13"/>
      <c r="AJ9" s="13"/>
      <c r="AK9" s="78">
        <v>1</v>
      </c>
      <c r="AL9" s="43"/>
      <c r="AM9" s="13"/>
      <c r="AN9" s="13"/>
      <c r="AO9" s="13">
        <v>1</v>
      </c>
      <c r="AP9" s="13"/>
      <c r="AQ9" s="13"/>
      <c r="AR9" s="13"/>
      <c r="AS9" s="78"/>
      <c r="AT9" s="43"/>
      <c r="AU9" s="13"/>
      <c r="AV9" s="13"/>
      <c r="AW9" s="13"/>
      <c r="AX9" s="13"/>
      <c r="AY9" s="13"/>
      <c r="AZ9" s="13"/>
      <c r="BA9" s="78"/>
    </row>
    <row r="10" spans="1:53">
      <c r="A10" s="82" t="s">
        <v>308</v>
      </c>
      <c r="B10" s="9" t="s">
        <v>304</v>
      </c>
      <c r="C10" s="43"/>
      <c r="D10" s="13"/>
      <c r="E10" s="13"/>
      <c r="F10" s="13"/>
      <c r="G10" s="13"/>
      <c r="H10" s="13"/>
      <c r="I10" s="13"/>
      <c r="J10" s="78"/>
      <c r="K10" s="43"/>
      <c r="L10" s="13"/>
      <c r="M10" s="13"/>
      <c r="N10" s="13"/>
      <c r="O10" s="13">
        <v>14</v>
      </c>
      <c r="P10" s="13"/>
      <c r="Q10" s="13"/>
      <c r="R10" s="78"/>
      <c r="S10" s="43"/>
      <c r="T10" s="13"/>
      <c r="U10" s="13"/>
      <c r="V10" s="13"/>
      <c r="W10" s="13">
        <v>5</v>
      </c>
      <c r="X10" s="13"/>
      <c r="Y10" s="13"/>
      <c r="Z10" s="78"/>
      <c r="AB10" s="82" t="s">
        <v>308</v>
      </c>
      <c r="AC10" s="9" t="s">
        <v>304</v>
      </c>
      <c r="AD10" s="43"/>
      <c r="AE10" s="13"/>
      <c r="AF10" s="13"/>
      <c r="AG10" s="13"/>
      <c r="AH10" s="13"/>
      <c r="AI10" s="13"/>
      <c r="AJ10" s="13"/>
      <c r="AK10" s="78">
        <v>1</v>
      </c>
      <c r="AL10" s="43"/>
      <c r="AM10" s="13"/>
      <c r="AN10" s="13"/>
      <c r="AO10" s="13"/>
      <c r="AP10" s="13"/>
      <c r="AQ10" s="13">
        <v>1</v>
      </c>
      <c r="AR10" s="13"/>
      <c r="AS10" s="78"/>
      <c r="AT10" s="43"/>
      <c r="AU10" s="13"/>
      <c r="AV10" s="13"/>
      <c r="AW10" s="13"/>
      <c r="AX10" s="13"/>
      <c r="AY10" s="13">
        <v>1</v>
      </c>
      <c r="AZ10" s="13"/>
      <c r="BA10" s="78"/>
    </row>
    <row r="11" spans="1:53">
      <c r="A11" s="82"/>
      <c r="B11" s="9" t="s">
        <v>305</v>
      </c>
      <c r="C11" s="43"/>
      <c r="D11" s="13"/>
      <c r="E11" s="13"/>
      <c r="F11" s="13"/>
      <c r="G11" s="13"/>
      <c r="H11" s="13"/>
      <c r="I11" s="13"/>
      <c r="J11" s="78"/>
      <c r="K11" s="43"/>
      <c r="L11" s="13"/>
      <c r="M11" s="13"/>
      <c r="N11" s="13"/>
      <c r="O11" s="13">
        <v>12</v>
      </c>
      <c r="P11" s="13"/>
      <c r="Q11" s="13"/>
      <c r="R11" s="78"/>
      <c r="S11" s="43"/>
      <c r="T11" s="13"/>
      <c r="U11" s="13"/>
      <c r="V11" s="13"/>
      <c r="W11" s="13"/>
      <c r="X11" s="13"/>
      <c r="Y11" s="13"/>
      <c r="Z11" s="78"/>
      <c r="AB11" s="82"/>
      <c r="AC11" s="9" t="s">
        <v>305</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306</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306</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309</v>
      </c>
      <c r="B13" s="9" t="s">
        <v>304</v>
      </c>
      <c r="C13" s="43"/>
      <c r="D13" s="13"/>
      <c r="E13" s="13"/>
      <c r="F13" s="13"/>
      <c r="G13" s="13"/>
      <c r="H13" s="13"/>
      <c r="I13" s="13"/>
      <c r="J13" s="78"/>
      <c r="K13" s="43"/>
      <c r="L13" s="13">
        <v>1</v>
      </c>
      <c r="M13" s="13"/>
      <c r="N13" s="13"/>
      <c r="O13" s="13"/>
      <c r="P13" s="13"/>
      <c r="Q13" s="13"/>
      <c r="R13" s="78"/>
      <c r="S13" s="43"/>
      <c r="T13" s="13"/>
      <c r="U13" s="13"/>
      <c r="V13" s="13"/>
      <c r="W13" s="13">
        <v>12</v>
      </c>
      <c r="X13" s="13"/>
      <c r="Y13" s="13"/>
      <c r="Z13" s="78"/>
      <c r="AB13" s="82" t="s">
        <v>309</v>
      </c>
      <c r="AC13" s="9" t="s">
        <v>304</v>
      </c>
      <c r="AD13" s="43"/>
      <c r="AE13" s="13"/>
      <c r="AF13" s="13"/>
      <c r="AG13" s="13"/>
      <c r="AH13" s="13"/>
      <c r="AI13" s="13">
        <v>1</v>
      </c>
      <c r="AJ13" s="13"/>
      <c r="AK13" s="78"/>
      <c r="AL13" s="43"/>
      <c r="AM13" s="13"/>
      <c r="AN13" s="13"/>
      <c r="AO13" s="13"/>
      <c r="AP13" s="13"/>
      <c r="AQ13" s="13">
        <v>1</v>
      </c>
      <c r="AR13" s="13"/>
      <c r="AS13" s="78"/>
      <c r="AT13" s="43"/>
      <c r="AU13" s="13"/>
      <c r="AV13" s="13"/>
      <c r="AW13" s="13"/>
      <c r="AX13" s="13"/>
      <c r="AY13" s="13"/>
      <c r="AZ13" s="13"/>
      <c r="BA13" s="78"/>
    </row>
    <row r="14" spans="1:53">
      <c r="A14" s="82"/>
      <c r="B14" s="9" t="s">
        <v>305</v>
      </c>
      <c r="C14" s="43"/>
      <c r="D14" s="13"/>
      <c r="E14" s="13"/>
      <c r="F14" s="13"/>
      <c r="G14" s="13"/>
      <c r="H14" s="13"/>
      <c r="I14" s="13"/>
      <c r="J14" s="78"/>
      <c r="K14" s="43"/>
      <c r="L14" s="13">
        <v>1</v>
      </c>
      <c r="M14" s="13"/>
      <c r="N14" s="13"/>
      <c r="O14" s="13"/>
      <c r="P14" s="13"/>
      <c r="Q14" s="13"/>
      <c r="R14" s="78"/>
      <c r="S14" s="43"/>
      <c r="T14" s="13"/>
      <c r="U14" s="13"/>
      <c r="V14" s="13"/>
      <c r="W14" s="13"/>
      <c r="X14" s="13"/>
      <c r="Y14" s="13"/>
      <c r="Z14" s="78"/>
      <c r="AB14" s="82"/>
      <c r="AC14" s="9" t="s">
        <v>305</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306</v>
      </c>
      <c r="C15" s="43"/>
      <c r="D15" s="13"/>
      <c r="E15" s="13"/>
      <c r="F15" s="13">
        <v>1</v>
      </c>
      <c r="G15" s="13"/>
      <c r="H15" s="13"/>
      <c r="I15" s="13"/>
      <c r="J15" s="78"/>
      <c r="K15" s="43"/>
      <c r="L15" s="13"/>
      <c r="M15" s="13"/>
      <c r="N15" s="13"/>
      <c r="O15" s="13"/>
      <c r="P15" s="13"/>
      <c r="Q15" s="13"/>
      <c r="R15" s="78"/>
      <c r="S15" s="43"/>
      <c r="T15" s="13"/>
      <c r="U15" s="13"/>
      <c r="V15" s="13"/>
      <c r="W15" s="13"/>
      <c r="X15" s="13"/>
      <c r="Y15" s="13"/>
      <c r="Z15" s="78">
        <v>1</v>
      </c>
      <c r="AB15" s="82"/>
      <c r="AC15" s="9" t="s">
        <v>306</v>
      </c>
      <c r="AD15" s="43"/>
      <c r="AE15" s="13"/>
      <c r="AF15" s="13"/>
      <c r="AG15" s="13"/>
      <c r="AH15" s="13"/>
      <c r="AI15" s="13"/>
      <c r="AJ15" s="13"/>
      <c r="AK15" s="78">
        <v>1</v>
      </c>
      <c r="AL15" s="43"/>
      <c r="AM15" s="13"/>
      <c r="AN15" s="13"/>
      <c r="AO15" s="13"/>
      <c r="AP15" s="13"/>
      <c r="AQ15" s="13"/>
      <c r="AR15" s="13"/>
      <c r="AS15" s="78">
        <v>1</v>
      </c>
      <c r="AT15" s="43"/>
      <c r="AU15" s="13"/>
      <c r="AV15" s="13"/>
      <c r="AW15" s="13"/>
      <c r="AX15" s="13"/>
      <c r="AY15" s="13"/>
      <c r="AZ15" s="13"/>
      <c r="BA15" s="78"/>
    </row>
    <row r="16" spans="1:53">
      <c r="A16" s="82" t="s">
        <v>310</v>
      </c>
      <c r="B16" s="9" t="s">
        <v>304</v>
      </c>
      <c r="C16" s="43"/>
      <c r="D16" s="13"/>
      <c r="E16" s="13"/>
      <c r="F16" s="13">
        <v>1</v>
      </c>
      <c r="G16" s="13">
        <v>2</v>
      </c>
      <c r="H16" s="13"/>
      <c r="I16" s="13"/>
      <c r="J16" s="78"/>
      <c r="K16" s="43"/>
      <c r="L16" s="13"/>
      <c r="M16" s="13"/>
      <c r="N16" s="13"/>
      <c r="O16" s="13"/>
      <c r="P16" s="13">
        <v>1</v>
      </c>
      <c r="Q16" s="13"/>
      <c r="R16" s="78"/>
      <c r="S16" s="43"/>
      <c r="T16" s="13"/>
      <c r="U16" s="13"/>
      <c r="V16" s="13"/>
      <c r="W16" s="13">
        <v>4</v>
      </c>
      <c r="X16" s="13"/>
      <c r="Y16" s="13"/>
      <c r="Z16" s="78">
        <v>2</v>
      </c>
      <c r="AB16" s="82" t="s">
        <v>310</v>
      </c>
      <c r="AC16" s="9" t="s">
        <v>304</v>
      </c>
      <c r="AD16" s="43"/>
      <c r="AE16" s="13"/>
      <c r="AF16" s="13"/>
      <c r="AG16" s="13"/>
      <c r="AH16" s="13"/>
      <c r="AI16" s="13">
        <v>1</v>
      </c>
      <c r="AJ16" s="13"/>
      <c r="AK16" s="78">
        <v>1</v>
      </c>
      <c r="AL16" s="43"/>
      <c r="AM16" s="13"/>
      <c r="AN16" s="13"/>
      <c r="AO16" s="13"/>
      <c r="AP16" s="13"/>
      <c r="AQ16" s="13"/>
      <c r="AR16" s="13"/>
      <c r="AS16" s="78">
        <v>1</v>
      </c>
      <c r="AT16" s="43"/>
      <c r="AU16" s="13"/>
      <c r="AV16" s="13"/>
      <c r="AW16" s="13"/>
      <c r="AX16" s="13"/>
      <c r="AY16" s="13"/>
      <c r="AZ16" s="13"/>
      <c r="BA16" s="78"/>
    </row>
    <row r="17" spans="1:53">
      <c r="A17" s="82"/>
      <c r="B17" s="9" t="s">
        <v>305</v>
      </c>
      <c r="C17" s="43"/>
      <c r="D17" s="13"/>
      <c r="E17" s="13"/>
      <c r="F17" s="13">
        <v>1</v>
      </c>
      <c r="G17" s="13">
        <v>5</v>
      </c>
      <c r="H17" s="13"/>
      <c r="I17" s="13"/>
      <c r="J17" s="78"/>
      <c r="K17" s="43"/>
      <c r="L17" s="13"/>
      <c r="M17" s="13"/>
      <c r="N17" s="13"/>
      <c r="O17" s="13"/>
      <c r="P17" s="13"/>
      <c r="Q17" s="13"/>
      <c r="R17" s="78"/>
      <c r="S17" s="43"/>
      <c r="T17" s="13"/>
      <c r="U17" s="13"/>
      <c r="V17" s="13"/>
      <c r="W17" s="13"/>
      <c r="X17" s="13"/>
      <c r="Y17" s="13"/>
      <c r="Z17" s="78">
        <v>1</v>
      </c>
      <c r="AB17" s="82"/>
      <c r="AC17" s="9" t="s">
        <v>305</v>
      </c>
      <c r="AD17" s="43"/>
      <c r="AE17" s="13"/>
      <c r="AF17" s="13">
        <v>1</v>
      </c>
      <c r="AG17" s="13"/>
      <c r="AH17" s="13"/>
      <c r="AI17" s="13"/>
      <c r="AJ17" s="13"/>
      <c r="AK17" s="78">
        <v>1</v>
      </c>
      <c r="AL17" s="43"/>
      <c r="AM17" s="13"/>
      <c r="AN17" s="13"/>
      <c r="AO17" s="13"/>
      <c r="AP17" s="13"/>
      <c r="AQ17" s="13"/>
      <c r="AR17" s="13"/>
      <c r="AS17" s="78">
        <v>1</v>
      </c>
      <c r="AT17" s="43"/>
      <c r="AU17" s="13"/>
      <c r="AV17" s="13"/>
      <c r="AW17" s="13"/>
      <c r="AX17" s="13"/>
      <c r="AY17" s="13"/>
      <c r="AZ17" s="13"/>
      <c r="BA17" s="78"/>
    </row>
    <row r="18" spans="1:53">
      <c r="A18" s="82"/>
      <c r="B18" s="9" t="s">
        <v>306</v>
      </c>
      <c r="C18" s="43"/>
      <c r="D18" s="13"/>
      <c r="E18" s="13"/>
      <c r="F18" s="13">
        <v>1</v>
      </c>
      <c r="G18" s="13"/>
      <c r="H18" s="13"/>
      <c r="I18" s="13"/>
      <c r="J18" s="78"/>
      <c r="K18" s="43"/>
      <c r="L18" s="13"/>
      <c r="M18" s="13"/>
      <c r="N18" s="13"/>
      <c r="O18" s="13"/>
      <c r="P18" s="13"/>
      <c r="Q18" s="13"/>
      <c r="R18" s="78"/>
      <c r="S18" s="43"/>
      <c r="T18" s="13"/>
      <c r="U18" s="13"/>
      <c r="V18" s="13"/>
      <c r="W18" s="13"/>
      <c r="X18" s="13"/>
      <c r="Y18" s="13"/>
      <c r="Z18" s="78">
        <v>1</v>
      </c>
      <c r="AB18" s="82"/>
      <c r="AC18" s="9" t="s">
        <v>306</v>
      </c>
      <c r="AD18" s="43"/>
      <c r="AE18" s="13"/>
      <c r="AF18" s="13">
        <v>1</v>
      </c>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311</v>
      </c>
      <c r="B19" s="9" t="s">
        <v>304</v>
      </c>
      <c r="C19" s="43"/>
      <c r="D19" s="13"/>
      <c r="E19" s="13"/>
      <c r="F19" s="13">
        <v>1</v>
      </c>
      <c r="G19" s="13"/>
      <c r="H19" s="13">
        <v>2</v>
      </c>
      <c r="I19" s="13"/>
      <c r="J19" s="78"/>
      <c r="K19" s="43"/>
      <c r="L19" s="13"/>
      <c r="M19" s="13"/>
      <c r="N19" s="13"/>
      <c r="O19" s="13"/>
      <c r="P19" s="13"/>
      <c r="Q19" s="13"/>
      <c r="R19" s="78"/>
      <c r="S19" s="43"/>
      <c r="T19" s="13"/>
      <c r="U19" s="13"/>
      <c r="V19" s="13"/>
      <c r="W19" s="13">
        <v>37</v>
      </c>
      <c r="X19" s="13"/>
      <c r="Y19" s="13"/>
      <c r="Z19" s="78">
        <v>1</v>
      </c>
      <c r="AB19" s="82" t="s">
        <v>311</v>
      </c>
      <c r="AC19" s="9" t="s">
        <v>304</v>
      </c>
      <c r="AD19" s="43"/>
      <c r="AE19" s="13"/>
      <c r="AF19" s="13">
        <v>1</v>
      </c>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305</v>
      </c>
      <c r="C20" s="43"/>
      <c r="D20" s="13"/>
      <c r="E20" s="13">
        <v>1</v>
      </c>
      <c r="F20" s="13">
        <v>1</v>
      </c>
      <c r="G20" s="13"/>
      <c r="H20" s="13"/>
      <c r="I20" s="13"/>
      <c r="J20" s="78"/>
      <c r="K20" s="43"/>
      <c r="L20" s="13"/>
      <c r="M20" s="13"/>
      <c r="N20" s="13"/>
      <c r="O20" s="13"/>
      <c r="P20" s="13"/>
      <c r="Q20" s="13"/>
      <c r="R20" s="78"/>
      <c r="S20" s="43"/>
      <c r="T20" s="13"/>
      <c r="U20" s="13"/>
      <c r="V20" s="13"/>
      <c r="W20" s="13"/>
      <c r="X20" s="13"/>
      <c r="Y20" s="13"/>
      <c r="Z20" s="78"/>
      <c r="AB20" s="82"/>
      <c r="AC20" s="9" t="s">
        <v>305</v>
      </c>
      <c r="AD20" s="43"/>
      <c r="AE20" s="13"/>
      <c r="AF20" s="13">
        <v>1</v>
      </c>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306</v>
      </c>
      <c r="C21" s="43"/>
      <c r="D21" s="13"/>
      <c r="E21" s="13">
        <v>1</v>
      </c>
      <c r="F21" s="13">
        <v>1</v>
      </c>
      <c r="G21" s="13"/>
      <c r="H21" s="13"/>
      <c r="I21" s="13"/>
      <c r="J21" s="78"/>
      <c r="K21" s="43"/>
      <c r="L21" s="13"/>
      <c r="M21" s="13"/>
      <c r="N21" s="13"/>
      <c r="O21" s="13"/>
      <c r="P21" s="13"/>
      <c r="Q21" s="13"/>
      <c r="R21" s="78"/>
      <c r="S21" s="43"/>
      <c r="T21" s="13"/>
      <c r="U21" s="13"/>
      <c r="V21" s="13"/>
      <c r="W21" s="13"/>
      <c r="X21" s="13"/>
      <c r="Y21" s="13"/>
      <c r="Z21" s="78"/>
      <c r="AB21" s="82"/>
      <c r="AC21" s="9" t="s">
        <v>306</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312</v>
      </c>
      <c r="B22" s="9" t="s">
        <v>304</v>
      </c>
      <c r="C22" s="43"/>
      <c r="D22" s="13"/>
      <c r="E22" s="13">
        <v>1</v>
      </c>
      <c r="F22" s="13"/>
      <c r="G22" s="13">
        <v>34</v>
      </c>
      <c r="H22" s="13"/>
      <c r="I22" s="13">
        <v>1</v>
      </c>
      <c r="J22" s="78"/>
      <c r="K22" s="43"/>
      <c r="L22" s="13"/>
      <c r="M22" s="13"/>
      <c r="N22" s="13"/>
      <c r="O22" s="13"/>
      <c r="P22" s="13">
        <v>2</v>
      </c>
      <c r="Q22" s="13"/>
      <c r="R22" s="78"/>
      <c r="S22" s="43"/>
      <c r="T22" s="13"/>
      <c r="U22" s="13"/>
      <c r="V22" s="13"/>
      <c r="W22" s="13">
        <v>30</v>
      </c>
      <c r="X22" s="13"/>
      <c r="Y22" s="13"/>
      <c r="Z22" s="78"/>
      <c r="AB22" s="82" t="s">
        <v>312</v>
      </c>
      <c r="AC22" s="9" t="s">
        <v>304</v>
      </c>
      <c r="AD22" s="43"/>
      <c r="AE22" s="13"/>
      <c r="AF22" s="13"/>
      <c r="AG22" s="13"/>
      <c r="AH22" s="13"/>
      <c r="AI22" s="13">
        <v>1</v>
      </c>
      <c r="AJ22" s="13"/>
      <c r="AK22" s="78"/>
      <c r="AL22" s="43"/>
      <c r="AM22" s="13"/>
      <c r="AN22" s="13"/>
      <c r="AO22" s="13"/>
      <c r="AP22" s="13"/>
      <c r="AQ22" s="13"/>
      <c r="AR22" s="13"/>
      <c r="AS22" s="78"/>
      <c r="AT22" s="43"/>
      <c r="AU22" s="13"/>
      <c r="AV22" s="13"/>
      <c r="AW22" s="13"/>
      <c r="AX22" s="13"/>
      <c r="AY22" s="13">
        <v>2</v>
      </c>
      <c r="AZ22" s="13"/>
      <c r="BA22" s="78"/>
    </row>
    <row r="23" spans="1:53">
      <c r="A23" s="82"/>
      <c r="B23" s="9" t="s">
        <v>305</v>
      </c>
      <c r="C23" s="43"/>
      <c r="D23" s="13"/>
      <c r="E23" s="13">
        <v>1</v>
      </c>
      <c r="F23" s="13"/>
      <c r="G23" s="13">
        <v>12</v>
      </c>
      <c r="H23" s="13"/>
      <c r="I23" s="13"/>
      <c r="J23" s="78"/>
      <c r="K23" s="43"/>
      <c r="L23" s="13"/>
      <c r="M23" s="13"/>
      <c r="N23" s="13"/>
      <c r="O23" s="13"/>
      <c r="P23" s="13"/>
      <c r="Q23" s="13"/>
      <c r="R23" s="78">
        <v>1</v>
      </c>
      <c r="S23" s="43"/>
      <c r="T23" s="13"/>
      <c r="U23" s="13"/>
      <c r="V23" s="13"/>
      <c r="W23" s="13">
        <v>5</v>
      </c>
      <c r="X23" s="13"/>
      <c r="Y23" s="13"/>
      <c r="Z23" s="78"/>
      <c r="AB23" s="82"/>
      <c r="AC23" s="9" t="s">
        <v>305</v>
      </c>
      <c r="AD23" s="43"/>
      <c r="AE23" s="13"/>
      <c r="AF23" s="13"/>
      <c r="AG23" s="13"/>
      <c r="AH23" s="13"/>
      <c r="AI23" s="13"/>
      <c r="AJ23" s="13"/>
      <c r="AK23" s="78">
        <v>1</v>
      </c>
      <c r="AL23" s="43"/>
      <c r="AM23" s="13"/>
      <c r="AN23" s="13"/>
      <c r="AO23" s="13"/>
      <c r="AP23" s="13"/>
      <c r="AQ23" s="13"/>
      <c r="AR23" s="13"/>
      <c r="AS23" s="78"/>
      <c r="AT23" s="43"/>
      <c r="AU23" s="13"/>
      <c r="AV23" s="13"/>
      <c r="AW23" s="13"/>
      <c r="AX23" s="13"/>
      <c r="AY23" s="13"/>
      <c r="AZ23" s="13"/>
      <c r="BA23" s="78"/>
    </row>
    <row r="24" spans="1:53">
      <c r="A24" s="81"/>
      <c r="B24" s="55" t="s">
        <v>306</v>
      </c>
      <c r="C24" s="44"/>
      <c r="D24" s="56"/>
      <c r="E24" s="56"/>
      <c r="F24" s="56"/>
      <c r="G24" s="56"/>
      <c r="H24" s="56"/>
      <c r="I24" s="56"/>
      <c r="J24" s="22"/>
      <c r="K24" s="44"/>
      <c r="L24" s="56"/>
      <c r="M24" s="56"/>
      <c r="N24" s="56"/>
      <c r="O24" s="56"/>
      <c r="P24" s="56"/>
      <c r="Q24" s="56"/>
      <c r="R24" s="22">
        <v>1</v>
      </c>
      <c r="S24" s="44"/>
      <c r="T24" s="56"/>
      <c r="U24" s="56"/>
      <c r="V24" s="56"/>
      <c r="W24" s="56"/>
      <c r="X24" s="56"/>
      <c r="Y24" s="56"/>
      <c r="Z24" s="22">
        <v>1</v>
      </c>
      <c r="AB24" s="81"/>
      <c r="AC24" s="55" t="s">
        <v>306</v>
      </c>
      <c r="AD24" s="44"/>
      <c r="AE24" s="56"/>
      <c r="AF24" s="56"/>
      <c r="AG24" s="56"/>
      <c r="AH24" s="56"/>
      <c r="AI24" s="56"/>
      <c r="AJ24" s="56"/>
      <c r="AK24" s="22">
        <v>1</v>
      </c>
      <c r="AL24" s="44"/>
      <c r="AM24" s="56"/>
      <c r="AN24" s="56"/>
      <c r="AO24" s="56">
        <v>1</v>
      </c>
      <c r="AP24" s="56"/>
      <c r="AQ24" s="56"/>
      <c r="AR24" s="56"/>
      <c r="AS24" s="22"/>
      <c r="AT24" s="44"/>
      <c r="AU24" s="56"/>
      <c r="AV24" s="56"/>
      <c r="AW24" s="56"/>
      <c r="AX24" s="56"/>
      <c r="AY24" s="56"/>
      <c r="AZ24" s="56"/>
      <c r="BA24" s="22"/>
    </row>
    <row r="25" spans="1:53">
      <c r="A25" s="79" t="s">
        <v>155</v>
      </c>
      <c r="B25" s="80"/>
      <c r="C25" s="45">
        <v>0</v>
      </c>
      <c r="D25" s="83">
        <v>0</v>
      </c>
      <c r="E25" s="83">
        <v>4</v>
      </c>
      <c r="F25" s="83">
        <v>7</v>
      </c>
      <c r="G25" s="83">
        <v>53</v>
      </c>
      <c r="H25" s="83">
        <v>2</v>
      </c>
      <c r="I25" s="83">
        <v>1</v>
      </c>
      <c r="J25" s="83">
        <v>0</v>
      </c>
      <c r="K25" s="84">
        <v>0</v>
      </c>
      <c r="L25" s="83">
        <v>2</v>
      </c>
      <c r="M25" s="83">
        <v>0</v>
      </c>
      <c r="N25" s="83">
        <v>0</v>
      </c>
      <c r="O25" s="83">
        <v>26</v>
      </c>
      <c r="P25" s="83">
        <v>6</v>
      </c>
      <c r="Q25" s="83">
        <v>0</v>
      </c>
      <c r="R25" s="83">
        <v>3</v>
      </c>
      <c r="S25" s="84">
        <v>0</v>
      </c>
      <c r="T25" s="85">
        <v>0</v>
      </c>
      <c r="U25" s="85">
        <v>0</v>
      </c>
      <c r="V25" s="85">
        <v>0</v>
      </c>
      <c r="W25" s="85">
        <v>140</v>
      </c>
      <c r="X25" s="85">
        <v>0</v>
      </c>
      <c r="Y25" s="85">
        <v>0</v>
      </c>
      <c r="Z25" s="86">
        <v>9</v>
      </c>
      <c r="AB25" s="79" t="s">
        <v>155</v>
      </c>
      <c r="AC25" s="80"/>
      <c r="AD25" s="84">
        <v>0</v>
      </c>
      <c r="AE25" s="83">
        <v>2</v>
      </c>
      <c r="AF25" s="83">
        <v>4</v>
      </c>
      <c r="AG25" s="83">
        <v>0</v>
      </c>
      <c r="AH25" s="83">
        <v>0</v>
      </c>
      <c r="AI25" s="83">
        <v>5</v>
      </c>
      <c r="AJ25" s="83">
        <v>0</v>
      </c>
      <c r="AK25" s="83">
        <v>11</v>
      </c>
      <c r="AL25" s="84">
        <v>0</v>
      </c>
      <c r="AM25" s="83">
        <v>0</v>
      </c>
      <c r="AN25" s="83">
        <v>0</v>
      </c>
      <c r="AO25" s="83">
        <v>7</v>
      </c>
      <c r="AP25" s="83">
        <v>0</v>
      </c>
      <c r="AQ25" s="83">
        <v>3</v>
      </c>
      <c r="AR25" s="83">
        <v>0</v>
      </c>
      <c r="AS25" s="83">
        <v>3</v>
      </c>
      <c r="AT25" s="84">
        <v>0</v>
      </c>
      <c r="AU25" s="85">
        <v>0</v>
      </c>
      <c r="AV25" s="85">
        <v>0</v>
      </c>
      <c r="AW25" s="85">
        <v>0</v>
      </c>
      <c r="AX25" s="85">
        <v>0</v>
      </c>
      <c r="AY25" s="85">
        <v>3</v>
      </c>
      <c r="AZ25" s="85">
        <v>0</v>
      </c>
      <c r="BA25" s="86">
        <v>0</v>
      </c>
    </row>
    <row r="28" spans="1:53">
      <c r="A28" s="42">
        <v>3</v>
      </c>
      <c r="C28" s="544" t="s">
        <v>313</v>
      </c>
      <c r="D28" s="545"/>
      <c r="E28" s="545"/>
      <c r="F28" s="545"/>
      <c r="G28" s="545"/>
      <c r="H28" s="545"/>
      <c r="I28" s="545"/>
      <c r="J28" s="546"/>
      <c r="K28" s="544" t="s">
        <v>314</v>
      </c>
      <c r="L28" s="545"/>
      <c r="M28" s="545"/>
      <c r="N28" s="545"/>
      <c r="O28" s="545"/>
      <c r="P28" s="545"/>
      <c r="Q28" s="545"/>
      <c r="R28" s="546"/>
      <c r="S28" s="544" t="s">
        <v>315</v>
      </c>
      <c r="T28" s="545"/>
      <c r="U28" s="545"/>
      <c r="V28" s="545"/>
      <c r="W28" s="545"/>
      <c r="X28" s="545"/>
      <c r="Y28" s="545"/>
      <c r="Z28" s="546"/>
      <c r="AA28" s="13"/>
      <c r="AB28" s="42">
        <v>4</v>
      </c>
      <c r="AC28" s="13"/>
      <c r="AD28" s="544" t="s">
        <v>316</v>
      </c>
      <c r="AE28" s="545"/>
      <c r="AF28" s="545"/>
      <c r="AG28" s="545"/>
      <c r="AH28" s="545"/>
      <c r="AI28" s="545"/>
      <c r="AJ28" s="545"/>
      <c r="AK28" s="546"/>
      <c r="AL28" s="544" t="s">
        <v>317</v>
      </c>
      <c r="AM28" s="545"/>
      <c r="AN28" s="545"/>
      <c r="AO28" s="545"/>
      <c r="AP28" s="545"/>
      <c r="AQ28" s="545"/>
      <c r="AR28" s="545"/>
      <c r="AS28" s="546"/>
      <c r="AT28" s="544" t="s">
        <v>318</v>
      </c>
      <c r="AU28" s="545"/>
      <c r="AV28" s="545"/>
      <c r="AW28" s="545"/>
      <c r="AX28" s="545"/>
      <c r="AY28" s="545"/>
      <c r="AZ28" s="545"/>
      <c r="BA28" s="546"/>
    </row>
    <row r="29" spans="1:53" customHeight="1" ht="152.25">
      <c r="C29" s="183" t="s">
        <v>295</v>
      </c>
      <c r="D29" s="184" t="s">
        <v>296</v>
      </c>
      <c r="E29" s="184" t="s">
        <v>297</v>
      </c>
      <c r="F29" s="184" t="s">
        <v>298</v>
      </c>
      <c r="G29" s="47" t="s">
        <v>299</v>
      </c>
      <c r="H29" s="184" t="s">
        <v>300</v>
      </c>
      <c r="I29" s="184" t="s">
        <v>301</v>
      </c>
      <c r="J29" s="186" t="s">
        <v>302</v>
      </c>
      <c r="K29" s="46" t="s">
        <v>295</v>
      </c>
      <c r="L29" s="47" t="s">
        <v>296</v>
      </c>
      <c r="M29" s="47" t="s">
        <v>297</v>
      </c>
      <c r="N29" s="47" t="s">
        <v>298</v>
      </c>
      <c r="O29" s="47" t="s">
        <v>299</v>
      </c>
      <c r="P29" s="47" t="s">
        <v>300</v>
      </c>
      <c r="Q29" s="47" t="s">
        <v>301</v>
      </c>
      <c r="R29" s="48" t="s">
        <v>302</v>
      </c>
      <c r="S29" s="46" t="s">
        <v>295</v>
      </c>
      <c r="T29" s="47" t="s">
        <v>296</v>
      </c>
      <c r="U29" s="47" t="s">
        <v>297</v>
      </c>
      <c r="V29" s="47" t="s">
        <v>298</v>
      </c>
      <c r="W29" s="47" t="s">
        <v>299</v>
      </c>
      <c r="X29" s="47" t="s">
        <v>300</v>
      </c>
      <c r="Y29" s="47" t="s">
        <v>301</v>
      </c>
      <c r="Z29" s="48" t="s">
        <v>302</v>
      </c>
      <c r="AD29" s="46" t="s">
        <v>295</v>
      </c>
      <c r="AE29" s="47" t="s">
        <v>296</v>
      </c>
      <c r="AF29" s="47" t="s">
        <v>297</v>
      </c>
      <c r="AG29" s="47" t="s">
        <v>298</v>
      </c>
      <c r="AH29" s="47" t="s">
        <v>299</v>
      </c>
      <c r="AI29" s="47" t="s">
        <v>300</v>
      </c>
      <c r="AJ29" s="47" t="s">
        <v>301</v>
      </c>
      <c r="AK29" s="48" t="s">
        <v>302</v>
      </c>
      <c r="AL29" s="46" t="s">
        <v>295</v>
      </c>
      <c r="AM29" s="47" t="s">
        <v>296</v>
      </c>
      <c r="AN29" s="47" t="s">
        <v>297</v>
      </c>
      <c r="AO29" s="47" t="s">
        <v>298</v>
      </c>
      <c r="AP29" s="47" t="s">
        <v>299</v>
      </c>
      <c r="AQ29" s="47" t="s">
        <v>300</v>
      </c>
      <c r="AR29" s="47" t="s">
        <v>301</v>
      </c>
      <c r="AS29" s="48" t="s">
        <v>302</v>
      </c>
      <c r="AT29" s="46" t="s">
        <v>295</v>
      </c>
      <c r="AU29" s="47" t="s">
        <v>296</v>
      </c>
      <c r="AV29" s="47" t="s">
        <v>297</v>
      </c>
      <c r="AW29" s="47" t="s">
        <v>298</v>
      </c>
      <c r="AX29" s="47" t="s">
        <v>299</v>
      </c>
      <c r="AY29" s="47" t="s">
        <v>300</v>
      </c>
      <c r="AZ29" s="47" t="s">
        <v>301</v>
      </c>
      <c r="BA29" s="48" t="s">
        <v>302</v>
      </c>
    </row>
    <row r="30" spans="1:53">
      <c r="A30" s="1" t="s">
        <v>303</v>
      </c>
      <c r="B30" s="2" t="s">
        <v>304</v>
      </c>
      <c r="C30" s="43"/>
      <c r="D30" s="13"/>
      <c r="E30" s="13"/>
      <c r="F30" s="13"/>
      <c r="G30" s="13"/>
      <c r="H30" s="13"/>
      <c r="I30" s="13"/>
      <c r="J30" s="78"/>
      <c r="K30" s="43"/>
      <c r="L30" s="13"/>
      <c r="M30" s="13"/>
      <c r="N30" s="13"/>
      <c r="O30" s="13">
        <v>25</v>
      </c>
      <c r="P30" s="13"/>
      <c r="Q30" s="13"/>
      <c r="R30" s="78"/>
      <c r="S30" s="43"/>
      <c r="T30" s="13"/>
      <c r="U30" s="13"/>
      <c r="V30" s="13"/>
      <c r="W30" s="13"/>
      <c r="X30" s="13">
        <v>1</v>
      </c>
      <c r="Y30" s="13"/>
      <c r="Z30" s="78"/>
      <c r="AB30" s="1" t="s">
        <v>303</v>
      </c>
      <c r="AC30" s="2" t="s">
        <v>304</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305</v>
      </c>
      <c r="C31" s="43"/>
      <c r="D31" s="13"/>
      <c r="E31" s="13"/>
      <c r="F31" s="13"/>
      <c r="G31" s="13"/>
      <c r="H31" s="13"/>
      <c r="I31" s="13"/>
      <c r="J31" s="78"/>
      <c r="K31" s="43"/>
      <c r="L31" s="13"/>
      <c r="M31" s="13"/>
      <c r="N31" s="13"/>
      <c r="O31" s="13">
        <v>21</v>
      </c>
      <c r="P31" s="13"/>
      <c r="Q31" s="13"/>
      <c r="R31" s="78"/>
      <c r="S31" s="43"/>
      <c r="T31" s="13"/>
      <c r="U31" s="13"/>
      <c r="V31" s="13"/>
      <c r="W31" s="13"/>
      <c r="X31" s="13"/>
      <c r="Y31" s="13"/>
      <c r="Z31" s="78"/>
      <c r="AB31" s="82"/>
      <c r="AC31" s="9" t="s">
        <v>305</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306</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306</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307</v>
      </c>
      <c r="B33" s="9" t="s">
        <v>304</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307</v>
      </c>
      <c r="AC33" s="9" t="s">
        <v>304</v>
      </c>
      <c r="AD33" s="43"/>
      <c r="AE33" s="13"/>
      <c r="AF33" s="13"/>
      <c r="AG33" s="13"/>
      <c r="AH33" s="13"/>
      <c r="AI33" s="13"/>
      <c r="AJ33" s="13"/>
      <c r="AK33" s="78"/>
      <c r="AL33" s="43"/>
      <c r="AM33" s="13"/>
      <c r="AN33" s="13"/>
      <c r="AO33" s="13"/>
      <c r="AP33" s="13"/>
      <c r="AQ33" s="13"/>
      <c r="AR33" s="13"/>
      <c r="AS33" s="78"/>
      <c r="AT33" s="43"/>
      <c r="AU33" s="13"/>
      <c r="AV33" s="13"/>
      <c r="AW33" s="13"/>
      <c r="AX33" s="13"/>
      <c r="AY33" s="13">
        <v>1</v>
      </c>
      <c r="AZ33" s="13"/>
      <c r="BA33" s="78"/>
    </row>
    <row r="34" spans="1:53">
      <c r="A34" s="82"/>
      <c r="B34" s="9" t="s">
        <v>305</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305</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306</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306</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308</v>
      </c>
      <c r="B36" s="9" t="s">
        <v>304</v>
      </c>
      <c r="C36" s="43"/>
      <c r="D36" s="13"/>
      <c r="E36" s="13"/>
      <c r="F36" s="13"/>
      <c r="G36" s="13"/>
      <c r="H36" s="13">
        <v>1</v>
      </c>
      <c r="I36" s="13"/>
      <c r="J36" s="78"/>
      <c r="K36" s="43"/>
      <c r="L36" s="13"/>
      <c r="M36" s="13"/>
      <c r="N36" s="13"/>
      <c r="O36" s="13"/>
      <c r="P36" s="13"/>
      <c r="Q36" s="13"/>
      <c r="R36" s="78"/>
      <c r="S36" s="43"/>
      <c r="T36" s="13"/>
      <c r="U36" s="13"/>
      <c r="V36" s="13"/>
      <c r="W36" s="13"/>
      <c r="X36" s="13">
        <v>1</v>
      </c>
      <c r="Y36" s="13"/>
      <c r="Z36" s="78"/>
      <c r="AB36" s="82" t="s">
        <v>308</v>
      </c>
      <c r="AC36" s="9" t="s">
        <v>304</v>
      </c>
      <c r="AD36" s="43"/>
      <c r="AE36" s="13"/>
      <c r="AF36" s="13"/>
      <c r="AG36" s="13"/>
      <c r="AH36" s="13"/>
      <c r="AI36" s="13">
        <v>2</v>
      </c>
      <c r="AJ36" s="13">
        <v>1</v>
      </c>
      <c r="AK36" s="78"/>
      <c r="AL36" s="43"/>
      <c r="AM36" s="13"/>
      <c r="AN36" s="13"/>
      <c r="AO36" s="13"/>
      <c r="AP36" s="13"/>
      <c r="AQ36" s="13"/>
      <c r="AR36" s="13"/>
      <c r="AS36" s="78"/>
      <c r="AT36" s="43"/>
      <c r="AU36" s="13"/>
      <c r="AV36" s="13"/>
      <c r="AW36" s="13"/>
      <c r="AX36" s="13">
        <v>15</v>
      </c>
      <c r="AY36" s="13">
        <v>1</v>
      </c>
      <c r="AZ36" s="13"/>
      <c r="BA36" s="78"/>
    </row>
    <row r="37" spans="1:53">
      <c r="A37" s="82"/>
      <c r="B37" s="9" t="s">
        <v>305</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305</v>
      </c>
      <c r="AD37" s="43"/>
      <c r="AE37" s="13"/>
      <c r="AF37" s="13"/>
      <c r="AG37" s="13"/>
      <c r="AH37" s="13"/>
      <c r="AI37" s="13"/>
      <c r="AJ37" s="13"/>
      <c r="AK37" s="78"/>
      <c r="AL37" s="43"/>
      <c r="AM37" s="13"/>
      <c r="AN37" s="13"/>
      <c r="AO37" s="13"/>
      <c r="AP37" s="13"/>
      <c r="AQ37" s="13"/>
      <c r="AR37" s="13"/>
      <c r="AS37" s="78"/>
      <c r="AT37" s="43"/>
      <c r="AU37" s="13"/>
      <c r="AV37" s="13"/>
      <c r="AW37" s="13"/>
      <c r="AX37" s="13">
        <v>2</v>
      </c>
      <c r="AY37" s="13"/>
      <c r="AZ37" s="13"/>
      <c r="BA37" s="78"/>
    </row>
    <row r="38" spans="1:53">
      <c r="A38" s="82"/>
      <c r="B38" s="9" t="s">
        <v>306</v>
      </c>
      <c r="C38" s="43"/>
      <c r="D38" s="13"/>
      <c r="E38" s="13"/>
      <c r="F38" s="13"/>
      <c r="G38" s="13"/>
      <c r="H38" s="13"/>
      <c r="I38" s="13"/>
      <c r="J38" s="78"/>
      <c r="K38" s="43"/>
      <c r="L38" s="13"/>
      <c r="M38" s="13"/>
      <c r="N38" s="13"/>
      <c r="O38" s="13"/>
      <c r="P38" s="13"/>
      <c r="Q38" s="13"/>
      <c r="R38" s="78"/>
      <c r="S38" s="43"/>
      <c r="T38" s="13"/>
      <c r="U38" s="13"/>
      <c r="V38" s="13"/>
      <c r="W38" s="13"/>
      <c r="X38" s="13"/>
      <c r="Y38" s="13"/>
      <c r="Z38" s="78">
        <v>1</v>
      </c>
      <c r="AB38" s="82"/>
      <c r="AC38" s="9" t="s">
        <v>306</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309</v>
      </c>
      <c r="B39" s="9" t="s">
        <v>304</v>
      </c>
      <c r="C39" s="43"/>
      <c r="D39" s="13"/>
      <c r="E39" s="13"/>
      <c r="F39" s="13"/>
      <c r="G39" s="13"/>
      <c r="H39" s="13"/>
      <c r="I39" s="13"/>
      <c r="J39" s="78"/>
      <c r="K39" s="43"/>
      <c r="L39" s="13"/>
      <c r="M39" s="13"/>
      <c r="N39" s="13"/>
      <c r="O39" s="13"/>
      <c r="P39" s="13"/>
      <c r="Q39" s="13"/>
      <c r="R39" s="78"/>
      <c r="S39" s="43"/>
      <c r="T39" s="13"/>
      <c r="U39" s="13"/>
      <c r="V39" s="13"/>
      <c r="W39" s="13"/>
      <c r="X39" s="13">
        <v>1</v>
      </c>
      <c r="Y39" s="13"/>
      <c r="Z39" s="78">
        <v>1</v>
      </c>
      <c r="AB39" s="82" t="s">
        <v>309</v>
      </c>
      <c r="AC39" s="9" t="s">
        <v>304</v>
      </c>
      <c r="AD39" s="43"/>
      <c r="AE39" s="13"/>
      <c r="AF39" s="13"/>
      <c r="AG39" s="13"/>
      <c r="AH39" s="13"/>
      <c r="AI39" s="13">
        <v>1</v>
      </c>
      <c r="AJ39" s="13"/>
      <c r="AK39" s="78"/>
      <c r="AL39" s="43"/>
      <c r="AM39" s="13"/>
      <c r="AN39" s="13"/>
      <c r="AO39" s="13"/>
      <c r="AP39" s="13">
        <v>17</v>
      </c>
      <c r="AQ39" s="13"/>
      <c r="AR39" s="13">
        <v>1</v>
      </c>
      <c r="AS39" s="78"/>
      <c r="AT39" s="43"/>
      <c r="AU39" s="13"/>
      <c r="AV39" s="13"/>
      <c r="AW39" s="13"/>
      <c r="AX39" s="13"/>
      <c r="AY39" s="13">
        <v>1</v>
      </c>
      <c r="AZ39" s="13"/>
      <c r="BA39" s="78"/>
    </row>
    <row r="40" spans="1:53">
      <c r="A40" s="82"/>
      <c r="B40" s="9" t="s">
        <v>305</v>
      </c>
      <c r="C40" s="43"/>
      <c r="D40" s="13"/>
      <c r="E40" s="13"/>
      <c r="F40" s="13"/>
      <c r="G40" s="13"/>
      <c r="H40" s="13"/>
      <c r="I40" s="13"/>
      <c r="J40" s="78"/>
      <c r="K40" s="43"/>
      <c r="L40" s="13"/>
      <c r="M40" s="13"/>
      <c r="N40" s="13"/>
      <c r="O40" s="13"/>
      <c r="P40" s="13"/>
      <c r="Q40" s="13"/>
      <c r="R40" s="78"/>
      <c r="S40" s="43"/>
      <c r="T40" s="13"/>
      <c r="U40" s="13"/>
      <c r="V40" s="13"/>
      <c r="W40" s="13"/>
      <c r="X40" s="13"/>
      <c r="Y40" s="13"/>
      <c r="Z40" s="78">
        <v>1</v>
      </c>
      <c r="AB40" s="82"/>
      <c r="AC40" s="9" t="s">
        <v>305</v>
      </c>
      <c r="AD40" s="43"/>
      <c r="AE40" s="13"/>
      <c r="AF40" s="13"/>
      <c r="AG40" s="13"/>
      <c r="AH40" s="13"/>
      <c r="AI40" s="13"/>
      <c r="AJ40" s="13"/>
      <c r="AK40" s="78"/>
      <c r="AL40" s="43"/>
      <c r="AM40" s="13"/>
      <c r="AN40" s="13"/>
      <c r="AO40" s="13"/>
      <c r="AP40" s="13">
        <v>5</v>
      </c>
      <c r="AQ40" s="13"/>
      <c r="AR40" s="13"/>
      <c r="AS40" s="78"/>
      <c r="AT40" s="43"/>
      <c r="AU40" s="13"/>
      <c r="AV40" s="13"/>
      <c r="AW40" s="13"/>
      <c r="AX40" s="13"/>
      <c r="AY40" s="13"/>
      <c r="AZ40" s="13"/>
      <c r="BA40" s="78"/>
    </row>
    <row r="41" spans="1:53">
      <c r="A41" s="82"/>
      <c r="B41" s="9" t="s">
        <v>306</v>
      </c>
      <c r="C41" s="43"/>
      <c r="D41" s="13"/>
      <c r="E41" s="13"/>
      <c r="F41" s="13"/>
      <c r="G41" s="13"/>
      <c r="H41" s="13"/>
      <c r="I41" s="13"/>
      <c r="J41" s="78"/>
      <c r="K41" s="43"/>
      <c r="L41" s="13"/>
      <c r="M41" s="13"/>
      <c r="N41" s="13"/>
      <c r="O41" s="13"/>
      <c r="P41" s="13"/>
      <c r="Q41" s="13"/>
      <c r="R41" s="78"/>
      <c r="S41" s="43"/>
      <c r="T41" s="13"/>
      <c r="U41" s="13"/>
      <c r="V41" s="13"/>
      <c r="W41" s="13"/>
      <c r="X41" s="13"/>
      <c r="Y41" s="13"/>
      <c r="Z41" s="78">
        <v>1</v>
      </c>
      <c r="AB41" s="82"/>
      <c r="AC41" s="9" t="s">
        <v>306</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310</v>
      </c>
      <c r="B42" s="9" t="s">
        <v>304</v>
      </c>
      <c r="C42" s="43"/>
      <c r="D42" s="13"/>
      <c r="E42" s="13"/>
      <c r="F42" s="13"/>
      <c r="G42" s="13"/>
      <c r="H42" s="13">
        <v>1</v>
      </c>
      <c r="I42" s="13"/>
      <c r="J42" s="78"/>
      <c r="K42" s="43"/>
      <c r="L42" s="13"/>
      <c r="M42" s="13"/>
      <c r="N42" s="13"/>
      <c r="O42" s="13"/>
      <c r="P42" s="13"/>
      <c r="Q42" s="13"/>
      <c r="R42" s="78"/>
      <c r="S42" s="43"/>
      <c r="T42" s="13"/>
      <c r="U42" s="13"/>
      <c r="V42" s="13"/>
      <c r="W42" s="13"/>
      <c r="X42" s="13">
        <v>1</v>
      </c>
      <c r="Y42" s="13"/>
      <c r="Z42" s="78">
        <v>1</v>
      </c>
      <c r="AB42" s="82" t="s">
        <v>310</v>
      </c>
      <c r="AC42" s="9" t="s">
        <v>304</v>
      </c>
      <c r="AD42" s="43"/>
      <c r="AE42" s="13"/>
      <c r="AF42" s="13"/>
      <c r="AG42" s="13"/>
      <c r="AH42" s="13"/>
      <c r="AI42" s="13"/>
      <c r="AJ42" s="13"/>
      <c r="AK42" s="78"/>
      <c r="AL42" s="43"/>
      <c r="AM42" s="13"/>
      <c r="AN42" s="13"/>
      <c r="AO42" s="13"/>
      <c r="AP42" s="13"/>
      <c r="AQ42" s="13"/>
      <c r="AR42" s="13"/>
      <c r="AS42" s="78"/>
      <c r="AT42" s="43"/>
      <c r="AU42" s="13"/>
      <c r="AV42" s="13"/>
      <c r="AW42" s="13"/>
      <c r="AX42" s="13">
        <v>23</v>
      </c>
      <c r="AY42" s="13"/>
      <c r="AZ42" s="13"/>
      <c r="BA42" s="78"/>
    </row>
    <row r="43" spans="1:53">
      <c r="A43" s="82"/>
      <c r="B43" s="9" t="s">
        <v>305</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305</v>
      </c>
      <c r="AD43" s="43"/>
      <c r="AE43" s="13"/>
      <c r="AF43" s="13"/>
      <c r="AG43" s="13"/>
      <c r="AH43" s="13"/>
      <c r="AI43" s="13"/>
      <c r="AJ43" s="13"/>
      <c r="AK43" s="78"/>
      <c r="AL43" s="43"/>
      <c r="AM43" s="13"/>
      <c r="AN43" s="13"/>
      <c r="AO43" s="13"/>
      <c r="AP43" s="13"/>
      <c r="AQ43" s="13"/>
      <c r="AR43" s="13"/>
      <c r="AS43" s="78">
        <v>1</v>
      </c>
      <c r="AT43" s="43"/>
      <c r="AU43" s="13"/>
      <c r="AV43" s="13"/>
      <c r="AW43" s="13"/>
      <c r="AX43" s="13">
        <v>26</v>
      </c>
      <c r="AY43" s="13"/>
      <c r="AZ43" s="13"/>
      <c r="BA43" s="78"/>
    </row>
    <row r="44" spans="1:53">
      <c r="A44" s="82"/>
      <c r="B44" s="9" t="s">
        <v>306</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306</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311</v>
      </c>
      <c r="B45" s="9" t="s">
        <v>304</v>
      </c>
      <c r="C45" s="43"/>
      <c r="D45" s="13"/>
      <c r="E45" s="13"/>
      <c r="F45" s="13"/>
      <c r="G45" s="13"/>
      <c r="H45" s="13"/>
      <c r="I45" s="13"/>
      <c r="J45" s="78"/>
      <c r="K45" s="43"/>
      <c r="L45" s="13"/>
      <c r="M45" s="13"/>
      <c r="N45" s="13"/>
      <c r="O45" s="13"/>
      <c r="P45" s="13">
        <v>1</v>
      </c>
      <c r="Q45" s="13"/>
      <c r="R45" s="78"/>
      <c r="S45" s="43"/>
      <c r="T45" s="13"/>
      <c r="U45" s="13"/>
      <c r="V45" s="13"/>
      <c r="W45" s="13"/>
      <c r="X45" s="13"/>
      <c r="Y45" s="13"/>
      <c r="Z45" s="78"/>
      <c r="AB45" s="82" t="s">
        <v>311</v>
      </c>
      <c r="AC45" s="9" t="s">
        <v>304</v>
      </c>
      <c r="AD45" s="43"/>
      <c r="AE45" s="13"/>
      <c r="AF45" s="13"/>
      <c r="AG45" s="13"/>
      <c r="AH45" s="13"/>
      <c r="AI45" s="13">
        <v>2</v>
      </c>
      <c r="AJ45" s="13">
        <v>1</v>
      </c>
      <c r="AK45" s="78"/>
      <c r="AL45" s="43"/>
      <c r="AM45" s="13"/>
      <c r="AN45" s="13"/>
      <c r="AO45" s="13"/>
      <c r="AP45" s="13"/>
      <c r="AQ45" s="13"/>
      <c r="AR45" s="13"/>
      <c r="AS45" s="78">
        <v>1</v>
      </c>
      <c r="AT45" s="43">
        <v>1</v>
      </c>
      <c r="AU45" s="13"/>
      <c r="AV45" s="13"/>
      <c r="AW45" s="13"/>
      <c r="AX45" s="13"/>
      <c r="AY45" s="13"/>
      <c r="AZ45" s="13"/>
      <c r="BA45" s="78">
        <v>1</v>
      </c>
    </row>
    <row r="46" spans="1:53">
      <c r="A46" s="82"/>
      <c r="B46" s="9" t="s">
        <v>305</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305</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306</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306</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312</v>
      </c>
      <c r="B48" s="9" t="s">
        <v>304</v>
      </c>
      <c r="C48" s="43">
        <v>1</v>
      </c>
      <c r="D48" s="13"/>
      <c r="E48" s="13"/>
      <c r="F48" s="13"/>
      <c r="G48" s="13"/>
      <c r="H48" s="13"/>
      <c r="I48" s="13"/>
      <c r="J48" s="78"/>
      <c r="K48" s="43"/>
      <c r="L48" s="13"/>
      <c r="M48" s="13"/>
      <c r="N48" s="13"/>
      <c r="O48" s="13"/>
      <c r="P48" s="13">
        <v>1</v>
      </c>
      <c r="Q48" s="13"/>
      <c r="R48" s="78"/>
      <c r="S48" s="43"/>
      <c r="T48" s="13"/>
      <c r="U48" s="13"/>
      <c r="V48" s="13"/>
      <c r="W48" s="13"/>
      <c r="X48" s="13">
        <v>1</v>
      </c>
      <c r="Y48" s="13"/>
      <c r="Z48" s="78"/>
      <c r="AB48" s="82" t="s">
        <v>312</v>
      </c>
      <c r="AC48" s="9" t="s">
        <v>304</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v>1</v>
      </c>
    </row>
    <row r="49" spans="1:53">
      <c r="A49" s="82"/>
      <c r="B49" s="9" t="s">
        <v>305</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305</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306</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306</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155</v>
      </c>
      <c r="B51" s="80"/>
      <c r="C51" s="84">
        <v>1</v>
      </c>
      <c r="D51" s="83">
        <v>0</v>
      </c>
      <c r="E51" s="83">
        <v>0</v>
      </c>
      <c r="F51" s="83">
        <v>0</v>
      </c>
      <c r="G51" s="83">
        <v>0</v>
      </c>
      <c r="H51" s="83">
        <v>2</v>
      </c>
      <c r="I51" s="83">
        <v>0</v>
      </c>
      <c r="J51" s="83">
        <v>0</v>
      </c>
      <c r="K51" s="84">
        <v>0</v>
      </c>
      <c r="L51" s="83">
        <v>0</v>
      </c>
      <c r="M51" s="83">
        <v>0</v>
      </c>
      <c r="N51" s="83">
        <v>0</v>
      </c>
      <c r="O51" s="83">
        <v>46</v>
      </c>
      <c r="P51" s="83">
        <v>2</v>
      </c>
      <c r="Q51" s="83">
        <v>0</v>
      </c>
      <c r="R51" s="83">
        <v>0</v>
      </c>
      <c r="S51" s="84">
        <v>0</v>
      </c>
      <c r="T51" s="83">
        <v>0</v>
      </c>
      <c r="U51" s="83">
        <v>0</v>
      </c>
      <c r="V51" s="83">
        <v>0</v>
      </c>
      <c r="W51" s="83">
        <v>0</v>
      </c>
      <c r="X51" s="83">
        <v>5</v>
      </c>
      <c r="Y51" s="83">
        <v>0</v>
      </c>
      <c r="Z51" s="86">
        <v>5</v>
      </c>
      <c r="AB51" s="542" t="s">
        <v>155</v>
      </c>
      <c r="AC51" s="543"/>
      <c r="AD51" s="84">
        <v>0</v>
      </c>
      <c r="AE51" s="83">
        <v>0</v>
      </c>
      <c r="AF51" s="83">
        <v>0</v>
      </c>
      <c r="AG51" s="83">
        <v>0</v>
      </c>
      <c r="AH51" s="83">
        <v>0</v>
      </c>
      <c r="AI51" s="83">
        <v>5</v>
      </c>
      <c r="AJ51" s="83">
        <v>2</v>
      </c>
      <c r="AK51" s="83">
        <v>0</v>
      </c>
      <c r="AL51" s="84">
        <v>0</v>
      </c>
      <c r="AM51" s="83">
        <v>0</v>
      </c>
      <c r="AN51" s="83">
        <v>0</v>
      </c>
      <c r="AO51" s="83">
        <v>0</v>
      </c>
      <c r="AP51" s="83">
        <v>22</v>
      </c>
      <c r="AQ51" s="83">
        <v>0</v>
      </c>
      <c r="AR51" s="83">
        <v>1</v>
      </c>
      <c r="AS51" s="83">
        <v>3</v>
      </c>
      <c r="AT51" s="84">
        <v>1</v>
      </c>
      <c r="AU51" s="83">
        <v>0</v>
      </c>
      <c r="AV51" s="83">
        <v>0</v>
      </c>
      <c r="AW51" s="83">
        <v>0</v>
      </c>
      <c r="AX51" s="83">
        <v>66</v>
      </c>
      <c r="AY51" s="83">
        <v>3</v>
      </c>
      <c r="AZ51" s="83">
        <v>0</v>
      </c>
      <c r="BA51" s="86">
        <v>2</v>
      </c>
    </row>
    <row r="52" spans="1:53" customHeight="1" ht="15.5">
      <c r="AB52" s="540" t="s">
        <v>319</v>
      </c>
      <c r="AC52" s="541"/>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353</v>
      </c>
      <c r="AI52" s="181">
        <f>SUM(AI51+AQ51+AY51+AY25+AQ25+AI25+X25+P25+H25+H51+P51+X51)</f>
        <v>36</v>
      </c>
      <c r="AJ52" s="181">
        <f>SUM(AJ51+AR51+AZ51+AZ25+AR25+AJ25+Y51+Q51+I51+I25+Q25+Y25)</f>
        <v>4</v>
      </c>
      <c r="AK52" s="187">
        <f>SUM(BA51,AS51,AK51,Z51,R51,J51,J25,R25,Z25,AK25,AS25,BA25)</f>
        <v>36</v>
      </c>
      <c r="AL52" s="182"/>
    </row>
    <row r="56" spans="1:53" customHeight="1" ht="15"/>
    <row r="57" spans="1:53">
      <c r="C57" s="534" t="s">
        <v>320</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321</v>
      </c>
      <c r="D59" s="527"/>
      <c r="E59" s="527"/>
      <c r="F59" s="527"/>
      <c r="G59" s="527"/>
      <c r="H59" s="527"/>
      <c r="I59" s="527"/>
      <c r="J59" s="530" t="s">
        <v>322</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323</v>
      </c>
      <c r="D61" s="527"/>
      <c r="E61" s="527"/>
      <c r="F61" s="527"/>
      <c r="G61" s="527"/>
      <c r="H61" s="527"/>
      <c r="I61" s="527"/>
      <c r="J61" s="530" t="s">
        <v>322</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324</v>
      </c>
      <c r="D63" s="527"/>
      <c r="E63" s="527"/>
      <c r="F63" s="527"/>
      <c r="G63" s="527"/>
      <c r="H63" s="527"/>
      <c r="I63" s="527"/>
      <c r="J63" s="530" t="s">
        <v>322</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325</v>
      </c>
      <c r="D65" s="527"/>
      <c r="E65" s="527"/>
      <c r="F65" s="527"/>
      <c r="G65" s="527"/>
      <c r="H65" s="527"/>
      <c r="I65" s="527"/>
      <c r="J65" s="530" t="s">
        <v>322</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326</v>
      </c>
      <c r="D67" s="527"/>
      <c r="E67" s="527"/>
      <c r="F67" s="527"/>
      <c r="G67" s="527"/>
      <c r="H67" s="527"/>
      <c r="I67" s="527"/>
      <c r="J67" s="530" t="s">
        <v>327</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328</v>
      </c>
      <c r="D69" s="527"/>
      <c r="E69" s="527"/>
      <c r="F69" s="527"/>
      <c r="G69" s="527"/>
      <c r="H69" s="527"/>
      <c r="I69" s="527"/>
      <c r="J69" s="530" t="s">
        <v>329</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330</v>
      </c>
      <c r="D71" s="527"/>
      <c r="E71" s="527"/>
      <c r="F71" s="527"/>
      <c r="G71" s="527"/>
      <c r="H71" s="527"/>
      <c r="I71" s="527"/>
      <c r="J71" s="530" t="s">
        <v>329</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331</v>
      </c>
      <c r="D73" s="527"/>
      <c r="E73" s="527"/>
      <c r="F73" s="527"/>
      <c r="G73" s="527"/>
      <c r="H73" s="527"/>
      <c r="I73" s="527"/>
      <c r="J73" s="530" t="s">
        <v>322</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332</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143</v>
      </c>
      <c r="B4" s="98"/>
      <c r="C4" s="98"/>
      <c r="D4" s="99"/>
      <c r="E4" s="100"/>
      <c r="F4" s="101"/>
      <c r="G4" s="102"/>
      <c r="H4" s="570" t="s">
        <v>333</v>
      </c>
      <c r="I4" s="571"/>
      <c r="J4" s="571"/>
      <c r="K4" s="571"/>
      <c r="L4" s="571"/>
      <c r="M4" s="571"/>
      <c r="N4" s="572"/>
      <c r="O4" s="103"/>
      <c r="P4" s="103"/>
      <c r="Q4" s="103"/>
      <c r="R4" s="103"/>
      <c r="S4" s="103"/>
      <c r="T4" s="103"/>
      <c r="U4" s="103"/>
      <c r="V4" s="103"/>
      <c r="W4" s="103"/>
      <c r="X4" s="103"/>
    </row>
    <row r="5" spans="1:24" customHeight="1" ht="15.5">
      <c r="A5" s="104" t="s">
        <v>145</v>
      </c>
      <c r="B5" s="104"/>
      <c r="C5" s="104"/>
      <c r="D5" s="99"/>
      <c r="E5" s="573" t="s">
        <v>146</v>
      </c>
      <c r="F5" s="574"/>
      <c r="G5" s="574"/>
      <c r="H5" s="574"/>
      <c r="I5" s="574"/>
      <c r="J5" s="574"/>
      <c r="K5" s="575"/>
      <c r="L5" s="103"/>
      <c r="M5" s="103"/>
      <c r="N5" s="103"/>
      <c r="O5" s="103"/>
      <c r="P5" s="103"/>
      <c r="Q5" s="103"/>
      <c r="R5" s="103"/>
      <c r="S5" s="103"/>
      <c r="T5" s="103"/>
      <c r="U5" s="103"/>
      <c r="V5" s="103"/>
      <c r="W5" s="103"/>
      <c r="X5" s="103"/>
    </row>
    <row r="6" spans="1:24" customHeight="1" ht="15.5">
      <c r="A6" s="104" t="s">
        <v>147</v>
      </c>
      <c r="B6" s="104"/>
      <c r="C6" s="104"/>
      <c r="D6" s="99"/>
      <c r="E6" s="573" t="s">
        <v>148</v>
      </c>
      <c r="F6" s="574"/>
      <c r="G6" s="574"/>
      <c r="H6" s="574"/>
      <c r="I6" s="574"/>
      <c r="J6" s="574"/>
      <c r="K6" s="575"/>
      <c r="L6" s="103"/>
      <c r="M6" s="103"/>
      <c r="N6" s="103"/>
      <c r="O6" s="103"/>
      <c r="P6" s="103"/>
      <c r="Q6" s="103"/>
      <c r="R6" s="103"/>
      <c r="S6" s="103"/>
      <c r="T6" s="103"/>
      <c r="U6" s="103"/>
      <c r="V6" s="103"/>
      <c r="W6" s="103"/>
      <c r="X6" s="103"/>
    </row>
    <row r="7" spans="1:24" customHeight="1" ht="15.5">
      <c r="A7" s="98" t="s">
        <v>334</v>
      </c>
      <c r="B7" s="104"/>
      <c r="C7" s="104"/>
      <c r="D7" s="99"/>
      <c r="E7" s="573"/>
      <c r="F7" s="574"/>
      <c r="G7" s="574"/>
      <c r="H7" s="574"/>
      <c r="I7" s="575"/>
      <c r="J7" s="103"/>
      <c r="K7" s="105" t="s">
        <v>335</v>
      </c>
      <c r="L7" s="106"/>
      <c r="M7" s="103"/>
      <c r="N7" s="103"/>
      <c r="O7" s="576" t="s">
        <v>229</v>
      </c>
      <c r="P7" s="577"/>
      <c r="Q7" s="577"/>
      <c r="R7" s="578"/>
      <c r="S7" s="105"/>
      <c r="T7" s="105"/>
      <c r="U7" s="103"/>
      <c r="V7" s="103"/>
      <c r="W7" s="103"/>
      <c r="X7" s="103"/>
    </row>
    <row r="8" spans="1:24" customHeight="1" ht="15.5">
      <c r="A8" s="98" t="s">
        <v>336</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337</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338</v>
      </c>
      <c r="B13" s="114"/>
      <c r="C13" s="115"/>
      <c r="D13" s="115"/>
      <c r="E13" s="115"/>
      <c r="F13" s="115"/>
      <c r="G13" s="116"/>
      <c r="H13" s="117" t="s">
        <v>339</v>
      </c>
      <c r="I13" s="118"/>
      <c r="J13" s="114" t="s">
        <v>340</v>
      </c>
      <c r="K13" s="115"/>
      <c r="L13" s="117" t="s">
        <v>341</v>
      </c>
      <c r="M13" s="118"/>
      <c r="N13" s="115" t="s">
        <v>342</v>
      </c>
      <c r="O13" s="119"/>
      <c r="P13" s="120" t="s">
        <v>343</v>
      </c>
      <c r="Q13" s="116"/>
      <c r="R13" s="116"/>
      <c r="S13" s="115"/>
      <c r="T13" s="115"/>
      <c r="U13" s="115"/>
      <c r="V13" s="115"/>
      <c r="W13" s="115"/>
      <c r="X13" s="121"/>
    </row>
    <row r="14" spans="1:24">
      <c r="A14" s="122"/>
      <c r="B14" s="123"/>
      <c r="C14" s="124"/>
      <c r="D14" s="124"/>
      <c r="E14" s="124"/>
      <c r="F14" s="124"/>
      <c r="G14" s="123"/>
      <c r="H14" s="125" t="s">
        <v>344</v>
      </c>
      <c r="I14" s="126"/>
      <c r="J14" s="127" t="s">
        <v>345</v>
      </c>
      <c r="K14" s="128"/>
      <c r="L14" s="125" t="s">
        <v>346</v>
      </c>
      <c r="M14" s="126"/>
      <c r="N14" s="127" t="s">
        <v>347</v>
      </c>
      <c r="O14" s="129"/>
      <c r="P14" s="130"/>
      <c r="Q14" s="131"/>
      <c r="R14" s="131"/>
      <c r="S14" s="131"/>
      <c r="T14" s="131"/>
      <c r="U14" s="131"/>
      <c r="V14" s="131"/>
      <c r="W14" s="131"/>
      <c r="X14" s="132"/>
    </row>
    <row r="15" spans="1:24">
      <c r="A15" s="624" t="s">
        <v>348</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349</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350</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351</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352</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353</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354</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355</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356</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357</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358</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359</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360</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361</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362</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363</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364</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365</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366</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367</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368</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369</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48</v>
      </c>
      <c r="B87" s="563"/>
      <c r="C87" s="564" t="s">
        <v>370</v>
      </c>
      <c r="D87" s="565"/>
      <c r="E87" s="565"/>
      <c r="F87" s="565"/>
      <c r="G87" s="565"/>
      <c r="H87" s="563"/>
      <c r="I87" s="564" t="s">
        <v>371</v>
      </c>
      <c r="J87" s="565"/>
      <c r="K87" s="565"/>
      <c r="L87" s="565"/>
      <c r="M87" s="565"/>
      <c r="N87" s="565"/>
      <c r="O87" s="565"/>
      <c r="P87" s="565"/>
      <c r="Q87" s="563"/>
      <c r="R87" s="564" t="s">
        <v>372</v>
      </c>
      <c r="S87" s="565"/>
      <c r="T87" s="565"/>
      <c r="U87" s="565"/>
      <c r="V87" s="565"/>
      <c r="W87" s="565"/>
      <c r="X87" s="566"/>
    </row>
    <row r="88" spans="1:24" customHeight="1" ht="30" s="151" customFormat="1">
      <c r="A88" s="552"/>
      <c r="B88" s="567"/>
      <c r="C88" s="554"/>
      <c r="D88" s="568"/>
      <c r="E88" s="568"/>
      <c r="F88" s="568"/>
      <c r="G88" s="568"/>
      <c r="H88" s="569"/>
      <c r="I88" s="557"/>
      <c r="J88" s="555"/>
      <c r="K88" s="555"/>
      <c r="L88" s="555"/>
      <c r="M88" s="555"/>
      <c r="N88" s="555"/>
      <c r="O88" s="555"/>
      <c r="P88" s="555"/>
      <c r="Q88" s="556"/>
      <c r="R88" s="557"/>
      <c r="S88" s="555"/>
      <c r="T88" s="555"/>
      <c r="U88" s="555"/>
      <c r="V88" s="555"/>
      <c r="W88" s="555"/>
      <c r="X88" s="558"/>
    </row>
    <row r="89" spans="1:24" customHeight="1" ht="30" s="95" customFormat="1">
      <c r="A89" s="551"/>
      <c r="B89" s="549"/>
      <c r="C89" s="547"/>
      <c r="D89" s="548"/>
      <c r="E89" s="548"/>
      <c r="F89" s="548"/>
      <c r="G89" s="548"/>
      <c r="H89" s="549"/>
      <c r="I89" s="547"/>
      <c r="J89" s="548"/>
      <c r="K89" s="548"/>
      <c r="L89" s="548"/>
      <c r="M89" s="548"/>
      <c r="N89" s="548"/>
      <c r="O89" s="548"/>
      <c r="P89" s="548"/>
      <c r="Q89" s="549"/>
      <c r="R89" s="547"/>
      <c r="S89" s="548"/>
      <c r="T89" s="548"/>
      <c r="U89" s="548"/>
      <c r="V89" s="548"/>
      <c r="W89" s="548"/>
      <c r="X89" s="550"/>
    </row>
    <row r="90" spans="1:24" customHeight="1" ht="13.5" s="95" customFormat="1">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row>
    <row r="91" spans="1:24" customHeight="1" ht="13.5" s="95" customFormat="1">
      <c r="A91" s="336"/>
      <c r="B91" s="336"/>
      <c r="C91" s="336"/>
      <c r="D91" s="336"/>
      <c r="E91" s="336"/>
      <c r="F91" s="336"/>
      <c r="G91" s="336"/>
      <c r="H91" s="336"/>
      <c r="I91" s="336"/>
      <c r="J91" s="336"/>
      <c r="K91" s="336"/>
      <c r="L91" s="336"/>
      <c r="M91" s="336"/>
      <c r="N91" s="336"/>
      <c r="O91" s="336"/>
      <c r="P91" s="336"/>
      <c r="Q91" s="336"/>
      <c r="R91" s="336"/>
      <c r="S91" s="336"/>
      <c r="T91" s="336"/>
      <c r="U91" s="336"/>
      <c r="V91" s="336"/>
      <c r="W91" s="336"/>
      <c r="X91" s="336"/>
    </row>
    <row r="92" spans="1:24" customHeight="1" ht="16" s="95" customFormat="1">
      <c r="A92" s="559" t="s">
        <v>373</v>
      </c>
      <c r="B92" s="560"/>
      <c r="C92" s="560"/>
      <c r="D92" s="560"/>
      <c r="E92" s="560"/>
      <c r="F92" s="560"/>
      <c r="G92" s="560"/>
      <c r="H92" s="560"/>
      <c r="I92" s="560"/>
      <c r="J92" s="560"/>
      <c r="K92" s="560"/>
      <c r="L92" s="560"/>
      <c r="M92" s="560"/>
      <c r="N92" s="560"/>
      <c r="O92" s="560"/>
      <c r="P92" s="560"/>
      <c r="Q92" s="560"/>
      <c r="R92" s="560"/>
      <c r="S92" s="560"/>
      <c r="T92" s="560"/>
      <c r="U92" s="560"/>
      <c r="V92" s="560"/>
      <c r="W92" s="560"/>
      <c r="X92" s="561"/>
    </row>
    <row r="93" spans="1:24" s="95" customFormat="1">
      <c r="A93" s="562" t="s">
        <v>48</v>
      </c>
      <c r="B93" s="563"/>
      <c r="C93" s="564" t="s">
        <v>370</v>
      </c>
      <c r="D93" s="565"/>
      <c r="E93" s="565"/>
      <c r="F93" s="565"/>
      <c r="G93" s="565"/>
      <c r="H93" s="563"/>
      <c r="I93" s="564" t="s">
        <v>371</v>
      </c>
      <c r="J93" s="565"/>
      <c r="K93" s="565"/>
      <c r="L93" s="565"/>
      <c r="M93" s="565"/>
      <c r="N93" s="565"/>
      <c r="O93" s="565"/>
      <c r="P93" s="565"/>
      <c r="Q93" s="563"/>
      <c r="R93" s="564" t="s">
        <v>372</v>
      </c>
      <c r="S93" s="565"/>
      <c r="T93" s="565"/>
      <c r="U93" s="565"/>
      <c r="V93" s="565"/>
      <c r="W93" s="565"/>
      <c r="X93" s="566"/>
    </row>
    <row r="94" spans="1:24" customHeight="1" ht="30" s="151" customFormat="1">
      <c r="A94" s="552" t="s">
        <v>374</v>
      </c>
      <c r="B94" s="553"/>
      <c r="C94" s="554" t="s">
        <v>375</v>
      </c>
      <c r="D94" s="555"/>
      <c r="E94" s="555"/>
      <c r="F94" s="555"/>
      <c r="G94" s="555"/>
      <c r="H94" s="556"/>
      <c r="I94" s="557" t="s">
        <v>376</v>
      </c>
      <c r="J94" s="555"/>
      <c r="K94" s="555"/>
      <c r="L94" s="555"/>
      <c r="M94" s="555"/>
      <c r="N94" s="555"/>
      <c r="O94" s="555"/>
      <c r="P94" s="555"/>
      <c r="Q94" s="556"/>
      <c r="R94" s="557" t="s">
        <v>377</v>
      </c>
      <c r="S94" s="555"/>
      <c r="T94" s="555"/>
      <c r="U94" s="555"/>
      <c r="V94" s="555"/>
      <c r="W94" s="555"/>
      <c r="X94" s="558"/>
    </row>
    <row r="95" spans="1:24" customHeight="1" ht="30">
      <c r="A95" s="552" t="s">
        <v>378</v>
      </c>
      <c r="B95" s="553"/>
      <c r="C95" s="554" t="s">
        <v>375</v>
      </c>
      <c r="D95" s="555"/>
      <c r="E95" s="555"/>
      <c r="F95" s="555"/>
      <c r="G95" s="555"/>
      <c r="H95" s="556"/>
      <c r="I95" s="557" t="s">
        <v>379</v>
      </c>
      <c r="J95" s="555"/>
      <c r="K95" s="555"/>
      <c r="L95" s="555"/>
      <c r="M95" s="555"/>
      <c r="N95" s="555"/>
      <c r="O95" s="555"/>
      <c r="P95" s="555"/>
      <c r="Q95" s="556"/>
      <c r="R95" s="557" t="s">
        <v>380</v>
      </c>
      <c r="S95" s="555"/>
      <c r="T95" s="555"/>
      <c r="U95" s="555"/>
      <c r="V95" s="555"/>
      <c r="W95" s="555"/>
      <c r="X95" s="558"/>
    </row>
    <row r="96" spans="1:24" customHeight="1" ht="30">
      <c r="A96" s="552" t="s">
        <v>381</v>
      </c>
      <c r="B96" s="553"/>
      <c r="C96" s="554" t="s">
        <v>375</v>
      </c>
      <c r="D96" s="555"/>
      <c r="E96" s="555"/>
      <c r="F96" s="555"/>
      <c r="G96" s="555"/>
      <c r="H96" s="556"/>
      <c r="I96" s="557" t="s">
        <v>382</v>
      </c>
      <c r="J96" s="555"/>
      <c r="K96" s="555"/>
      <c r="L96" s="555"/>
      <c r="M96" s="555"/>
      <c r="N96" s="555"/>
      <c r="O96" s="555"/>
      <c r="P96" s="555"/>
      <c r="Q96" s="556"/>
      <c r="R96" s="557" t="s">
        <v>383</v>
      </c>
      <c r="S96" s="555"/>
      <c r="T96" s="555"/>
      <c r="U96" s="555"/>
      <c r="V96" s="555"/>
      <c r="W96" s="555"/>
      <c r="X96" s="558"/>
    </row>
    <row r="97" spans="1:24" customHeight="1" ht="30">
      <c r="A97" s="552" t="s">
        <v>384</v>
      </c>
      <c r="B97" s="553"/>
      <c r="C97" s="554" t="s">
        <v>375</v>
      </c>
      <c r="D97" s="555"/>
      <c r="E97" s="555"/>
      <c r="F97" s="555"/>
      <c r="G97" s="555"/>
      <c r="H97" s="556"/>
      <c r="I97" s="557" t="s">
        <v>385</v>
      </c>
      <c r="J97" s="555"/>
      <c r="K97" s="555"/>
      <c r="L97" s="555"/>
      <c r="M97" s="555"/>
      <c r="N97" s="555"/>
      <c r="O97" s="555"/>
      <c r="P97" s="555"/>
      <c r="Q97" s="556"/>
      <c r="R97" s="557" t="s">
        <v>386</v>
      </c>
      <c r="S97" s="555"/>
      <c r="T97" s="555"/>
      <c r="U97" s="555"/>
      <c r="V97" s="555"/>
      <c r="W97" s="555"/>
      <c r="X97" s="558"/>
    </row>
    <row r="98" spans="1:24" customHeight="1" ht="30">
      <c r="A98" s="552" t="s">
        <v>387</v>
      </c>
      <c r="B98" s="553"/>
      <c r="C98" s="554" t="s">
        <v>375</v>
      </c>
      <c r="D98" s="555"/>
      <c r="E98" s="555"/>
      <c r="F98" s="555"/>
      <c r="G98" s="555"/>
      <c r="H98" s="556"/>
      <c r="I98" s="557" t="s">
        <v>385</v>
      </c>
      <c r="J98" s="555"/>
      <c r="K98" s="555"/>
      <c r="L98" s="555"/>
      <c r="M98" s="555"/>
      <c r="N98" s="555"/>
      <c r="O98" s="555"/>
      <c r="P98" s="555"/>
      <c r="Q98" s="556"/>
      <c r="R98" s="557" t="s">
        <v>386</v>
      </c>
      <c r="S98" s="555"/>
      <c r="T98" s="555"/>
      <c r="U98" s="555"/>
      <c r="V98" s="555"/>
      <c r="W98" s="555"/>
      <c r="X98" s="558"/>
    </row>
    <row r="99" spans="1:24" customHeight="1" ht="30">
      <c r="A99" s="552" t="s">
        <v>388</v>
      </c>
      <c r="B99" s="553"/>
      <c r="C99" s="554" t="s">
        <v>375</v>
      </c>
      <c r="D99" s="555"/>
      <c r="E99" s="555"/>
      <c r="F99" s="555"/>
      <c r="G99" s="555"/>
      <c r="H99" s="556"/>
      <c r="I99" s="557" t="s">
        <v>385</v>
      </c>
      <c r="J99" s="555"/>
      <c r="K99" s="555"/>
      <c r="L99" s="555"/>
      <c r="M99" s="555"/>
      <c r="N99" s="555"/>
      <c r="O99" s="555"/>
      <c r="P99" s="555"/>
      <c r="Q99" s="556"/>
      <c r="R99" s="557" t="s">
        <v>386</v>
      </c>
      <c r="S99" s="555"/>
      <c r="T99" s="555"/>
      <c r="U99" s="555"/>
      <c r="V99" s="555"/>
      <c r="W99" s="555"/>
      <c r="X99" s="558"/>
    </row>
    <row r="100" spans="1:24" customHeight="1" ht="30">
      <c r="A100" s="552"/>
      <c r="B100" s="553"/>
      <c r="C100" s="554"/>
      <c r="D100" s="555"/>
      <c r="E100" s="555"/>
      <c r="F100" s="555"/>
      <c r="G100" s="555"/>
      <c r="H100" s="556"/>
      <c r="I100" s="557"/>
      <c r="J100" s="555"/>
      <c r="K100" s="555"/>
      <c r="L100" s="555"/>
      <c r="M100" s="555"/>
      <c r="N100" s="555"/>
      <c r="O100" s="555"/>
      <c r="P100" s="555"/>
      <c r="Q100" s="556"/>
      <c r="R100" s="557"/>
      <c r="S100" s="555"/>
      <c r="T100" s="555"/>
      <c r="U100" s="555"/>
      <c r="V100" s="555"/>
      <c r="W100" s="555"/>
      <c r="X100" s="558"/>
    </row>
    <row r="101" spans="1:24" customHeight="1" ht="30" s="95" customFormat="1">
      <c r="A101" s="551"/>
      <c r="B101" s="549"/>
      <c r="C101" s="547"/>
      <c r="D101" s="548"/>
      <c r="E101" s="548"/>
      <c r="F101" s="548"/>
      <c r="G101" s="548"/>
      <c r="H101" s="549"/>
      <c r="I101" s="547"/>
      <c r="J101" s="548"/>
      <c r="K101" s="548"/>
      <c r="L101" s="548"/>
      <c r="M101" s="548"/>
      <c r="N101" s="548"/>
      <c r="O101" s="548"/>
      <c r="P101" s="548"/>
      <c r="Q101" s="549"/>
      <c r="R101" s="547"/>
      <c r="S101" s="548"/>
      <c r="T101" s="548"/>
      <c r="U101" s="548"/>
      <c r="V101" s="548"/>
      <c r="W101" s="548"/>
      <c r="X101" s="550"/>
    </row>
    <row r="102" spans="1:24" customHeight="1" ht="18.75" s="95" customForma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row>
    <row r="103" spans="1:24" customHeight="1" ht="12.75" s="95" customFormat="1">
      <c r="A103" s="336"/>
      <c r="B103" s="336"/>
      <c r="C103" s="336"/>
      <c r="D103" s="336"/>
      <c r="E103" s="336"/>
      <c r="F103" s="336"/>
      <c r="G103" s="336"/>
      <c r="H103" s="336"/>
      <c r="I103" s="336"/>
      <c r="J103" s="336"/>
      <c r="K103" s="336"/>
      <c r="L103" s="336"/>
      <c r="M103" s="336"/>
      <c r="N103" s="336"/>
      <c r="O103" s="336"/>
      <c r="P103" s="336"/>
      <c r="Q103" s="336"/>
      <c r="R103" s="336"/>
      <c r="S103" s="336"/>
      <c r="T103" s="336"/>
      <c r="U103" s="336"/>
      <c r="V103" s="336"/>
      <c r="W103" s="336"/>
      <c r="X103" s="336"/>
    </row>
    <row r="104" spans="1:24" customHeight="1" ht="16" s="95" customFormat="1">
      <c r="A104" s="559" t="s">
        <v>389</v>
      </c>
      <c r="B104" s="560"/>
      <c r="C104" s="560"/>
      <c r="D104" s="560"/>
      <c r="E104" s="560"/>
      <c r="F104" s="560"/>
      <c r="G104" s="560"/>
      <c r="H104" s="560"/>
      <c r="I104" s="560"/>
      <c r="J104" s="560"/>
      <c r="K104" s="560"/>
      <c r="L104" s="560"/>
      <c r="M104" s="560"/>
      <c r="N104" s="560"/>
      <c r="O104" s="560"/>
      <c r="P104" s="560"/>
      <c r="Q104" s="560"/>
      <c r="R104" s="560"/>
      <c r="S104" s="560"/>
      <c r="T104" s="560"/>
      <c r="U104" s="560"/>
      <c r="V104" s="560"/>
      <c r="W104" s="560"/>
      <c r="X104" s="561"/>
    </row>
    <row r="105" spans="1:24" s="95" customFormat="1">
      <c r="A105" s="562" t="s">
        <v>48</v>
      </c>
      <c r="B105" s="563"/>
      <c r="C105" s="564" t="s">
        <v>370</v>
      </c>
      <c r="D105" s="565"/>
      <c r="E105" s="565"/>
      <c r="F105" s="565"/>
      <c r="G105" s="565"/>
      <c r="H105" s="563"/>
      <c r="I105" s="564" t="s">
        <v>371</v>
      </c>
      <c r="J105" s="565"/>
      <c r="K105" s="565"/>
      <c r="L105" s="565"/>
      <c r="M105" s="565"/>
      <c r="N105" s="565"/>
      <c r="O105" s="565"/>
      <c r="P105" s="565"/>
      <c r="Q105" s="563"/>
      <c r="R105" s="564" t="s">
        <v>372</v>
      </c>
      <c r="S105" s="565"/>
      <c r="T105" s="565"/>
      <c r="U105" s="565"/>
      <c r="V105" s="565"/>
      <c r="W105" s="565"/>
      <c r="X105" s="566"/>
    </row>
    <row r="106" spans="1:24" customHeight="1" ht="30" s="151" customFormat="1">
      <c r="A106" s="552" t="s">
        <v>390</v>
      </c>
      <c r="B106" s="553"/>
      <c r="C106" s="554" t="s">
        <v>391</v>
      </c>
      <c r="D106" s="555"/>
      <c r="E106" s="555"/>
      <c r="F106" s="555"/>
      <c r="G106" s="555"/>
      <c r="H106" s="556"/>
      <c r="I106" s="557" t="s">
        <v>392</v>
      </c>
      <c r="J106" s="555"/>
      <c r="K106" s="555"/>
      <c r="L106" s="555"/>
      <c r="M106" s="555"/>
      <c r="N106" s="555"/>
      <c r="O106" s="555"/>
      <c r="P106" s="555"/>
      <c r="Q106" s="556"/>
      <c r="R106" s="557" t="s">
        <v>393</v>
      </c>
      <c r="S106" s="555"/>
      <c r="T106" s="555"/>
      <c r="U106" s="555"/>
      <c r="V106" s="555"/>
      <c r="W106" s="555"/>
      <c r="X106" s="558"/>
    </row>
    <row r="107" spans="1:24" customHeight="1" ht="30">
      <c r="A107" s="552" t="s">
        <v>388</v>
      </c>
      <c r="B107" s="553"/>
      <c r="C107" s="554" t="s">
        <v>375</v>
      </c>
      <c r="D107" s="555"/>
      <c r="E107" s="555"/>
      <c r="F107" s="555"/>
      <c r="G107" s="555"/>
      <c r="H107" s="556"/>
      <c r="I107" s="557" t="s">
        <v>394</v>
      </c>
      <c r="J107" s="555"/>
      <c r="K107" s="555"/>
      <c r="L107" s="555"/>
      <c r="M107" s="555"/>
      <c r="N107" s="555"/>
      <c r="O107" s="555"/>
      <c r="P107" s="555"/>
      <c r="Q107" s="556"/>
      <c r="R107" s="557" t="s">
        <v>395</v>
      </c>
      <c r="S107" s="555"/>
      <c r="T107" s="555"/>
      <c r="U107" s="555"/>
      <c r="V107" s="555"/>
      <c r="W107" s="555"/>
      <c r="X107" s="558"/>
    </row>
    <row r="108" spans="1:24" customHeight="1" ht="30">
      <c r="A108" s="552" t="s">
        <v>396</v>
      </c>
      <c r="B108" s="553"/>
      <c r="C108" s="554" t="s">
        <v>375</v>
      </c>
      <c r="D108" s="555"/>
      <c r="E108" s="555"/>
      <c r="F108" s="555"/>
      <c r="G108" s="555"/>
      <c r="H108" s="556"/>
      <c r="I108" s="557" t="s">
        <v>394</v>
      </c>
      <c r="J108" s="555"/>
      <c r="K108" s="555"/>
      <c r="L108" s="555"/>
      <c r="M108" s="555"/>
      <c r="N108" s="555"/>
      <c r="O108" s="555"/>
      <c r="P108" s="555"/>
      <c r="Q108" s="556"/>
      <c r="R108" s="557" t="s">
        <v>395</v>
      </c>
      <c r="S108" s="555"/>
      <c r="T108" s="555"/>
      <c r="U108" s="555"/>
      <c r="V108" s="555"/>
      <c r="W108" s="555"/>
      <c r="X108" s="558"/>
    </row>
    <row r="109" spans="1:24" customHeight="1" ht="30">
      <c r="A109" s="552" t="s">
        <v>397</v>
      </c>
      <c r="B109" s="553"/>
      <c r="C109" s="554" t="s">
        <v>391</v>
      </c>
      <c r="D109" s="555"/>
      <c r="E109" s="555"/>
      <c r="F109" s="555"/>
      <c r="G109" s="555"/>
      <c r="H109" s="556"/>
      <c r="I109" s="557" t="s">
        <v>398</v>
      </c>
      <c r="J109" s="555"/>
      <c r="K109" s="555"/>
      <c r="L109" s="555"/>
      <c r="M109" s="555"/>
      <c r="N109" s="555"/>
      <c r="O109" s="555"/>
      <c r="P109" s="555"/>
      <c r="Q109" s="556"/>
      <c r="R109" s="557" t="s">
        <v>399</v>
      </c>
      <c r="S109" s="555"/>
      <c r="T109" s="555"/>
      <c r="U109" s="555"/>
      <c r="V109" s="555"/>
      <c r="W109" s="555"/>
      <c r="X109" s="558"/>
    </row>
    <row r="110" spans="1:24" customHeight="1" ht="30">
      <c r="A110" s="552" t="s">
        <v>400</v>
      </c>
      <c r="B110" s="553"/>
      <c r="C110" s="554" t="s">
        <v>391</v>
      </c>
      <c r="D110" s="555"/>
      <c r="E110" s="555"/>
      <c r="F110" s="555"/>
      <c r="G110" s="555"/>
      <c r="H110" s="556"/>
      <c r="I110" s="557" t="s">
        <v>398</v>
      </c>
      <c r="J110" s="555"/>
      <c r="K110" s="555"/>
      <c r="L110" s="555"/>
      <c r="M110" s="555"/>
      <c r="N110" s="555"/>
      <c r="O110" s="555"/>
      <c r="P110" s="555"/>
      <c r="Q110" s="556"/>
      <c r="R110" s="557" t="s">
        <v>399</v>
      </c>
      <c r="S110" s="555"/>
      <c r="T110" s="555"/>
      <c r="U110" s="555"/>
      <c r="V110" s="555"/>
      <c r="W110" s="555"/>
      <c r="X110" s="558"/>
    </row>
    <row r="111" spans="1:24" customHeight="1" ht="30">
      <c r="A111" s="552" t="s">
        <v>401</v>
      </c>
      <c r="B111" s="553"/>
      <c r="C111" s="554" t="s">
        <v>391</v>
      </c>
      <c r="D111" s="555"/>
      <c r="E111" s="555"/>
      <c r="F111" s="555"/>
      <c r="G111" s="555"/>
      <c r="H111" s="556"/>
      <c r="I111" s="557" t="s">
        <v>398</v>
      </c>
      <c r="J111" s="555"/>
      <c r="K111" s="555"/>
      <c r="L111" s="555"/>
      <c r="M111" s="555"/>
      <c r="N111" s="555"/>
      <c r="O111" s="555"/>
      <c r="P111" s="555"/>
      <c r="Q111" s="556"/>
      <c r="R111" s="557" t="s">
        <v>399</v>
      </c>
      <c r="S111" s="555"/>
      <c r="T111" s="555"/>
      <c r="U111" s="555"/>
      <c r="V111" s="555"/>
      <c r="W111" s="555"/>
      <c r="X111" s="558"/>
    </row>
    <row r="112" spans="1:24" customHeight="1" ht="30">
      <c r="A112" s="552" t="s">
        <v>402</v>
      </c>
      <c r="B112" s="553"/>
      <c r="C112" s="554" t="s">
        <v>391</v>
      </c>
      <c r="D112" s="555"/>
      <c r="E112" s="555"/>
      <c r="F112" s="555"/>
      <c r="G112" s="555"/>
      <c r="H112" s="556"/>
      <c r="I112" s="557" t="s">
        <v>403</v>
      </c>
      <c r="J112" s="555"/>
      <c r="K112" s="555"/>
      <c r="L112" s="555"/>
      <c r="M112" s="555"/>
      <c r="N112" s="555"/>
      <c r="O112" s="555"/>
      <c r="P112" s="555"/>
      <c r="Q112" s="556"/>
      <c r="R112" s="557" t="s">
        <v>404</v>
      </c>
      <c r="S112" s="555"/>
      <c r="T112" s="555"/>
      <c r="U112" s="555"/>
      <c r="V112" s="555"/>
      <c r="W112" s="555"/>
      <c r="X112" s="558"/>
    </row>
    <row r="113" spans="1:24" customHeight="1" ht="30">
      <c r="A113" s="552" t="s">
        <v>405</v>
      </c>
      <c r="B113" s="553"/>
      <c r="C113" s="554" t="s">
        <v>391</v>
      </c>
      <c r="D113" s="555"/>
      <c r="E113" s="555"/>
      <c r="F113" s="555"/>
      <c r="G113" s="555"/>
      <c r="H113" s="556"/>
      <c r="I113" s="557" t="s">
        <v>403</v>
      </c>
      <c r="J113" s="555"/>
      <c r="K113" s="555"/>
      <c r="L113" s="555"/>
      <c r="M113" s="555"/>
      <c r="N113" s="555"/>
      <c r="O113" s="555"/>
      <c r="P113" s="555"/>
      <c r="Q113" s="556"/>
      <c r="R113" s="557" t="s">
        <v>404</v>
      </c>
      <c r="S113" s="555"/>
      <c r="T113" s="555"/>
      <c r="U113" s="555"/>
      <c r="V113" s="555"/>
      <c r="W113" s="555"/>
      <c r="X113" s="558"/>
    </row>
    <row r="114" spans="1:24" customHeight="1" ht="30">
      <c r="A114" s="552"/>
      <c r="B114" s="553"/>
      <c r="C114" s="554"/>
      <c r="D114" s="555"/>
      <c r="E114" s="555"/>
      <c r="F114" s="555"/>
      <c r="G114" s="555"/>
      <c r="H114" s="556"/>
      <c r="I114" s="557"/>
      <c r="J114" s="555"/>
      <c r="K114" s="555"/>
      <c r="L114" s="555"/>
      <c r="M114" s="555"/>
      <c r="N114" s="555"/>
      <c r="O114" s="555"/>
      <c r="P114" s="555"/>
      <c r="Q114" s="556"/>
      <c r="R114" s="557"/>
      <c r="S114" s="555"/>
      <c r="T114" s="555"/>
      <c r="U114" s="555"/>
      <c r="V114" s="555"/>
      <c r="W114" s="555"/>
      <c r="X114" s="558"/>
    </row>
    <row r="115" spans="1:24" customHeight="1" ht="30" s="95" customFormat="1">
      <c r="A115" s="551"/>
      <c r="B115" s="549"/>
      <c r="C115" s="547"/>
      <c r="D115" s="548"/>
      <c r="E115" s="548"/>
      <c r="F115" s="548"/>
      <c r="G115" s="548"/>
      <c r="H115" s="549"/>
      <c r="I115" s="547"/>
      <c r="J115" s="548"/>
      <c r="K115" s="548"/>
      <c r="L115" s="548"/>
      <c r="M115" s="548"/>
      <c r="N115" s="548"/>
      <c r="O115" s="548"/>
      <c r="P115" s="548"/>
      <c r="Q115" s="549"/>
      <c r="R115" s="547"/>
      <c r="S115" s="548"/>
      <c r="T115" s="548"/>
      <c r="U115" s="548"/>
      <c r="V115" s="548"/>
      <c r="W115" s="548"/>
      <c r="X115" s="550"/>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9" t="s">
        <v>421</v>
      </c>
      <c r="B118" s="560"/>
      <c r="C118" s="560"/>
      <c r="D118" s="560"/>
      <c r="E118" s="560"/>
      <c r="F118" s="560"/>
      <c r="G118" s="560"/>
      <c r="H118" s="560"/>
      <c r="I118" s="560"/>
      <c r="J118" s="560"/>
      <c r="K118" s="560"/>
      <c r="L118" s="560"/>
      <c r="M118" s="560"/>
      <c r="N118" s="560"/>
      <c r="O118" s="560"/>
      <c r="P118" s="560"/>
      <c r="Q118" s="560"/>
      <c r="R118" s="560"/>
      <c r="S118" s="560"/>
      <c r="T118" s="560"/>
      <c r="U118" s="560"/>
      <c r="V118" s="560"/>
      <c r="W118" s="560"/>
      <c r="X118" s="561"/>
    </row>
    <row r="119" spans="1:24" s="95" customFormat="1">
      <c r="A119" s="562" t="s">
        <v>48</v>
      </c>
      <c r="B119" s="563"/>
      <c r="C119" s="564" t="s">
        <v>370</v>
      </c>
      <c r="D119" s="565"/>
      <c r="E119" s="565"/>
      <c r="F119" s="565"/>
      <c r="G119" s="565"/>
      <c r="H119" s="563"/>
      <c r="I119" s="564" t="s">
        <v>371</v>
      </c>
      <c r="J119" s="565"/>
      <c r="K119" s="565"/>
      <c r="L119" s="565"/>
      <c r="M119" s="565"/>
      <c r="N119" s="565"/>
      <c r="O119" s="565"/>
      <c r="P119" s="565"/>
      <c r="Q119" s="563"/>
      <c r="R119" s="564" t="s">
        <v>372</v>
      </c>
      <c r="S119" s="565"/>
      <c r="T119" s="565"/>
      <c r="U119" s="565"/>
      <c r="V119" s="565"/>
      <c r="W119" s="565"/>
      <c r="X119" s="566"/>
    </row>
    <row r="120" spans="1:24" customHeight="1" ht="30" s="151" customFormat="1">
      <c r="A120" s="552"/>
      <c r="B120" s="553"/>
      <c r="C120" s="554"/>
      <c r="D120" s="555"/>
      <c r="E120" s="555"/>
      <c r="F120" s="555"/>
      <c r="G120" s="555"/>
      <c r="H120" s="556"/>
      <c r="I120" s="557"/>
      <c r="J120" s="555"/>
      <c r="K120" s="555"/>
      <c r="L120" s="555"/>
      <c r="M120" s="555"/>
      <c r="N120" s="555"/>
      <c r="O120" s="555"/>
      <c r="P120" s="555"/>
      <c r="Q120" s="556"/>
      <c r="R120" s="557"/>
      <c r="S120" s="555"/>
      <c r="T120" s="555"/>
      <c r="U120" s="555"/>
      <c r="V120" s="555"/>
      <c r="W120" s="555"/>
      <c r="X120" s="558"/>
    </row>
    <row r="121" spans="1:24" customHeight="1" ht="30" s="95" customFormat="1">
      <c r="A121" s="551"/>
      <c r="B121" s="549"/>
      <c r="C121" s="547"/>
      <c r="D121" s="548"/>
      <c r="E121" s="548"/>
      <c r="F121" s="548"/>
      <c r="G121" s="548"/>
      <c r="H121" s="549"/>
      <c r="I121" s="547"/>
      <c r="J121" s="548"/>
      <c r="K121" s="548"/>
      <c r="L121" s="548"/>
      <c r="M121" s="548"/>
      <c r="N121" s="548"/>
      <c r="O121" s="548"/>
      <c r="P121" s="548"/>
      <c r="Q121" s="549"/>
      <c r="R121" s="547"/>
      <c r="S121" s="548"/>
      <c r="T121" s="548"/>
      <c r="U121" s="548"/>
      <c r="V121" s="548"/>
      <c r="W121" s="548"/>
      <c r="X121" s="550"/>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9" t="s">
        <v>420</v>
      </c>
      <c r="B124" s="560"/>
      <c r="C124" s="560"/>
      <c r="D124" s="560"/>
      <c r="E124" s="560"/>
      <c r="F124" s="560"/>
      <c r="G124" s="560"/>
      <c r="H124" s="560"/>
      <c r="I124" s="560"/>
      <c r="J124" s="560"/>
      <c r="K124" s="560"/>
      <c r="L124" s="560"/>
      <c r="M124" s="560"/>
      <c r="N124" s="560"/>
      <c r="O124" s="560"/>
      <c r="P124" s="560"/>
      <c r="Q124" s="560"/>
      <c r="R124" s="560"/>
      <c r="S124" s="560"/>
      <c r="T124" s="560"/>
      <c r="U124" s="560"/>
      <c r="V124" s="560"/>
      <c r="W124" s="560"/>
      <c r="X124" s="561"/>
    </row>
    <row r="125" spans="1:24" s="95" customFormat="1">
      <c r="A125" s="562" t="s">
        <v>48</v>
      </c>
      <c r="B125" s="563"/>
      <c r="C125" s="564" t="s">
        <v>370</v>
      </c>
      <c r="D125" s="565"/>
      <c r="E125" s="565"/>
      <c r="F125" s="565"/>
      <c r="G125" s="565"/>
      <c r="H125" s="563"/>
      <c r="I125" s="564" t="s">
        <v>371</v>
      </c>
      <c r="J125" s="565"/>
      <c r="K125" s="565"/>
      <c r="L125" s="565"/>
      <c r="M125" s="565"/>
      <c r="N125" s="565"/>
      <c r="O125" s="565"/>
      <c r="P125" s="565"/>
      <c r="Q125" s="563"/>
      <c r="R125" s="564" t="s">
        <v>372</v>
      </c>
      <c r="S125" s="565"/>
      <c r="T125" s="565"/>
      <c r="U125" s="565"/>
      <c r="V125" s="565"/>
      <c r="W125" s="565"/>
      <c r="X125" s="566"/>
    </row>
    <row r="126" spans="1:24" customHeight="1" ht="30" s="151" customFormat="1">
      <c r="A126" s="552"/>
      <c r="B126" s="553"/>
      <c r="C126" s="554"/>
      <c r="D126" s="555"/>
      <c r="E126" s="555"/>
      <c r="F126" s="555"/>
      <c r="G126" s="555"/>
      <c r="H126" s="556"/>
      <c r="I126" s="557"/>
      <c r="J126" s="555"/>
      <c r="K126" s="555"/>
      <c r="L126" s="555"/>
      <c r="M126" s="555"/>
      <c r="N126" s="555"/>
      <c r="O126" s="555"/>
      <c r="P126" s="555"/>
      <c r="Q126" s="556"/>
      <c r="R126" s="557"/>
      <c r="S126" s="555"/>
      <c r="T126" s="555"/>
      <c r="U126" s="555"/>
      <c r="V126" s="555"/>
      <c r="W126" s="555"/>
      <c r="X126" s="558"/>
    </row>
    <row r="127" spans="1:24" customHeight="1" ht="30" s="151" customFormat="1">
      <c r="A127" s="552"/>
      <c r="B127" s="553"/>
      <c r="C127" s="554"/>
      <c r="D127" s="555"/>
      <c r="E127" s="555"/>
      <c r="F127" s="555"/>
      <c r="G127" s="555"/>
      <c r="H127" s="556"/>
      <c r="I127" s="557"/>
      <c r="J127" s="555"/>
      <c r="K127" s="555"/>
      <c r="L127" s="555"/>
      <c r="M127" s="555"/>
      <c r="N127" s="555"/>
      <c r="O127" s="555"/>
      <c r="P127" s="555"/>
      <c r="Q127" s="556"/>
      <c r="R127" s="557"/>
      <c r="S127" s="555"/>
      <c r="T127" s="555"/>
      <c r="U127" s="555"/>
      <c r="V127" s="555"/>
      <c r="W127" s="555"/>
      <c r="X127" s="558"/>
    </row>
    <row r="128" spans="1:24" customHeight="1" ht="30" s="95" customFormat="1">
      <c r="A128" s="551"/>
      <c r="B128" s="549"/>
      <c r="C128" s="547"/>
      <c r="D128" s="548"/>
      <c r="E128" s="548"/>
      <c r="F128" s="548"/>
      <c r="G128" s="548"/>
      <c r="H128" s="549"/>
      <c r="I128" s="547"/>
      <c r="J128" s="548"/>
      <c r="K128" s="548"/>
      <c r="L128" s="548"/>
      <c r="M128" s="548"/>
      <c r="N128" s="548"/>
      <c r="O128" s="548"/>
      <c r="P128" s="548"/>
      <c r="Q128" s="549"/>
      <c r="R128" s="547"/>
      <c r="S128" s="548"/>
      <c r="T128" s="548"/>
      <c r="U128" s="548"/>
      <c r="V128" s="548"/>
      <c r="W128" s="548"/>
      <c r="X128" s="550"/>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419</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4"/>
      <c r="B134" s="655"/>
      <c r="C134" s="656"/>
      <c r="D134" s="654" t="s">
        <v>418</v>
      </c>
      <c r="E134" s="655"/>
      <c r="F134" s="656"/>
      <c r="G134" s="654" t="s">
        <v>417</v>
      </c>
      <c r="H134" s="655"/>
      <c r="I134" s="656"/>
      <c r="J134" s="654" t="s">
        <v>416</v>
      </c>
      <c r="K134" s="655"/>
      <c r="L134" s="656"/>
      <c r="M134" s="645" t="s">
        <v>415</v>
      </c>
      <c r="N134" s="646"/>
      <c r="O134" s="647"/>
      <c r="P134" s="645" t="s">
        <v>414</v>
      </c>
      <c r="Q134" s="646"/>
      <c r="R134" s="647"/>
      <c r="S134" s="645" t="s">
        <v>413</v>
      </c>
      <c r="T134" s="646"/>
      <c r="U134" s="647"/>
      <c r="V134" s="645" t="s">
        <v>412</v>
      </c>
      <c r="W134" s="646"/>
      <c r="X134" s="647"/>
    </row>
    <row r="135" spans="1:24" customHeight="1" ht="13" s="95" customFormat="1">
      <c r="A135" s="660"/>
      <c r="B135" s="661"/>
      <c r="C135" s="662"/>
      <c r="D135" s="660"/>
      <c r="E135" s="661"/>
      <c r="F135" s="662"/>
      <c r="G135" s="660"/>
      <c r="H135" s="661"/>
      <c r="I135" s="662"/>
      <c r="J135" s="660"/>
      <c r="K135" s="661"/>
      <c r="L135" s="662"/>
      <c r="M135" s="648"/>
      <c r="N135" s="649"/>
      <c r="O135" s="650"/>
      <c r="P135" s="648"/>
      <c r="Q135" s="649"/>
      <c r="R135" s="650"/>
      <c r="S135" s="648"/>
      <c r="T135" s="649"/>
      <c r="U135" s="650"/>
      <c r="V135" s="648"/>
      <c r="W135" s="649"/>
      <c r="X135" s="650"/>
    </row>
    <row r="136" spans="1:24" customHeight="1" ht="13" s="95" customFormat="1">
      <c r="A136" s="657"/>
      <c r="B136" s="658"/>
      <c r="C136" s="659"/>
      <c r="D136" s="657"/>
      <c r="E136" s="658"/>
      <c r="F136" s="659"/>
      <c r="G136" s="657"/>
      <c r="H136" s="658"/>
      <c r="I136" s="659"/>
      <c r="J136" s="657"/>
      <c r="K136" s="658"/>
      <c r="L136" s="659"/>
      <c r="M136" s="651"/>
      <c r="N136" s="652"/>
      <c r="O136" s="653"/>
      <c r="P136" s="651"/>
      <c r="Q136" s="652"/>
      <c r="R136" s="653"/>
      <c r="S136" s="651"/>
      <c r="T136" s="652"/>
      <c r="U136" s="653"/>
      <c r="V136" s="651"/>
      <c r="W136" s="652"/>
      <c r="X136" s="653"/>
    </row>
    <row r="137" spans="1:24" customHeight="1" ht="13" s="95" customFormat="1">
      <c r="A137" s="654" t="s">
        <v>62</v>
      </c>
      <c r="B137" s="655"/>
      <c r="C137" s="656"/>
      <c r="D137" s="654"/>
      <c r="E137" s="655"/>
      <c r="F137" s="656"/>
      <c r="G137" s="654"/>
      <c r="H137" s="655"/>
      <c r="I137" s="656"/>
      <c r="J137" s="654"/>
      <c r="K137" s="655"/>
      <c r="L137" s="656"/>
      <c r="M137" s="654"/>
      <c r="N137" s="655"/>
      <c r="O137" s="656"/>
      <c r="P137" s="645"/>
      <c r="Q137" s="646"/>
      <c r="R137" s="647"/>
      <c r="S137" s="645"/>
      <c r="T137" s="646"/>
      <c r="U137" s="647"/>
      <c r="V137" s="645"/>
      <c r="W137" s="646"/>
      <c r="X137" s="647"/>
    </row>
    <row r="138" spans="1:24" customHeight="1" ht="13" s="95" customFormat="1">
      <c r="A138" s="657"/>
      <c r="B138" s="658"/>
      <c r="C138" s="659"/>
      <c r="D138" s="657"/>
      <c r="E138" s="658"/>
      <c r="F138" s="659"/>
      <c r="G138" s="657"/>
      <c r="H138" s="658"/>
      <c r="I138" s="659"/>
      <c r="J138" s="657"/>
      <c r="K138" s="658"/>
      <c r="L138" s="659"/>
      <c r="M138" s="657"/>
      <c r="N138" s="658"/>
      <c r="O138" s="659"/>
      <c r="P138" s="651"/>
      <c r="Q138" s="652"/>
      <c r="R138" s="653"/>
      <c r="S138" s="651"/>
      <c r="T138" s="652"/>
      <c r="U138" s="653"/>
      <c r="V138" s="651"/>
      <c r="W138" s="652"/>
      <c r="X138" s="653"/>
    </row>
    <row r="139" spans="1:24" customHeight="1" ht="12.75" s="95" customFormat="1">
      <c r="A139" s="654" t="s">
        <v>411</v>
      </c>
      <c r="B139" s="655"/>
      <c r="C139" s="656"/>
      <c r="D139" s="654"/>
      <c r="E139" s="655"/>
      <c r="F139" s="656"/>
      <c r="G139" s="654"/>
      <c r="H139" s="655"/>
      <c r="I139" s="656"/>
      <c r="J139" s="654"/>
      <c r="K139" s="655"/>
      <c r="L139" s="656"/>
      <c r="M139" s="654"/>
      <c r="N139" s="655"/>
      <c r="O139" s="656"/>
      <c r="P139" s="645"/>
      <c r="Q139" s="646"/>
      <c r="R139" s="647"/>
      <c r="S139" s="645"/>
      <c r="T139" s="646"/>
      <c r="U139" s="647"/>
      <c r="V139" s="645"/>
      <c r="W139" s="646"/>
      <c r="X139" s="647"/>
    </row>
    <row r="140" spans="1:24" customHeight="1" ht="13" s="95" customFormat="1">
      <c r="A140" s="657"/>
      <c r="B140" s="658"/>
      <c r="C140" s="659"/>
      <c r="D140" s="657"/>
      <c r="E140" s="658"/>
      <c r="F140" s="659"/>
      <c r="G140" s="657"/>
      <c r="H140" s="658"/>
      <c r="I140" s="659"/>
      <c r="J140" s="657"/>
      <c r="K140" s="658"/>
      <c r="L140" s="659"/>
      <c r="M140" s="657"/>
      <c r="N140" s="658"/>
      <c r="O140" s="659"/>
      <c r="P140" s="651"/>
      <c r="Q140" s="652"/>
      <c r="R140" s="653"/>
      <c r="S140" s="651"/>
      <c r="T140" s="652"/>
      <c r="U140" s="653"/>
      <c r="V140" s="651"/>
      <c r="W140" s="652"/>
      <c r="X140" s="653"/>
    </row>
    <row r="141" spans="1:24" customHeight="1" ht="13" s="95" customFormat="1">
      <c r="A141" s="654" t="s">
        <v>410</v>
      </c>
      <c r="B141" s="655"/>
      <c r="C141" s="656"/>
      <c r="D141" s="672"/>
      <c r="E141" s="673"/>
      <c r="F141" s="674"/>
      <c r="G141" s="672"/>
      <c r="H141" s="673"/>
      <c r="I141" s="674"/>
      <c r="J141" s="654"/>
      <c r="K141" s="655"/>
      <c r="L141" s="656"/>
      <c r="M141" s="654"/>
      <c r="N141" s="655"/>
      <c r="O141" s="656"/>
      <c r="P141" s="645"/>
      <c r="Q141" s="646"/>
      <c r="R141" s="647"/>
      <c r="S141" s="645"/>
      <c r="T141" s="646"/>
      <c r="U141" s="647"/>
      <c r="V141" s="645"/>
      <c r="W141" s="646"/>
      <c r="X141" s="647"/>
    </row>
    <row r="142" spans="1:24" customHeight="1" ht="13" s="95" customFormat="1">
      <c r="A142" s="657"/>
      <c r="B142" s="658"/>
      <c r="C142" s="659"/>
      <c r="D142" s="675"/>
      <c r="E142" s="676"/>
      <c r="F142" s="677"/>
      <c r="G142" s="675"/>
      <c r="H142" s="676"/>
      <c r="I142" s="677"/>
      <c r="J142" s="657"/>
      <c r="K142" s="658"/>
      <c r="L142" s="659"/>
      <c r="M142" s="657"/>
      <c r="N142" s="658"/>
      <c r="O142" s="659"/>
      <c r="P142" s="651"/>
      <c r="Q142" s="652"/>
      <c r="R142" s="653"/>
      <c r="S142" s="651"/>
      <c r="T142" s="652"/>
      <c r="U142" s="653"/>
      <c r="V142" s="651"/>
      <c r="W142" s="652"/>
      <c r="X142" s="653"/>
    </row>
    <row r="143" spans="1:24" customHeight="1" ht="13" s="95" customFormat="1">
      <c r="A143" s="654" t="s">
        <v>409</v>
      </c>
      <c r="B143" s="655"/>
      <c r="C143" s="656"/>
      <c r="D143" s="654"/>
      <c r="E143" s="655"/>
      <c r="F143" s="656"/>
      <c r="G143" s="672"/>
      <c r="H143" s="673"/>
      <c r="I143" s="674"/>
      <c r="J143" s="654"/>
      <c r="K143" s="655"/>
      <c r="L143" s="656"/>
      <c r="M143" s="654"/>
      <c r="N143" s="655"/>
      <c r="O143" s="656"/>
      <c r="P143" s="645"/>
      <c r="Q143" s="646"/>
      <c r="R143" s="647"/>
      <c r="S143" s="645"/>
      <c r="T143" s="646"/>
      <c r="U143" s="647"/>
      <c r="V143" s="645"/>
      <c r="W143" s="646"/>
      <c r="X143" s="647"/>
    </row>
    <row r="144" spans="1:24" customHeight="1" ht="13" s="95" customFormat="1">
      <c r="A144" s="657"/>
      <c r="B144" s="658"/>
      <c r="C144" s="659"/>
      <c r="D144" s="657"/>
      <c r="E144" s="658"/>
      <c r="F144" s="659"/>
      <c r="G144" s="675"/>
      <c r="H144" s="676"/>
      <c r="I144" s="677"/>
      <c r="J144" s="657"/>
      <c r="K144" s="658"/>
      <c r="L144" s="659"/>
      <c r="M144" s="657"/>
      <c r="N144" s="658"/>
      <c r="O144" s="659"/>
      <c r="P144" s="651"/>
      <c r="Q144" s="652"/>
      <c r="R144" s="653"/>
      <c r="S144" s="651"/>
      <c r="T144" s="652"/>
      <c r="U144" s="653"/>
      <c r="V144" s="651"/>
      <c r="W144" s="652"/>
      <c r="X144" s="653"/>
    </row>
    <row r="145" spans="1:24" customHeight="1" ht="13" s="95" customFormat="1">
      <c r="A145" s="654" t="s">
        <v>408</v>
      </c>
      <c r="B145" s="655"/>
      <c r="C145" s="656"/>
      <c r="D145" s="654"/>
      <c r="E145" s="655"/>
      <c r="F145" s="656"/>
      <c r="G145" s="672"/>
      <c r="H145" s="673"/>
      <c r="I145" s="674"/>
      <c r="J145" s="654"/>
      <c r="K145" s="655"/>
      <c r="L145" s="656"/>
      <c r="M145" s="654"/>
      <c r="N145" s="655"/>
      <c r="O145" s="656"/>
      <c r="P145" s="645"/>
      <c r="Q145" s="646"/>
      <c r="R145" s="647"/>
      <c r="S145" s="645"/>
      <c r="T145" s="646"/>
      <c r="U145" s="647"/>
      <c r="V145" s="645"/>
      <c r="W145" s="646"/>
      <c r="X145" s="647"/>
    </row>
    <row r="146" spans="1:24" customHeight="1" ht="13" s="95" customFormat="1">
      <c r="A146" s="657"/>
      <c r="B146" s="658"/>
      <c r="C146" s="659"/>
      <c r="D146" s="657"/>
      <c r="E146" s="658"/>
      <c r="F146" s="659"/>
      <c r="G146" s="675"/>
      <c r="H146" s="676"/>
      <c r="I146" s="677"/>
      <c r="J146" s="657"/>
      <c r="K146" s="658"/>
      <c r="L146" s="659"/>
      <c r="M146" s="657"/>
      <c r="N146" s="658"/>
      <c r="O146" s="659"/>
      <c r="P146" s="651"/>
      <c r="Q146" s="652"/>
      <c r="R146" s="653"/>
      <c r="S146" s="651"/>
      <c r="T146" s="652"/>
      <c r="U146" s="653"/>
      <c r="V146" s="651"/>
      <c r="W146" s="652"/>
      <c r="X146" s="653"/>
    </row>
    <row r="147" spans="1:24" customHeight="1" ht="13" s="95" customFormat="1">
      <c r="A147" s="654" t="s">
        <v>407</v>
      </c>
      <c r="B147" s="655"/>
      <c r="C147" s="656"/>
      <c r="D147" s="672"/>
      <c r="E147" s="673"/>
      <c r="F147" s="674"/>
      <c r="G147" s="672"/>
      <c r="H147" s="673"/>
      <c r="I147" s="674"/>
      <c r="J147" s="654"/>
      <c r="K147" s="655"/>
      <c r="L147" s="656"/>
      <c r="M147" s="654"/>
      <c r="N147" s="655"/>
      <c r="O147" s="656"/>
      <c r="P147" s="645"/>
      <c r="Q147" s="646"/>
      <c r="R147" s="647"/>
      <c r="S147" s="645"/>
      <c r="T147" s="646"/>
      <c r="U147" s="647"/>
      <c r="V147" s="645"/>
      <c r="W147" s="646"/>
      <c r="X147" s="647"/>
    </row>
    <row r="148" spans="1:24" customHeight="1" ht="13" s="95" customFormat="1">
      <c r="A148" s="657"/>
      <c r="B148" s="658"/>
      <c r="C148" s="659"/>
      <c r="D148" s="675"/>
      <c r="E148" s="676"/>
      <c r="F148" s="677"/>
      <c r="G148" s="675"/>
      <c r="H148" s="676"/>
      <c r="I148" s="677"/>
      <c r="J148" s="657"/>
      <c r="K148" s="658"/>
      <c r="L148" s="659"/>
      <c r="M148" s="657"/>
      <c r="N148" s="658"/>
      <c r="O148" s="659"/>
      <c r="P148" s="651"/>
      <c r="Q148" s="652"/>
      <c r="R148" s="653"/>
      <c r="S148" s="651"/>
      <c r="T148" s="652"/>
      <c r="U148" s="653"/>
      <c r="V148" s="651"/>
      <c r="W148" s="652"/>
      <c r="X148" s="653"/>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3" t="s">
        <v>406</v>
      </c>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5"/>
      <c r="X157" s="95"/>
    </row>
    <row r="158" spans="1:24">
      <c r="A158" s="666"/>
      <c r="B158" s="667"/>
      <c r="C158" s="667"/>
      <c r="D158" s="667"/>
      <c r="E158" s="667"/>
      <c r="F158" s="667"/>
      <c r="G158" s="667"/>
      <c r="H158" s="667"/>
      <c r="I158" s="667"/>
      <c r="J158" s="667"/>
      <c r="K158" s="667"/>
      <c r="L158" s="667"/>
      <c r="M158" s="667"/>
      <c r="N158" s="667"/>
      <c r="O158" s="667"/>
      <c r="P158" s="667"/>
      <c r="Q158" s="667"/>
      <c r="R158" s="667"/>
      <c r="S158" s="667"/>
      <c r="T158" s="667"/>
      <c r="U158" s="667"/>
      <c r="V158" s="667"/>
      <c r="W158" s="668"/>
      <c r="X158" s="95"/>
    </row>
    <row r="159" spans="1:24">
      <c r="A159" s="666"/>
      <c r="B159" s="667"/>
      <c r="C159" s="667"/>
      <c r="D159" s="667"/>
      <c r="E159" s="667"/>
      <c r="F159" s="667"/>
      <c r="G159" s="667"/>
      <c r="H159" s="667"/>
      <c r="I159" s="667"/>
      <c r="J159" s="667"/>
      <c r="K159" s="667"/>
      <c r="L159" s="667"/>
      <c r="M159" s="667"/>
      <c r="N159" s="667"/>
      <c r="O159" s="667"/>
      <c r="P159" s="667"/>
      <c r="Q159" s="667"/>
      <c r="R159" s="667"/>
      <c r="S159" s="667"/>
      <c r="T159" s="667"/>
      <c r="U159" s="667"/>
      <c r="V159" s="667"/>
      <c r="W159" s="668"/>
      <c r="X159" s="95"/>
    </row>
    <row r="160" spans="1:24">
      <c r="A160" s="666"/>
      <c r="B160" s="667"/>
      <c r="C160" s="667"/>
      <c r="D160" s="667"/>
      <c r="E160" s="667"/>
      <c r="F160" s="667"/>
      <c r="G160" s="667"/>
      <c r="H160" s="667"/>
      <c r="I160" s="667"/>
      <c r="J160" s="667"/>
      <c r="K160" s="667"/>
      <c r="L160" s="667"/>
      <c r="M160" s="667"/>
      <c r="N160" s="667"/>
      <c r="O160" s="667"/>
      <c r="P160" s="667"/>
      <c r="Q160" s="667"/>
      <c r="R160" s="667"/>
      <c r="S160" s="667"/>
      <c r="T160" s="667"/>
      <c r="U160" s="667"/>
      <c r="V160" s="667"/>
      <c r="W160" s="668"/>
      <c r="X160" s="95"/>
    </row>
    <row r="161" spans="1:24">
      <c r="A161" s="666"/>
      <c r="B161" s="667"/>
      <c r="C161" s="667"/>
      <c r="D161" s="667"/>
      <c r="E161" s="667"/>
      <c r="F161" s="667"/>
      <c r="G161" s="667"/>
      <c r="H161" s="667"/>
      <c r="I161" s="667"/>
      <c r="J161" s="667"/>
      <c r="K161" s="667"/>
      <c r="L161" s="667"/>
      <c r="M161" s="667"/>
      <c r="N161" s="667"/>
      <c r="O161" s="667"/>
      <c r="P161" s="667"/>
      <c r="Q161" s="667"/>
      <c r="R161" s="667"/>
      <c r="S161" s="667"/>
      <c r="T161" s="667"/>
      <c r="U161" s="667"/>
      <c r="V161" s="667"/>
      <c r="W161" s="668"/>
      <c r="X161" s="95"/>
    </row>
    <row r="162" spans="1:24">
      <c r="A162" s="666"/>
      <c r="B162" s="667"/>
      <c r="C162" s="667"/>
      <c r="D162" s="667"/>
      <c r="E162" s="667"/>
      <c r="F162" s="667"/>
      <c r="G162" s="667"/>
      <c r="H162" s="667"/>
      <c r="I162" s="667"/>
      <c r="J162" s="667"/>
      <c r="K162" s="667"/>
      <c r="L162" s="667"/>
      <c r="M162" s="667"/>
      <c r="N162" s="667"/>
      <c r="O162" s="667"/>
      <c r="P162" s="667"/>
      <c r="Q162" s="667"/>
      <c r="R162" s="667"/>
      <c r="S162" s="667"/>
      <c r="T162" s="667"/>
      <c r="U162" s="667"/>
      <c r="V162" s="667"/>
      <c r="W162" s="668"/>
      <c r="X162" s="95"/>
    </row>
    <row r="163" spans="1:24">
      <c r="A163" s="666"/>
      <c r="B163" s="667"/>
      <c r="C163" s="667"/>
      <c r="D163" s="667"/>
      <c r="E163" s="667"/>
      <c r="F163" s="667"/>
      <c r="G163" s="667"/>
      <c r="H163" s="667"/>
      <c r="I163" s="667"/>
      <c r="J163" s="667"/>
      <c r="K163" s="667"/>
      <c r="L163" s="667"/>
      <c r="M163" s="667"/>
      <c r="N163" s="667"/>
      <c r="O163" s="667"/>
      <c r="P163" s="667"/>
      <c r="Q163" s="667"/>
      <c r="R163" s="667"/>
      <c r="S163" s="667"/>
      <c r="T163" s="667"/>
      <c r="U163" s="667"/>
      <c r="V163" s="667"/>
      <c r="W163" s="668"/>
      <c r="X163" s="95"/>
    </row>
    <row r="164" spans="1:24">
      <c r="A164" s="666"/>
      <c r="B164" s="667"/>
      <c r="C164" s="667"/>
      <c r="D164" s="667"/>
      <c r="E164" s="667"/>
      <c r="F164" s="667"/>
      <c r="G164" s="667"/>
      <c r="H164" s="667"/>
      <c r="I164" s="667"/>
      <c r="J164" s="667"/>
      <c r="K164" s="667"/>
      <c r="L164" s="667"/>
      <c r="M164" s="667"/>
      <c r="N164" s="667"/>
      <c r="O164" s="667"/>
      <c r="P164" s="667"/>
      <c r="Q164" s="667"/>
      <c r="R164" s="667"/>
      <c r="S164" s="667"/>
      <c r="T164" s="667"/>
      <c r="U164" s="667"/>
      <c r="V164" s="667"/>
      <c r="W164" s="668"/>
      <c r="X164" s="95"/>
    </row>
    <row r="165" spans="1:24">
      <c r="A165" s="666"/>
      <c r="B165" s="667"/>
      <c r="C165" s="667"/>
      <c r="D165" s="667"/>
      <c r="E165" s="667"/>
      <c r="F165" s="667"/>
      <c r="G165" s="667"/>
      <c r="H165" s="667"/>
      <c r="I165" s="667"/>
      <c r="J165" s="667"/>
      <c r="K165" s="667"/>
      <c r="L165" s="667"/>
      <c r="M165" s="667"/>
      <c r="N165" s="667"/>
      <c r="O165" s="667"/>
      <c r="P165" s="667"/>
      <c r="Q165" s="667"/>
      <c r="R165" s="667"/>
      <c r="S165" s="667"/>
      <c r="T165" s="667"/>
      <c r="U165" s="667"/>
      <c r="V165" s="667"/>
      <c r="W165" s="668"/>
      <c r="X165" s="95"/>
    </row>
    <row r="166" spans="1:24">
      <c r="A166" s="666"/>
      <c r="B166" s="667"/>
      <c r="C166" s="667"/>
      <c r="D166" s="667"/>
      <c r="E166" s="667"/>
      <c r="F166" s="667"/>
      <c r="G166" s="667"/>
      <c r="H166" s="667"/>
      <c r="I166" s="667"/>
      <c r="J166" s="667"/>
      <c r="K166" s="667"/>
      <c r="L166" s="667"/>
      <c r="M166" s="667"/>
      <c r="N166" s="667"/>
      <c r="O166" s="667"/>
      <c r="P166" s="667"/>
      <c r="Q166" s="667"/>
      <c r="R166" s="667"/>
      <c r="S166" s="667"/>
      <c r="T166" s="667"/>
      <c r="U166" s="667"/>
      <c r="V166" s="667"/>
      <c r="W166" s="668"/>
      <c r="X166" s="95"/>
    </row>
    <row r="167" spans="1:24">
      <c r="A167" s="666"/>
      <c r="B167" s="667"/>
      <c r="C167" s="667"/>
      <c r="D167" s="667"/>
      <c r="E167" s="667"/>
      <c r="F167" s="667"/>
      <c r="G167" s="667"/>
      <c r="H167" s="667"/>
      <c r="I167" s="667"/>
      <c r="J167" s="667"/>
      <c r="K167" s="667"/>
      <c r="L167" s="667"/>
      <c r="M167" s="667"/>
      <c r="N167" s="667"/>
      <c r="O167" s="667"/>
      <c r="P167" s="667"/>
      <c r="Q167" s="667"/>
      <c r="R167" s="667"/>
      <c r="S167" s="667"/>
      <c r="T167" s="667"/>
      <c r="U167" s="667"/>
      <c r="V167" s="667"/>
      <c r="W167" s="668"/>
      <c r="X167" s="95"/>
    </row>
    <row r="168" spans="1:24">
      <c r="A168" s="669"/>
      <c r="B168" s="670"/>
      <c r="C168" s="670"/>
      <c r="D168" s="670"/>
      <c r="E168" s="670"/>
      <c r="F168" s="670"/>
      <c r="G168" s="670"/>
      <c r="H168" s="670"/>
      <c r="I168" s="670"/>
      <c r="J168" s="670"/>
      <c r="K168" s="670"/>
      <c r="L168" s="670"/>
      <c r="M168" s="670"/>
      <c r="N168" s="670"/>
      <c r="O168" s="670"/>
      <c r="P168" s="670"/>
      <c r="Q168" s="670"/>
      <c r="R168" s="670"/>
      <c r="S168" s="670"/>
      <c r="T168" s="670"/>
      <c r="U168" s="670"/>
      <c r="V168" s="670"/>
      <c r="W168" s="671"/>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101:B101"/>
    <mergeCell ref="C101:H101"/>
    <mergeCell ref="I101:Q101"/>
    <mergeCell ref="R101:X101"/>
    <mergeCell ref="A106:B106"/>
    <mergeCell ref="C106:H106"/>
    <mergeCell ref="I106:Q106"/>
    <mergeCell ref="R106:X106"/>
    <mergeCell ref="C105:H105"/>
    <mergeCell ref="I105:Q105"/>
    <mergeCell ref="R105:X105"/>
    <mergeCell ref="A102:X103"/>
    <mergeCell ref="A104:X104"/>
    <mergeCell ref="A105:B105"/>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95:B95"/>
    <mergeCell ref="C95:H95"/>
    <mergeCell ref="I95:Q95"/>
    <mergeCell ref="R95:X95"/>
    <mergeCell ref="A96:B96"/>
    <mergeCell ref="C96:H96"/>
    <mergeCell ref="I96:Q96"/>
    <mergeCell ref="R96:X96"/>
    <mergeCell ref="A97:B97"/>
    <mergeCell ref="C97:H97"/>
    <mergeCell ref="I97:Q97"/>
    <mergeCell ref="R97:X97"/>
    <mergeCell ref="A98:B98"/>
    <mergeCell ref="C98:H98"/>
    <mergeCell ref="I98:Q98"/>
    <mergeCell ref="R98:X98"/>
    <mergeCell ref="A99:B99"/>
    <mergeCell ref="C99:H99"/>
    <mergeCell ref="I99:Q99"/>
    <mergeCell ref="R99:X99"/>
    <mergeCell ref="A100:B100"/>
    <mergeCell ref="C100:H100"/>
    <mergeCell ref="I100:Q100"/>
    <mergeCell ref="R100:X100"/>
    <mergeCell ref="A107:B107"/>
    <mergeCell ref="C107:H107"/>
    <mergeCell ref="I107:Q107"/>
    <mergeCell ref="R107:X107"/>
    <mergeCell ref="A108:B108"/>
    <mergeCell ref="C108:H108"/>
    <mergeCell ref="I108:Q108"/>
    <mergeCell ref="R108:X108"/>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422</v>
      </c>
      <c r="B1" s="682"/>
      <c r="C1" s="682"/>
      <c r="E1" s="683" t="s">
        <v>423</v>
      </c>
      <c r="F1" s="685" t="s">
        <v>424</v>
      </c>
      <c r="G1" s="686"/>
      <c r="H1" s="687" t="s">
        <v>425</v>
      </c>
      <c r="I1" s="687"/>
      <c r="J1" s="687"/>
      <c r="K1" s="687"/>
      <c r="L1" s="687"/>
    </row>
    <row r="2" spans="1:12" customHeight="1" ht="15">
      <c r="E2" s="684"/>
      <c r="F2" s="156" t="s">
        <v>426</v>
      </c>
      <c r="G2" s="156" t="s">
        <v>2</v>
      </c>
      <c r="H2" s="156" t="s">
        <v>427</v>
      </c>
      <c r="I2" s="156" t="s">
        <v>428</v>
      </c>
      <c r="J2" s="156" t="s">
        <v>429</v>
      </c>
      <c r="K2" s="157" t="s">
        <v>430</v>
      </c>
      <c r="L2" s="157" t="s">
        <v>431</v>
      </c>
    </row>
    <row r="3" spans="1:12" customHeight="1" ht="36.5">
      <c r="A3" s="158" t="s">
        <v>432</v>
      </c>
      <c r="B3" s="688"/>
      <c r="C3" s="688"/>
      <c r="E3" s="159" t="s">
        <v>433</v>
      </c>
      <c r="F3" s="160"/>
      <c r="G3" s="160"/>
      <c r="H3" s="160"/>
      <c r="I3" s="160"/>
      <c r="J3" s="160"/>
      <c r="K3" s="160"/>
      <c r="L3" s="160"/>
    </row>
    <row r="4" spans="1:12" customHeight="1" ht="36.5">
      <c r="A4" s="161"/>
      <c r="E4" s="162" t="s">
        <v>434</v>
      </c>
      <c r="F4" s="160"/>
      <c r="G4" s="160"/>
      <c r="H4" s="160"/>
      <c r="I4" s="160"/>
      <c r="J4" s="160"/>
      <c r="K4" s="160"/>
      <c r="L4" s="160"/>
    </row>
    <row r="5" spans="1:12" customHeight="1" ht="24.5">
      <c r="A5" s="163" t="s">
        <v>435</v>
      </c>
      <c r="B5" s="164"/>
      <c r="C5" s="164"/>
      <c r="E5" s="162" t="s">
        <v>436</v>
      </c>
      <c r="F5" s="160"/>
      <c r="G5" s="160"/>
      <c r="H5" s="160"/>
      <c r="I5" s="160"/>
      <c r="J5" s="160"/>
      <c r="K5" s="160"/>
      <c r="L5" s="160"/>
    </row>
    <row r="6" spans="1:12" customHeight="1" ht="52.5">
      <c r="A6" s="165" t="s">
        <v>437</v>
      </c>
      <c r="B6" s="166"/>
      <c r="C6" s="166"/>
      <c r="E6" s="162" t="s">
        <v>438</v>
      </c>
      <c r="F6" s="160"/>
      <c r="G6" s="160"/>
      <c r="H6" s="160"/>
      <c r="I6" s="160"/>
      <c r="J6" s="160"/>
      <c r="K6" s="160"/>
      <c r="L6" s="160"/>
    </row>
    <row r="7" spans="1:12" customHeight="1" ht="36.5">
      <c r="A7" s="161"/>
      <c r="E7" s="162" t="s">
        <v>439</v>
      </c>
      <c r="F7" s="160"/>
      <c r="G7" s="160"/>
      <c r="H7" s="160"/>
      <c r="I7" s="160"/>
      <c r="J7" s="160"/>
      <c r="K7" s="160"/>
      <c r="L7" s="160"/>
    </row>
    <row r="8" spans="1:12" customHeight="1" ht="24.5">
      <c r="A8" s="681" t="s">
        <v>440</v>
      </c>
      <c r="B8" s="681"/>
      <c r="C8" s="681"/>
      <c r="E8" s="162" t="s">
        <v>441</v>
      </c>
      <c r="F8" s="160"/>
      <c r="G8" s="160"/>
      <c r="H8" s="160"/>
      <c r="I8" s="160"/>
      <c r="J8" s="160"/>
      <c r="K8" s="160"/>
      <c r="L8" s="160"/>
    </row>
    <row r="9" spans="1:12" customHeight="1" ht="24.5">
      <c r="A9" s="680" t="s">
        <v>442</v>
      </c>
      <c r="B9" s="680"/>
      <c r="C9" s="680"/>
      <c r="E9" s="162" t="s">
        <v>443</v>
      </c>
      <c r="F9" s="160"/>
      <c r="G9" s="160"/>
      <c r="H9" s="160"/>
      <c r="I9" s="160"/>
      <c r="J9" s="160"/>
      <c r="K9" s="160"/>
      <c r="L9" s="160"/>
    </row>
    <row r="10" spans="1:12" customHeight="1" ht="24.5">
      <c r="A10" s="680" t="s">
        <v>444</v>
      </c>
      <c r="B10" s="680"/>
      <c r="C10" s="680"/>
      <c r="E10" s="162" t="s">
        <v>445</v>
      </c>
      <c r="F10" s="160"/>
      <c r="G10" s="160"/>
      <c r="H10" s="160"/>
      <c r="I10" s="160"/>
      <c r="J10" s="160"/>
      <c r="K10" s="160"/>
      <c r="L10" s="160"/>
    </row>
    <row r="11" spans="1:12" customHeight="1" ht="36.75">
      <c r="A11" s="679" t="s">
        <v>446</v>
      </c>
      <c r="B11" s="679"/>
      <c r="C11" s="679"/>
      <c r="E11" s="162" t="s">
        <v>447</v>
      </c>
      <c r="F11" s="160"/>
      <c r="G11" s="160"/>
      <c r="H11" s="160"/>
      <c r="I11" s="160"/>
      <c r="J11" s="160"/>
      <c r="K11" s="160"/>
      <c r="L11" s="160"/>
    </row>
    <row r="12" spans="1:12" customHeight="1" ht="48.5">
      <c r="A12" s="679"/>
      <c r="B12" s="679"/>
      <c r="C12" s="679"/>
      <c r="E12" s="162" t="s">
        <v>448</v>
      </c>
      <c r="F12" s="160"/>
      <c r="G12" s="160"/>
      <c r="H12" s="160"/>
      <c r="I12" s="160"/>
      <c r="J12" s="160"/>
      <c r="K12" s="160"/>
      <c r="L12" s="160"/>
    </row>
    <row r="13" spans="1:12" customHeight="1" ht="24.5">
      <c r="A13" s="680" t="s">
        <v>449</v>
      </c>
      <c r="B13" s="680"/>
      <c r="C13" s="680"/>
      <c r="E13" s="162" t="s">
        <v>450</v>
      </c>
      <c r="F13" s="160"/>
      <c r="G13" s="160"/>
      <c r="H13" s="160"/>
      <c r="I13" s="160"/>
      <c r="J13" s="160"/>
      <c r="K13" s="160"/>
      <c r="L13" s="160"/>
    </row>
    <row r="14" spans="1:12" customHeight="1" ht="24.5">
      <c r="A14" s="679" t="s">
        <v>451</v>
      </c>
      <c r="B14" s="679"/>
      <c r="C14" s="679"/>
      <c r="E14" s="162" t="s">
        <v>452</v>
      </c>
      <c r="F14" s="160"/>
      <c r="G14" s="160"/>
      <c r="H14" s="160"/>
      <c r="I14" s="160"/>
      <c r="J14" s="160"/>
      <c r="K14" s="160"/>
      <c r="L14" s="160"/>
    </row>
    <row r="15" spans="1:12" customHeight="1" ht="24.5">
      <c r="A15" s="167"/>
      <c r="E15" s="162" t="s">
        <v>453</v>
      </c>
      <c r="F15" s="160"/>
      <c r="G15" s="160"/>
      <c r="H15" s="160"/>
      <c r="I15" s="160"/>
      <c r="J15" s="160"/>
      <c r="K15" s="160"/>
      <c r="L15" s="160"/>
    </row>
    <row r="16" spans="1:12" customHeight="1" ht="24.5">
      <c r="A16" s="678" t="s">
        <v>454</v>
      </c>
      <c r="B16" s="678"/>
      <c r="C16" s="678"/>
      <c r="E16" s="162" t="s">
        <v>455</v>
      </c>
      <c r="F16" s="160"/>
      <c r="G16" s="160"/>
      <c r="H16" s="160"/>
      <c r="I16" s="160"/>
      <c r="J16" s="160"/>
      <c r="K16" s="160"/>
      <c r="L16" s="160"/>
    </row>
    <row r="17" spans="1:12" customHeight="1" ht="36.5">
      <c r="A17" s="679" t="s">
        <v>456</v>
      </c>
      <c r="B17" s="679"/>
      <c r="C17" s="679"/>
      <c r="E17" s="162" t="s">
        <v>457</v>
      </c>
      <c r="F17" s="160"/>
      <c r="G17" s="160"/>
      <c r="H17" s="160"/>
      <c r="I17" s="160"/>
      <c r="J17" s="160"/>
      <c r="K17" s="160"/>
      <c r="L17" s="160"/>
    </row>
    <row r="18" spans="1:12" customHeight="1" ht="24.5">
      <c r="A18" s="679" t="s">
        <v>458</v>
      </c>
      <c r="B18" s="679"/>
      <c r="C18" s="679"/>
      <c r="E18" s="162" t="s">
        <v>459</v>
      </c>
      <c r="F18" s="160"/>
      <c r="G18" s="160"/>
      <c r="H18" s="160"/>
      <c r="I18" s="160"/>
      <c r="J18" s="160"/>
      <c r="K18" s="160"/>
      <c r="L18" s="160"/>
    </row>
    <row r="19" spans="1:12" customHeight="1" ht="15">
      <c r="A19" s="167"/>
      <c r="E19" s="162" t="s">
        <v>460</v>
      </c>
      <c r="F19" s="160"/>
      <c r="G19" s="160"/>
      <c r="H19" s="160"/>
      <c r="I19" s="160"/>
      <c r="J19" s="160"/>
      <c r="K19" s="160"/>
      <c r="L19" s="160"/>
    </row>
    <row r="20" spans="1:12" customHeight="1" ht="24.5">
      <c r="A20" s="678" t="s">
        <v>461</v>
      </c>
      <c r="B20" s="678"/>
      <c r="C20" s="678"/>
      <c r="E20" s="168" t="s">
        <v>462</v>
      </c>
      <c r="F20" s="160"/>
      <c r="G20" s="160"/>
      <c r="H20" s="160"/>
      <c r="I20" s="160"/>
      <c r="J20" s="160"/>
      <c r="K20" s="160"/>
      <c r="L20" s="160"/>
    </row>
    <row r="21" spans="1:12" customHeight="1" ht="36.5">
      <c r="A21" s="679" t="s">
        <v>463</v>
      </c>
      <c r="B21" s="679"/>
      <c r="C21" s="679"/>
      <c r="E21" s="169" t="s">
        <v>464</v>
      </c>
      <c r="F21" s="160"/>
      <c r="G21" s="160"/>
      <c r="H21" s="160"/>
      <c r="I21" s="160"/>
      <c r="J21" s="160"/>
      <c r="K21" s="160"/>
      <c r="L21" s="160"/>
    </row>
    <row r="22" spans="1:12">
      <c r="A22" s="167"/>
      <c r="E22" s="170"/>
      <c r="F22" s="170"/>
      <c r="G22" s="170"/>
      <c r="H22" s="170"/>
      <c r="I22" s="170"/>
      <c r="J22" s="170"/>
    </row>
    <row r="23" spans="1:12">
      <c r="A23" s="678" t="s">
        <v>465</v>
      </c>
      <c r="B23" s="678"/>
      <c r="C23" s="678"/>
      <c r="E23" s="170"/>
      <c r="F23" s="170"/>
      <c r="G23" s="170"/>
      <c r="H23" s="170"/>
      <c r="I23" s="170"/>
      <c r="J23" s="170"/>
    </row>
    <row r="24" spans="1:12">
      <c r="A24" s="679" t="s">
        <v>466</v>
      </c>
      <c r="B24" s="679"/>
      <c r="C24" s="679"/>
      <c r="E24" s="689" t="s">
        <v>467</v>
      </c>
      <c r="F24" s="689"/>
      <c r="G24" s="171"/>
      <c r="H24" s="171"/>
      <c r="I24" s="171"/>
      <c r="J24" s="171"/>
    </row>
    <row r="25" spans="1:12">
      <c r="A25" s="679" t="s">
        <v>468</v>
      </c>
      <c r="B25" s="679"/>
      <c r="C25" s="679"/>
      <c r="E25" s="690"/>
      <c r="F25" s="690"/>
      <c r="G25" s="690"/>
      <c r="H25" s="690"/>
      <c r="I25" s="690"/>
      <c r="J25" s="690"/>
    </row>
    <row r="26" spans="1:12">
      <c r="A26" s="679" t="s">
        <v>469</v>
      </c>
      <c r="B26" s="679"/>
      <c r="C26" s="679"/>
      <c r="E26" s="690"/>
      <c r="F26" s="690"/>
      <c r="G26" s="690"/>
      <c r="H26" s="690"/>
      <c r="I26" s="690"/>
      <c r="J26" s="690"/>
    </row>
    <row r="27" spans="1:12" customHeight="1" ht="27">
      <c r="A27" s="679" t="s">
        <v>470</v>
      </c>
      <c r="B27" s="679"/>
      <c r="C27" s="679"/>
      <c r="E27" s="690"/>
      <c r="F27" s="690"/>
      <c r="G27" s="690"/>
      <c r="H27" s="690"/>
      <c r="I27" s="690"/>
      <c r="J27" s="690"/>
    </row>
    <row r="28" spans="1:12">
      <c r="A28" s="679" t="s">
        <v>471</v>
      </c>
      <c r="B28" s="679"/>
      <c r="C28" s="679"/>
      <c r="E28" s="170"/>
      <c r="F28" s="170"/>
      <c r="G28" s="170"/>
      <c r="H28" s="170"/>
      <c r="I28" s="170"/>
      <c r="J28" s="170"/>
    </row>
    <row r="29" spans="1:12">
      <c r="A29" s="679" t="s">
        <v>472</v>
      </c>
      <c r="B29" s="679"/>
      <c r="C29" s="679"/>
      <c r="E29" s="689" t="s">
        <v>473</v>
      </c>
      <c r="F29" s="689"/>
      <c r="G29" s="171"/>
      <c r="H29" s="171"/>
      <c r="I29" s="171"/>
      <c r="J29" s="171"/>
    </row>
    <row r="30" spans="1:12">
      <c r="A30" s="167"/>
      <c r="E30" s="690"/>
      <c r="F30" s="690"/>
      <c r="G30" s="690"/>
      <c r="H30" s="690"/>
      <c r="I30" s="690"/>
      <c r="J30" s="690"/>
    </row>
    <row r="31" spans="1:12">
      <c r="A31" s="678" t="s">
        <v>474</v>
      </c>
      <c r="B31" s="678"/>
      <c r="C31" s="678"/>
      <c r="E31" s="690"/>
      <c r="F31" s="690"/>
      <c r="G31" s="690"/>
      <c r="H31" s="690"/>
      <c r="I31" s="690"/>
      <c r="J31" s="690"/>
    </row>
    <row r="32" spans="1:12">
      <c r="A32" s="679" t="s">
        <v>475</v>
      </c>
      <c r="B32" s="679"/>
      <c r="C32" s="679"/>
      <c r="E32" s="690"/>
      <c r="F32" s="690"/>
      <c r="G32" s="690"/>
      <c r="H32" s="690"/>
      <c r="I32" s="690"/>
      <c r="J32" s="690"/>
    </row>
    <row r="33" spans="1:12">
      <c r="A33" s="679" t="s">
        <v>476</v>
      </c>
      <c r="B33" s="679"/>
      <c r="C33" s="679"/>
      <c r="E33" s="172"/>
      <c r="F33" s="172"/>
      <c r="G33" s="172"/>
      <c r="H33" s="172"/>
      <c r="I33" s="172"/>
      <c r="J33" s="172"/>
    </row>
    <row r="34" spans="1:12">
      <c r="A34" s="679" t="s">
        <v>477</v>
      </c>
      <c r="B34" s="679"/>
      <c r="C34" s="679"/>
      <c r="E34" s="689" t="s">
        <v>478</v>
      </c>
      <c r="F34" s="689"/>
      <c r="G34" s="171"/>
      <c r="H34" s="171"/>
      <c r="I34" s="171"/>
      <c r="J34" s="171"/>
    </row>
    <row r="35" spans="1:12">
      <c r="A35" s="679" t="s">
        <v>479</v>
      </c>
      <c r="B35" s="679"/>
      <c r="C35" s="679"/>
      <c r="E35" s="690"/>
      <c r="F35" s="690"/>
      <c r="G35" s="690"/>
      <c r="H35" s="690"/>
      <c r="I35" s="690"/>
      <c r="J35" s="690"/>
    </row>
    <row r="36" spans="1:12">
      <c r="A36" s="167"/>
      <c r="E36" s="690"/>
      <c r="F36" s="690"/>
      <c r="G36" s="690"/>
      <c r="H36" s="690"/>
      <c r="I36" s="690"/>
      <c r="J36" s="690"/>
    </row>
    <row r="37" spans="1:12">
      <c r="A37" s="678" t="s">
        <v>480</v>
      </c>
      <c r="B37" s="678"/>
      <c r="C37" s="678"/>
      <c r="E37" s="690"/>
      <c r="F37" s="690"/>
      <c r="G37" s="690"/>
      <c r="H37" s="690"/>
      <c r="I37" s="690"/>
      <c r="J37" s="690"/>
    </row>
    <row r="38" spans="1:12" customHeight="1" ht="30.75">
      <c r="A38" s="679" t="s">
        <v>481</v>
      </c>
      <c r="B38" s="679"/>
      <c r="C38" s="679"/>
      <c r="E38" s="171"/>
      <c r="F38" s="171"/>
      <c r="G38" s="171"/>
      <c r="H38" s="171"/>
      <c r="I38" s="171"/>
      <c r="J38" s="171"/>
    </row>
    <row r="39" spans="1:12">
      <c r="A39" s="679" t="s">
        <v>482</v>
      </c>
      <c r="B39" s="679"/>
      <c r="C39" s="679"/>
      <c r="E39" s="689" t="s">
        <v>483</v>
      </c>
      <c r="F39" s="689"/>
      <c r="G39" s="171"/>
      <c r="H39" s="171"/>
      <c r="I39" s="171"/>
      <c r="J39" s="171"/>
    </row>
    <row r="40" spans="1:12">
      <c r="A40" s="679" t="s">
        <v>484</v>
      </c>
      <c r="B40" s="679"/>
      <c r="C40" s="679"/>
      <c r="E40" s="690"/>
      <c r="F40" s="690"/>
      <c r="G40" s="690"/>
      <c r="H40" s="690"/>
      <c r="I40" s="690"/>
      <c r="J40" s="690"/>
    </row>
    <row r="41" spans="1:12">
      <c r="A41" s="679" t="s">
        <v>485</v>
      </c>
      <c r="B41" s="679"/>
      <c r="C41" s="679"/>
      <c r="E41" s="690"/>
      <c r="F41" s="690"/>
      <c r="G41" s="690"/>
      <c r="H41" s="690"/>
      <c r="I41" s="690"/>
      <c r="J41" s="690"/>
    </row>
    <row r="42" spans="1:12">
      <c r="A42" s="679" t="s">
        <v>486</v>
      </c>
      <c r="B42" s="679"/>
      <c r="C42" s="679"/>
      <c r="E42" s="690"/>
      <c r="F42" s="690"/>
      <c r="G42" s="690"/>
      <c r="H42" s="690"/>
      <c r="I42" s="690"/>
      <c r="J42" s="690"/>
    </row>
    <row r="43" spans="1:12" customHeight="1" ht="25.5">
      <c r="A43" s="679" t="s">
        <v>487</v>
      </c>
      <c r="B43" s="679"/>
      <c r="C43" s="679"/>
      <c r="E43" s="171"/>
      <c r="F43" s="171"/>
      <c r="G43" s="171"/>
      <c r="H43" s="171"/>
      <c r="I43" s="171"/>
      <c r="J43" s="171"/>
    </row>
    <row r="44" spans="1:12">
      <c r="A44" s="679" t="s">
        <v>488</v>
      </c>
      <c r="B44" s="679"/>
      <c r="C44" s="679"/>
      <c r="E44" s="689" t="s">
        <v>489</v>
      </c>
      <c r="F44" s="689"/>
      <c r="G44" s="171"/>
      <c r="H44" s="171"/>
      <c r="I44" s="171"/>
      <c r="J44" s="171"/>
    </row>
    <row r="45" spans="1:12">
      <c r="E45" s="690"/>
      <c r="F45" s="690"/>
      <c r="G45" s="690"/>
      <c r="H45" s="690"/>
      <c r="I45" s="690"/>
      <c r="J45" s="690"/>
    </row>
    <row r="46" spans="1:12">
      <c r="A46" s="678" t="s">
        <v>490</v>
      </c>
      <c r="B46" s="678"/>
      <c r="C46" s="678"/>
      <c r="E46" s="690"/>
      <c r="F46" s="690"/>
      <c r="G46" s="690"/>
      <c r="H46" s="690"/>
      <c r="I46" s="690"/>
      <c r="J46" s="690"/>
    </row>
    <row r="47" spans="1:12">
      <c r="A47" s="679" t="s">
        <v>491</v>
      </c>
      <c r="B47" s="679"/>
      <c r="C47" s="679"/>
      <c r="E47" s="690"/>
      <c r="F47" s="690"/>
      <c r="G47" s="690"/>
      <c r="H47" s="690"/>
      <c r="I47" s="690"/>
      <c r="J47" s="690"/>
    </row>
    <row r="48" spans="1:12">
      <c r="A48" s="679" t="s">
        <v>492</v>
      </c>
      <c r="B48" s="679"/>
      <c r="C48" s="679"/>
      <c r="E48" s="171"/>
      <c r="F48" s="171"/>
      <c r="G48" s="171"/>
      <c r="H48" s="171"/>
      <c r="I48" s="171"/>
      <c r="J48" s="171"/>
    </row>
    <row r="49" spans="1:12">
      <c r="A49" s="167"/>
      <c r="E49" s="173"/>
      <c r="F49" s="173"/>
      <c r="G49" s="173"/>
      <c r="H49" s="173"/>
      <c r="I49" s="173"/>
      <c r="J49" s="173"/>
    </row>
    <row r="50" spans="1:12">
      <c r="A50" s="678" t="s">
        <v>493</v>
      </c>
      <c r="B50" s="678"/>
      <c r="C50" s="678"/>
      <c r="E50" s="174"/>
      <c r="F50" s="174"/>
      <c r="G50" s="174"/>
      <c r="H50" s="174"/>
      <c r="I50" s="174"/>
      <c r="J50" s="174"/>
    </row>
    <row r="51" spans="1:12">
      <c r="A51" s="680" t="s">
        <v>494</v>
      </c>
      <c r="B51" s="680"/>
      <c r="C51" s="680"/>
      <c r="E51" s="174"/>
      <c r="F51" s="174"/>
      <c r="G51" s="174"/>
      <c r="H51" s="174"/>
      <c r="I51" s="174"/>
      <c r="J51" s="174"/>
    </row>
    <row r="52" spans="1:12" customHeight="1" ht="25.5">
      <c r="A52" s="680" t="s">
        <v>495</v>
      </c>
      <c r="B52" s="680"/>
      <c r="C52" s="680"/>
      <c r="E52" s="174"/>
      <c r="F52" s="174"/>
      <c r="G52" s="174"/>
      <c r="H52" s="174"/>
      <c r="I52" s="174"/>
      <c r="J52" s="174"/>
    </row>
    <row r="53" spans="1:12">
      <c r="A53" s="680" t="s">
        <v>496</v>
      </c>
      <c r="B53" s="680"/>
      <c r="C53" s="680"/>
      <c r="E53" s="174"/>
      <c r="F53" s="174"/>
      <c r="G53" s="174"/>
      <c r="H53" s="174"/>
      <c r="I53" s="174"/>
      <c r="J53" s="174"/>
    </row>
    <row r="54" spans="1:12">
      <c r="A54" s="680" t="s">
        <v>497</v>
      </c>
      <c r="B54" s="680"/>
      <c r="C54" s="680"/>
      <c r="E54" s="173"/>
      <c r="F54" s="173"/>
      <c r="G54" s="173"/>
      <c r="H54" s="173"/>
      <c r="I54" s="173"/>
      <c r="J54" s="173"/>
    </row>
    <row r="55" spans="1:12">
      <c r="A55" s="680" t="s">
        <v>498</v>
      </c>
      <c r="B55" s="680"/>
      <c r="C55" s="680"/>
      <c r="E55" s="174"/>
      <c r="F55" s="174"/>
      <c r="G55" s="174"/>
      <c r="H55" s="174"/>
      <c r="I55" s="174"/>
      <c r="J55" s="174"/>
    </row>
    <row r="56" spans="1:12">
      <c r="A56" s="680" t="s">
        <v>499</v>
      </c>
      <c r="B56" s="680"/>
      <c r="C56" s="680"/>
      <c r="E56" s="174"/>
      <c r="F56" s="174"/>
      <c r="G56" s="174"/>
      <c r="H56" s="174"/>
      <c r="I56" s="174"/>
      <c r="J56" s="174"/>
    </row>
    <row r="57" spans="1:12">
      <c r="A57" s="680" t="s">
        <v>500</v>
      </c>
      <c r="B57" s="680"/>
      <c r="C57" s="680"/>
      <c r="E57" s="174"/>
      <c r="F57" s="174"/>
      <c r="G57" s="174"/>
      <c r="H57" s="174"/>
      <c r="I57" s="174"/>
      <c r="J57" s="174"/>
    </row>
    <row r="58" spans="1:12">
      <c r="A58" s="680" t="s">
        <v>501</v>
      </c>
      <c r="B58" s="680"/>
      <c r="C58" s="680"/>
      <c r="E58" s="174"/>
      <c r="F58" s="174"/>
      <c r="G58" s="174"/>
      <c r="H58" s="174"/>
      <c r="I58" s="174"/>
      <c r="J58" s="174"/>
    </row>
    <row r="59" spans="1:12">
      <c r="A59" s="167"/>
      <c r="E59" s="173"/>
      <c r="F59" s="173"/>
      <c r="G59" s="173"/>
      <c r="H59" s="173"/>
      <c r="I59" s="173"/>
      <c r="J59" s="173"/>
    </row>
    <row r="60" spans="1:12">
      <c r="A60" s="678" t="s">
        <v>502</v>
      </c>
      <c r="B60" s="678"/>
      <c r="C60" s="678"/>
      <c r="E60" s="174"/>
      <c r="F60" s="174"/>
      <c r="G60" s="174"/>
      <c r="H60" s="174"/>
      <c r="I60" s="174"/>
      <c r="J60" s="174"/>
    </row>
    <row r="61" spans="1:12" customHeight="1" ht="23.25">
      <c r="A61" s="679" t="s">
        <v>503</v>
      </c>
      <c r="B61" s="679"/>
      <c r="C61" s="679"/>
      <c r="E61" s="174"/>
      <c r="F61" s="174"/>
      <c r="G61" s="174"/>
      <c r="H61" s="174"/>
      <c r="I61" s="174"/>
      <c r="J61" s="174"/>
    </row>
    <row r="62" spans="1:12">
      <c r="A62" s="167"/>
      <c r="E62" s="174"/>
      <c r="F62" s="174"/>
      <c r="G62" s="174"/>
      <c r="H62" s="174"/>
      <c r="I62" s="174"/>
      <c r="J62" s="174"/>
    </row>
    <row r="63" spans="1:12">
      <c r="A63" s="678" t="s">
        <v>504</v>
      </c>
      <c r="B63" s="678"/>
      <c r="C63" s="678"/>
      <c r="E63" s="174"/>
      <c r="F63" s="174"/>
      <c r="G63" s="174"/>
      <c r="H63" s="174"/>
      <c r="I63" s="174"/>
      <c r="J63" s="174"/>
    </row>
    <row r="64" spans="1:12">
      <c r="A64" s="679" t="s">
        <v>505</v>
      </c>
      <c r="B64" s="679"/>
      <c r="C64" s="679"/>
      <c r="E64" s="173"/>
      <c r="F64" s="173"/>
      <c r="G64" s="173"/>
      <c r="H64" s="173"/>
      <c r="I64" s="173"/>
      <c r="J64" s="173"/>
    </row>
    <row r="65" spans="1:12">
      <c r="A65" s="680" t="s">
        <v>506</v>
      </c>
      <c r="B65" s="680"/>
      <c r="C65" s="680"/>
      <c r="E65" s="174"/>
      <c r="F65" s="174"/>
      <c r="G65" s="174"/>
      <c r="H65" s="174"/>
      <c r="I65" s="174"/>
      <c r="J65" s="174"/>
    </row>
    <row r="66" spans="1:12">
      <c r="A66" s="167"/>
      <c r="E66" s="174"/>
      <c r="F66" s="174"/>
      <c r="G66" s="174"/>
      <c r="H66" s="174"/>
      <c r="I66" s="174"/>
      <c r="J66" s="174"/>
    </row>
    <row r="67" spans="1:12">
      <c r="A67" s="678" t="s">
        <v>507</v>
      </c>
      <c r="B67" s="678"/>
      <c r="C67" s="678"/>
      <c r="E67" s="174"/>
      <c r="F67" s="174"/>
      <c r="G67" s="174"/>
      <c r="H67" s="174"/>
      <c r="I67" s="174"/>
      <c r="J67" s="174"/>
    </row>
    <row r="68" spans="1:12" customHeight="1" ht="15.75">
      <c r="A68" s="679" t="s">
        <v>508</v>
      </c>
      <c r="B68" s="679"/>
      <c r="C68" s="679"/>
      <c r="E68" s="174"/>
      <c r="F68" s="174"/>
      <c r="G68" s="174"/>
      <c r="H68" s="174"/>
      <c r="I68" s="174"/>
      <c r="J68" s="174"/>
    </row>
    <row r="69" spans="1:12">
      <c r="A69" s="679" t="s">
        <v>509</v>
      </c>
      <c r="B69" s="679"/>
      <c r="C69" s="679"/>
      <c r="E69" s="173"/>
      <c r="F69" s="173"/>
      <c r="G69" s="173"/>
      <c r="H69" s="173"/>
      <c r="I69" s="173"/>
      <c r="J69" s="173"/>
    </row>
    <row r="70" spans="1:12" customHeight="1" ht="26.25">
      <c r="A70" s="679" t="s">
        <v>510</v>
      </c>
      <c r="B70" s="679"/>
      <c r="C70" s="679"/>
      <c r="E70" s="174"/>
      <c r="F70" s="174"/>
      <c r="G70" s="174"/>
      <c r="H70" s="174"/>
      <c r="I70" s="174"/>
      <c r="J70" s="174"/>
    </row>
    <row r="71" spans="1:12">
      <c r="A71" s="679" t="s">
        <v>511</v>
      </c>
      <c r="B71" s="679"/>
      <c r="C71" s="679"/>
      <c r="E71" s="174"/>
      <c r="F71" s="174"/>
      <c r="G71" s="174"/>
      <c r="H71" s="174"/>
      <c r="I71" s="174"/>
      <c r="J71" s="174"/>
    </row>
    <row r="72" spans="1:12">
      <c r="A72" s="679" t="s">
        <v>512</v>
      </c>
      <c r="B72" s="679"/>
      <c r="C72" s="679"/>
      <c r="E72" s="174"/>
      <c r="F72" s="174"/>
      <c r="G72" s="174"/>
      <c r="H72" s="174"/>
      <c r="I72" s="174"/>
      <c r="J72" s="174"/>
    </row>
    <row r="73" spans="1:12">
      <c r="A73" s="167"/>
      <c r="E73" s="174"/>
      <c r="F73" s="174"/>
      <c r="G73" s="174"/>
      <c r="H73" s="174"/>
      <c r="I73" s="174"/>
      <c r="J73" s="174"/>
    </row>
    <row r="74" spans="1:12">
      <c r="A74" s="678" t="s">
        <v>513</v>
      </c>
      <c r="B74" s="678"/>
      <c r="C74" s="678"/>
      <c r="E74" s="173"/>
      <c r="F74" s="173"/>
      <c r="G74" s="173"/>
      <c r="H74" s="173"/>
      <c r="I74" s="173"/>
      <c r="J74" s="173"/>
    </row>
    <row r="75" spans="1:12">
      <c r="A75" s="691" t="s">
        <v>514</v>
      </c>
      <c r="B75" s="691"/>
      <c r="C75" s="691"/>
      <c r="E75" s="174"/>
      <c r="F75" s="174"/>
      <c r="G75" s="174"/>
      <c r="H75" s="174"/>
      <c r="I75" s="174"/>
      <c r="J75" s="174"/>
    </row>
    <row r="76" spans="1:12">
      <c r="A76" s="167"/>
      <c r="E76" s="174"/>
      <c r="F76" s="174"/>
      <c r="G76" s="174"/>
      <c r="H76" s="174"/>
      <c r="I76" s="174"/>
      <c r="J76" s="174"/>
    </row>
    <row r="77" spans="1:12">
      <c r="A77" s="678" t="s">
        <v>515</v>
      </c>
      <c r="B77" s="678"/>
      <c r="C77" s="678"/>
      <c r="E77" s="174"/>
      <c r="F77" s="174"/>
      <c r="G77" s="174"/>
      <c r="H77" s="174"/>
      <c r="I77" s="174"/>
      <c r="J77" s="174"/>
    </row>
    <row r="78" spans="1:12">
      <c r="A78" s="691" t="s">
        <v>516</v>
      </c>
      <c r="B78" s="691"/>
      <c r="C78" s="691"/>
      <c r="E78" s="174"/>
      <c r="F78" s="174"/>
      <c r="G78" s="174"/>
      <c r="H78" s="174"/>
      <c r="I78" s="174"/>
      <c r="J78" s="174"/>
    </row>
    <row r="79" spans="1:12" customHeight="1" ht="29.25">
      <c r="A79" s="679" t="s">
        <v>517</v>
      </c>
      <c r="B79" s="679"/>
      <c r="C79" s="679"/>
      <c r="E79" s="173"/>
      <c r="F79" s="173"/>
      <c r="G79" s="173"/>
      <c r="H79" s="173"/>
      <c r="I79" s="173"/>
      <c r="J79" s="173"/>
    </row>
    <row r="80" spans="1:12">
      <c r="A80" s="680" t="s">
        <v>518</v>
      </c>
      <c r="B80" s="680"/>
      <c r="C80" s="680"/>
      <c r="E80" s="174"/>
      <c r="F80" s="174"/>
      <c r="G80" s="174"/>
      <c r="H80" s="174"/>
      <c r="I80" s="174"/>
      <c r="J80" s="174"/>
    </row>
    <row r="81" spans="1:12">
      <c r="A81" s="167"/>
      <c r="E81" s="174"/>
      <c r="F81" s="174"/>
      <c r="G81" s="174"/>
      <c r="H81" s="174"/>
      <c r="I81" s="174"/>
      <c r="J81" s="174"/>
    </row>
    <row r="82" spans="1:12">
      <c r="A82" s="692" t="s">
        <v>519</v>
      </c>
      <c r="B82" s="692"/>
      <c r="C82" s="692"/>
      <c r="E82" s="174"/>
      <c r="F82" s="174"/>
      <c r="G82" s="174"/>
      <c r="H82" s="174"/>
      <c r="I82" s="174"/>
      <c r="J82" s="174"/>
    </row>
    <row r="83" spans="1:12">
      <c r="A83" s="680" t="s">
        <v>520</v>
      </c>
      <c r="B83" s="680"/>
      <c r="C83" s="680"/>
      <c r="E83" s="174"/>
      <c r="F83" s="174"/>
      <c r="G83" s="174"/>
      <c r="H83" s="174"/>
      <c r="I83" s="174"/>
      <c r="J83" s="174"/>
    </row>
    <row r="84" spans="1:12">
      <c r="A84" s="167"/>
      <c r="E84" s="173"/>
      <c r="F84" s="173"/>
      <c r="G84" s="173"/>
      <c r="H84" s="173"/>
      <c r="I84" s="173"/>
      <c r="J84" s="173"/>
    </row>
    <row r="85" spans="1:12">
      <c r="A85" s="692" t="s">
        <v>521</v>
      </c>
      <c r="B85" s="692"/>
      <c r="C85" s="692"/>
      <c r="E85" s="174"/>
      <c r="F85" s="174"/>
      <c r="G85" s="174"/>
      <c r="H85" s="174"/>
      <c r="I85" s="174"/>
      <c r="J85" s="174"/>
    </row>
    <row r="86" spans="1:12">
      <c r="A86" s="175" t="s">
        <v>522</v>
      </c>
      <c r="E86" s="174"/>
      <c r="F86" s="174"/>
      <c r="G86" s="174"/>
      <c r="H86" s="174"/>
      <c r="I86" s="174"/>
      <c r="J86" s="174"/>
    </row>
    <row r="87" spans="1:12">
      <c r="A87" s="167"/>
      <c r="E87" s="174"/>
      <c r="F87" s="174"/>
      <c r="G87" s="174"/>
      <c r="H87" s="174"/>
      <c r="I87" s="174"/>
      <c r="J87" s="174"/>
    </row>
    <row r="88" spans="1:12">
      <c r="A88" s="678" t="s">
        <v>523</v>
      </c>
      <c r="B88" s="678"/>
      <c r="C88" s="678"/>
      <c r="E88" s="174"/>
      <c r="F88" s="174"/>
      <c r="G88" s="174"/>
      <c r="H88" s="174"/>
      <c r="I88" s="174"/>
      <c r="J88" s="174"/>
    </row>
    <row r="89" spans="1:12">
      <c r="A89" s="167" t="s">
        <v>524</v>
      </c>
      <c r="E89" s="173"/>
      <c r="F89" s="173"/>
      <c r="G89" s="173"/>
      <c r="H89" s="173"/>
      <c r="I89" s="173"/>
      <c r="J89" s="173"/>
    </row>
    <row r="90" spans="1:12">
      <c r="A90" s="167" t="s">
        <v>525</v>
      </c>
      <c r="E90" s="174"/>
      <c r="F90" s="174"/>
      <c r="G90" s="174"/>
      <c r="H90" s="174"/>
      <c r="I90" s="174"/>
      <c r="J90" s="174"/>
    </row>
    <row r="91" spans="1:12">
      <c r="A91" s="167" t="s">
        <v>526</v>
      </c>
      <c r="E91" s="174"/>
      <c r="F91" s="174"/>
      <c r="G91" s="174"/>
      <c r="H91" s="174"/>
      <c r="I91" s="174"/>
      <c r="J91" s="174"/>
    </row>
    <row r="92" spans="1:12">
      <c r="A92" s="167" t="s">
        <v>527</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