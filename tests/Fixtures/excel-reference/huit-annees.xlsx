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récapitulative'!$A$2:$X$17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candidat'!$A$86:$X$128,'Evaluation candidat'!$A$131:$X$168</definedName>
  </definedNames>
  <calcPr calcId="999999" calcMode="auto" calcCompleted="1" fullCalcOnLoad="0" forceFullCalc="0"/>
</workbook>
</file>

<file path=xl/sharedStrings.xml><?xml version="1.0" encoding="utf-8"?>
<sst xmlns="http://schemas.openxmlformats.org/spreadsheetml/2006/main" uniqueCount="505">
  <si>
    <t>CARNET DE STAGE</t>
  </si>
  <si>
    <t>ORTHOPEDIE</t>
  </si>
  <si>
    <t>8e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</si>
  <si>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</si>
  <si>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</si>
  <si>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</si>
  <si>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</si>
  <si>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</si>
  <si>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</si>
  <si>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</si>
  <si>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</si>
  <si>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</si>
  <si>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</si>
  <si>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</si>
  <si>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</si>
  <si>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</si>
  <si>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</si>
  <si>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</si>
  <si>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</si>
  <si>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</si>
  <si>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</si>
  <si>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</si>
  <si>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</si>
  <si>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</si>
  <si>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</si>
  <si>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</si>
  <si>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</si>
  <si>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</si>
  <si>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01-10-2024</t>
  </si>
  <si>
    <t xml:space="preserve">  Année de stage</t>
  </si>
  <si>
    <t xml:space="preserve">    8</t>
  </si>
  <si>
    <t xml:space="preserve">  Carnet rentré le :</t>
  </si>
  <si>
    <t xml:space="preserve">    26-10-2026</t>
  </si>
  <si>
    <t>Code assistance et code surveillance : nom du responsable ayant été aidé par le candidat ou ayant supervisé l'intervention effectuée par le candidat</t>
  </si>
  <si>
    <t xml:space="preserve">  Maître de stage</t>
  </si>
  <si>
    <t xml:space="preserve">  id:     A</t>
  </si>
  <si>
    <t>prénom2</t>
  </si>
  <si>
    <t>NomO</t>
  </si>
  <si>
    <t xml:space="preserve">  Superviseurs</t>
  </si>
  <si>
    <t xml:space="preserve">  id:     B</t>
  </si>
  <si>
    <t>prénom0</t>
  </si>
  <si>
    <t>NomA</t>
  </si>
  <si>
    <t xml:space="preserve">  id:     C</t>
  </si>
  <si>
    <t>prénom4</t>
  </si>
  <si>
    <t>NomC</t>
  </si>
  <si>
    <t xml:space="preserve">  id:     D</t>
  </si>
  <si>
    <t>prénom1</t>
  </si>
  <si>
    <t>NomH</t>
  </si>
  <si>
    <t xml:space="preserve">  id:     E</t>
  </si>
  <si>
    <t>prénom3</t>
  </si>
  <si>
    <t>NomV</t>
  </si>
  <si>
    <t>Date</t>
  </si>
  <si>
    <t>Nomenclature</t>
  </si>
  <si>
    <t>Nature des prestations</t>
  </si>
  <si>
    <t>Prestations du Candidat</t>
  </si>
  <si>
    <t>ASSISTANT</t>
  </si>
  <si>
    <t>CODE âiné</t>
  </si>
  <si>
    <t>OPERATEUR</t>
  </si>
  <si>
    <t>1er</t>
  </si>
  <si>
    <t>2ème</t>
  </si>
  <si>
    <t>seul</t>
  </si>
  <si>
    <t>+âiné</t>
  </si>
  <si>
    <t xml:space="preserve">  13-10-2024</t>
  </si>
  <si>
    <t xml:space="preserve">  2005274</t>
  </si>
  <si>
    <t xml:space="preserve">  Acte fictif n° 31</t>
  </si>
  <si>
    <t>E</t>
  </si>
  <si>
    <t xml:space="preserve">  14-10-2024</t>
  </si>
  <si>
    <t xml:space="preserve">  2003915</t>
  </si>
  <si>
    <t xml:space="preserve">  Acte fictif n° 23</t>
  </si>
  <si>
    <t>B</t>
  </si>
  <si>
    <t xml:space="preserve">  16-10-2024</t>
  </si>
  <si>
    <t xml:space="preserve">  2003231</t>
  </si>
  <si>
    <t xml:space="preserve">  Acte fictif n° 19</t>
  </si>
  <si>
    <t>A</t>
  </si>
  <si>
    <t xml:space="preserve">  29-10-2024</t>
  </si>
  <si>
    <t xml:space="preserve">  2001872</t>
  </si>
  <si>
    <t xml:space="preserve">  Acte fictif n° 11</t>
  </si>
  <si>
    <t xml:space="preserve">  08-11-2024</t>
  </si>
  <si>
    <t xml:space="preserve">  2001197</t>
  </si>
  <si>
    <t xml:space="preserve">  Acte fictif n° 7</t>
  </si>
  <si>
    <t>D</t>
  </si>
  <si>
    <t xml:space="preserve">  26-11-2024</t>
  </si>
  <si>
    <t xml:space="preserve">  05-12-2024</t>
  </si>
  <si>
    <t xml:space="preserve">  31-01-2025</t>
  </si>
  <si>
    <t xml:space="preserve">  2006633</t>
  </si>
  <si>
    <t xml:space="preserve">  Acte fictif n° 39</t>
  </si>
  <si>
    <t xml:space="preserve">  13-02-2025</t>
  </si>
  <si>
    <t xml:space="preserve">  2004590</t>
  </si>
  <si>
    <t xml:space="preserve">  Acte fictif n° 27</t>
  </si>
  <si>
    <t xml:space="preserve">  24-02-2025</t>
  </si>
  <si>
    <t xml:space="preserve">  13-03-2025</t>
  </si>
  <si>
    <t xml:space="preserve">  2000513</t>
  </si>
  <si>
    <t xml:space="preserve">  Acte fictif n° 3</t>
  </si>
  <si>
    <t xml:space="preserve">  19-04-2025</t>
  </si>
  <si>
    <t xml:space="preserve">  20-04-2025</t>
  </si>
  <si>
    <t xml:space="preserve">  2005958</t>
  </si>
  <si>
    <t xml:space="preserve">  Acte fictif n° 35</t>
  </si>
  <si>
    <t xml:space="preserve">  27-04-2025</t>
  </si>
  <si>
    <t>C</t>
  </si>
  <si>
    <t xml:space="preserve">  29-04-2025</t>
  </si>
  <si>
    <t xml:space="preserve">  20-05-2025</t>
  </si>
  <si>
    <t xml:space="preserve">  30-05-2025</t>
  </si>
  <si>
    <t xml:space="preserve">  06-06-2025</t>
  </si>
  <si>
    <t xml:space="preserve">  24-06-2025</t>
  </si>
  <si>
    <t xml:space="preserve">  2002556</t>
  </si>
  <si>
    <t xml:space="preserve">  Acte fictif n° 15</t>
  </si>
  <si>
    <t xml:space="preserve">  12-07-2025</t>
  </si>
  <si>
    <t xml:space="preserve">  17-07-2025</t>
  </si>
  <si>
    <t xml:space="preserve">  25-07-2025</t>
  </si>
  <si>
    <t xml:space="preserve">  02-08-2025</t>
  </si>
  <si>
    <t xml:space="preserve">  15-08-2025</t>
  </si>
  <si>
    <t xml:space="preserve">  20-08-2025</t>
  </si>
  <si>
    <t xml:space="preserve">  22-08-2025</t>
  </si>
  <si>
    <t xml:space="preserve">  26-08-2025</t>
  </si>
  <si>
    <t xml:space="preserve">  02-09-2025</t>
  </si>
  <si>
    <t xml:space="preserve">  07-09-2025</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</si>
  <si>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</si>
  <si>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</si>
  <si>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</si>
  <si>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</si>
  <si>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</si>
  <si>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</si>
  <si>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</si>
  <si>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</si>
  <si>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</si>
  <si>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</si>
  <si>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 xml:space="preserve">   Dr   prénom2</t>
  </si>
  <si>
    <t>50%</t>
  </si>
  <si>
    <t xml:space="preserve"> Collaborateurs</t>
  </si>
  <si>
    <t xml:space="preserve">   Dr   prénom0</t>
  </si>
  <si>
    <t>87.5%</t>
  </si>
  <si>
    <t>12.5%</t>
  </si>
  <si>
    <t xml:space="preserve">   Dr   prénom4</t>
  </si>
  <si>
    <t>77.8%</t>
  </si>
  <si>
    <t>22.2%</t>
  </si>
  <si>
    <t xml:space="preserve">   Dr   prénom1</t>
  </si>
  <si>
    <t>100%</t>
  </si>
  <si>
    <t>0%</t>
  </si>
  <si>
    <t xml:space="preserve">   Dr   prénom3</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</si>
  <si>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</si>
  <si>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</si>
  <si>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</si>
  <si>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</si>
  <si>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</si>
  <si>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</si>
  <si>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</si>
  <si>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</si>
  <si>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</si>
  <si>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</si>
  <si>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</si>
  <si>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</si>
  <si>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</si>
  <si>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</si>
  <si>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</si>
  <si>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</si>
  <si>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</si>
  <si>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</si>
  <si>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</si>
  <si>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</si>
  <si>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</si>
  <si>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</si>
  <si>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</si>
  <si>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Sous total</t>
  </si>
  <si>
    <t>HUMERUS</t>
  </si>
  <si>
    <t>COUDE</t>
  </si>
  <si>
    <t>AVANT-BRAS</t>
  </si>
  <si>
    <t xml:space="preserve">  2005616</t>
  </si>
  <si>
    <t xml:space="preserve">  Acte fictif n° 33</t>
  </si>
  <si>
    <t>25%</t>
  </si>
  <si>
    <t>POIGNET-MAIN</t>
  </si>
  <si>
    <t xml:space="preserve">  2000684</t>
  </si>
  <si>
    <t xml:space="preserve">  Acte fictif n° 4</t>
  </si>
  <si>
    <t>RACHIS</t>
  </si>
  <si>
    <t>BASSIN</t>
  </si>
  <si>
    <t>HANCHE</t>
  </si>
  <si>
    <t>FEMUR PROXIMAL</t>
  </si>
  <si>
    <t>FEMUR DIAPHYSE</t>
  </si>
  <si>
    <t xml:space="preserve">  2004086</t>
  </si>
  <si>
    <t xml:space="preserve">  Acte fictif n° 24</t>
  </si>
  <si>
    <t>FEMUR DISTAL</t>
  </si>
  <si>
    <t>GENOU</t>
  </si>
  <si>
    <t>JAMBE</t>
  </si>
  <si>
    <t>CHEVILLE</t>
  </si>
  <si>
    <t>PIED</t>
  </si>
  <si>
    <t>TOTAL GENERAL</t>
  </si>
  <si>
    <t>TRAUMATOLOGIE</t>
  </si>
  <si>
    <t xml:space="preserve">  2002898</t>
  </si>
  <si>
    <t xml:space="preserve">  Acte fictif n° 17</t>
  </si>
  <si>
    <t>16.67%</t>
  </si>
  <si>
    <t>CHIRURGIE GENERALE</t>
  </si>
  <si>
    <t>TYPE DE CHIRURGIE</t>
  </si>
  <si>
    <t>DIGESTIVE</t>
  </si>
  <si>
    <t xml:space="preserve">  2001530</t>
  </si>
  <si>
    <t xml:space="preserve">  Acte fictif n° 9</t>
  </si>
  <si>
    <t>GENERAL</t>
  </si>
  <si>
    <t>UROLOGIE</t>
  </si>
  <si>
    <t xml:space="preserve">  2004932</t>
  </si>
  <si>
    <t xml:space="preserve">  Acte fictif n° 29</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</si>
  <si>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</si>
  <si>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</si>
  <si>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</si>
  <si>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</si>
  <si>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</si>
  <si>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</si>
  <si>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</si>
  <si>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</si>
  <si>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</si>
  <si>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</si>
  <si>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8</t>
  </si>
  <si>
    <t>DATE</t>
  </si>
  <si>
    <t xml:space="preserve">  Type de consultation</t>
  </si>
  <si>
    <t xml:space="preserve">  OCTOBRE</t>
  </si>
  <si>
    <t>21-10-24</t>
  </si>
  <si>
    <t xml:space="preserve">  Orthopédie</t>
  </si>
  <si>
    <t xml:space="preserve">  Nb de patient</t>
  </si>
  <si>
    <t xml:space="preserve">  Traumatologie</t>
  </si>
  <si>
    <t xml:space="preserve">  NOVEMBRE</t>
  </si>
  <si>
    <t>01-11-24</t>
  </si>
  <si>
    <t>20-11-24</t>
  </si>
  <si>
    <t>03-11-24</t>
  </si>
  <si>
    <t>05-11-24</t>
  </si>
  <si>
    <t>10-11-24</t>
  </si>
  <si>
    <t>07-11-24</t>
  </si>
  <si>
    <t>09-11-24</t>
  </si>
  <si>
    <t>11-11-24</t>
  </si>
  <si>
    <t>13-11-24</t>
  </si>
  <si>
    <t xml:space="preserve">  Digestive</t>
  </si>
  <si>
    <t xml:space="preserve">  Urologie</t>
  </si>
  <si>
    <t xml:space="preserve">  DECEMBRE</t>
  </si>
  <si>
    <t xml:space="preserve">  Vasculaire</t>
  </si>
  <si>
    <t xml:space="preserve">  Plastique</t>
  </si>
  <si>
    <t xml:space="preserve">  JANVIER</t>
  </si>
  <si>
    <t xml:space="preserve">  FEVRIER</t>
  </si>
  <si>
    <t xml:space="preserve">  MARS</t>
  </si>
  <si>
    <t xml:space="preserve">  AVRIL</t>
  </si>
  <si>
    <t>06-04-25</t>
  </si>
  <si>
    <t>23-04-25</t>
  </si>
  <si>
    <t xml:space="preserve">  MAI</t>
  </si>
  <si>
    <t>04-05-25</t>
  </si>
  <si>
    <t>01-05-25</t>
  </si>
  <si>
    <t xml:space="preserve">  JUIN</t>
  </si>
  <si>
    <t>06-06-25</t>
  </si>
  <si>
    <t xml:space="preserve">  JUILLET</t>
  </si>
  <si>
    <t>31-07-25</t>
  </si>
  <si>
    <t>29-07-25</t>
  </si>
  <si>
    <t xml:space="preserve">  AOUT</t>
  </si>
  <si>
    <t xml:space="preserve">  SEPTEMBRE</t>
  </si>
  <si>
    <t xml:space="preserve">  139</t>
  </si>
  <si>
    <t xml:space="preserve">  60</t>
  </si>
  <si>
    <t xml:space="preserve">  64</t>
  </si>
  <si>
    <t xml:space="preserve">  17</t>
  </si>
  <si>
    <t xml:space="preserve">  46</t>
  </si>
  <si>
    <t xml:space="preserve">  45</t>
  </si>
  <si>
    <t xml:space="preserve">  LISTE RECAPITULATIVE DES GARDES</t>
  </si>
  <si>
    <t xml:space="preserve"> Info complémentaire</t>
  </si>
  <si>
    <t>Nb total de gardes</t>
  </si>
  <si>
    <t>Nb patients traités</t>
  </si>
  <si>
    <t>30-11-24</t>
  </si>
  <si>
    <t>03-12-24</t>
  </si>
  <si>
    <t>31-12-24</t>
  </si>
  <si>
    <t>28-12-24</t>
  </si>
  <si>
    <t>06-12-24</t>
  </si>
  <si>
    <t>16-12-24</t>
  </si>
  <si>
    <t>09-12-24</t>
  </si>
  <si>
    <t>19-04-25</t>
  </si>
  <si>
    <t>11-04-25</t>
  </si>
  <si>
    <t>18-05-25</t>
  </si>
  <si>
    <t>21-08-25</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</si>
  <si>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</si>
  <si>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</si>
  <si>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</si>
  <si>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</si>
  <si>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</si>
  <si>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</si>
  <si>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</si>
  <si>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</si>
  <si>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</si>
  <si>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</si>
  <si>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</si>
  <si>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</si>
  <si>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</si>
  <si>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</si>
  <si>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</si>
  <si>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</si>
  <si>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</si>
  <si>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</si>
  <si>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</si>
  <si>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</si>
  <si>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</si>
  <si>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</si>
  <si>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</si>
  <si>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</si>
  <si>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</si>
  <si>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</si>
  <si>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</si>
  <si>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</si>
  <si>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</si>
  <si>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</si>
  <si>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</si>
  <si>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</si>
  <si>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</si>
  <si>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</si>
  <si>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</si>
  <si>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</si>
  <si>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</si>
  <si>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</si>
  <si>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</si>
  <si>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</si>
  <si>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</si>
  <si>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</si>
  <si>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</si>
  <si>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</si>
  <si>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</si>
  <si>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</si>
  <si>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</si>
  <si>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</si>
  <si>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</si>
  <si>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</si>
  <si>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</si>
  <si>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</si>
  <si>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</si>
  <si>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</si>
  <si>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</si>
  <si>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</si>
  <si>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</si>
  <si>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</si>
  <si>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</si>
  <si>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</si>
  <si>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</si>
  <si>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</si>
  <si>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</si>
  <si>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</si>
  <si>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</si>
  <si>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</si>
  <si>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</si>
  <si>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</si>
  <si>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</si>
  <si>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</si>
  <si>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</si>
  <si>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</si>
  <si>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</si>
  <si>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</si>
  <si>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</si>
  <si>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</si>
  <si>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</si>
  <si>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</si>
  <si>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</si>
  <si>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</si>
  <si>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</si>
  <si>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</si>
  <si>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</si>
  <si>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</si>
  <si>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ASSISTANCES AUX COURS, SEMINAIRES ET COLLOQUES EN DEHORS DE L'HOPITAL DE STAGE</t>
  </si>
  <si>
    <t>02-04-2025</t>
  </si>
  <si>
    <t xml:space="preserve">   Autre lieu</t>
  </si>
  <si>
    <t xml:space="preserve">   Formation fictive 1</t>
  </si>
  <si>
    <t xml:space="preserve">   Sujet fictif 1</t>
  </si>
  <si>
    <t>09-01-2025</t>
  </si>
  <si>
    <t xml:space="preserve">   Formation fictive 4</t>
  </si>
  <si>
    <t xml:space="preserve">   Sujet fictif 4</t>
  </si>
  <si>
    <t>01-11-2024</t>
  </si>
  <si>
    <t xml:space="preserve">   Formation fictive 7</t>
  </si>
  <si>
    <t xml:space="preserve">   Sujet fictif 7</t>
  </si>
  <si>
    <t>02-11-2024</t>
  </si>
  <si>
    <t>03-11-2024</t>
  </si>
  <si>
    <t>PARTICIPATIONS ACTIVES AUX  COURS, COLLOQUES ET CONGRES</t>
  </si>
  <si>
    <t>19-11-2024</t>
  </si>
  <si>
    <t xml:space="preserve">   CHU Test</t>
  </si>
  <si>
    <t xml:space="preserve">   Formation fictive 0</t>
  </si>
  <si>
    <t xml:space="preserve">   Orateur:  Sujet fictif 0</t>
  </si>
  <si>
    <t>01-07-2025</t>
  </si>
  <si>
    <t xml:space="preserve">   Formation fictive 2</t>
  </si>
  <si>
    <t xml:space="preserve">   Orateur:  Sujet fictif 2</t>
  </si>
  <si>
    <t>02-07-2025</t>
  </si>
  <si>
    <t>01-12-2024</t>
  </si>
  <si>
    <t xml:space="preserve">   Formation fictive 3</t>
  </si>
  <si>
    <t xml:space="preserve">   Orateur:  Sujet fictif 3</t>
  </si>
  <si>
    <t>02-12-2024</t>
  </si>
  <si>
    <t>03-12-2024</t>
  </si>
  <si>
    <t>07-12-2024</t>
  </si>
  <si>
    <t xml:space="preserve">   Formation fictive 5</t>
  </si>
  <si>
    <t xml:space="preserve">   Orateur:  Sujet fictif 5</t>
  </si>
  <si>
    <t>08-09-2025</t>
  </si>
  <si>
    <t xml:space="preserve">   Formation fictive 6</t>
  </si>
  <si>
    <t xml:space="preserve">   Orateur:  Sujet fictif 6</t>
  </si>
  <si>
    <t>09-09-2025</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</si>
  <si>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</si>
  <si>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t>F</t>
  </si>
  <si>
    <t>Année …</t>
  </si>
  <si>
    <t>Année 6</t>
  </si>
  <si>
    <t>Année 5</t>
  </si>
  <si>
    <t>Année 4</t>
  </si>
  <si>
    <t>Année 3</t>
  </si>
  <si>
    <t>Année 2</t>
  </si>
  <si>
    <t>Année 1</t>
  </si>
  <si>
    <t>RECAPITULATIF DES ABSENCES</t>
  </si>
  <si>
    <t>ACTIVITES DE RECHERCHE</t>
  </si>
  <si>
    <t>PUBLICATIONS ( Titres et références + copie du document )</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</si>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</sst>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3">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ck">
        <color rgb="FF000000"/>
      </left>
      <right/>
      <top/>
      <bottom style="thick">
        <color rgb="FF16365C"/>
      </bottom>
      <diagonal/>
    </border>
    <border>
      <left style="thin">
        <color rgb="FF000000"/>
      </left>
      <right style="thick">
        <color rgb="FF16365C"/>
      </right>
      <top/>
      <bottom/>
      <diagonal/>
    </border>
    <border>
      <left style="thin">
        <color rgb="FF000000"/>
      </left>
      <right style="thick">
        <color rgb="FF16365C"/>
      </right>
      <top/>
      <bottom style="thick">
        <color rgb="FF16365C"/>
      </bottom>
      <diagonal/>
    </border>
    <border>
      <left style="thin">
        <color rgb="FF000000"/>
      </left>
      <right style="thick">
        <color rgb="FF000000"/>
      </right>
      <top/>
      <bottom style="thick">
        <color rgb="FF16365C"/>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95">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1"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2" applyFont="1" applyNumberFormat="0" applyFill="0" applyBorder="1" applyAlignment="1">
      <alignment horizontal="center" vertical="center" textRotation="0" wrapText="false" shrinkToFit="false"/>
    </xf>
    <xf xfId="0" fontId="0" numFmtId="0" fillId="0" borderId="53" applyFont="0" applyNumberFormat="0" applyFill="0" applyBorder="1" applyAlignment="1">
      <alignment horizontal="center" vertical="bottom" textRotation="0" wrapText="false" shrinkToFit="false"/>
    </xf>
    <xf xfId="0" fontId="0" numFmtId="0" fillId="0" borderId="54" applyFont="0" applyNumberFormat="0" applyFill="0" applyBorder="1" applyAlignment="1">
      <alignment horizontal="center" vertical="bottom" textRotation="0" wrapText="false" shrinkToFit="false"/>
    </xf>
    <xf xfId="0" fontId="0" numFmtId="0" fillId="0" borderId="55" applyFont="0" applyNumberFormat="0" applyFill="0" applyBorder="1" applyAlignment="1">
      <alignment horizontal="center" vertical="bottom"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60"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7" applyFont="1" applyNumberFormat="0" applyFill="0" applyBorder="1" applyAlignment="1">
      <alignment horizontal="left" vertical="bottom" textRotation="0" wrapText="false" shrinkToFit="false"/>
    </xf>
    <xf xfId="0" fontId="2" numFmtId="0" fillId="0" borderId="12" applyFont="1" applyNumberFormat="0" applyFill="0" applyBorder="1" applyAlignment="1">
      <alignment horizontal="left" vertical="bottom" textRotation="0" wrapText="false" shrinkToFit="false"/>
    </xf>
    <xf xfId="0" fontId="2" numFmtId="0" fillId="0" borderId="13"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1" applyFont="1" applyNumberFormat="0" applyFill="0" applyBorder="1" applyAlignment="1" applyProtection="true">
      <alignment horizontal="left" vertical="center" textRotation="0" wrapText="false" shrinkToFit="false"/>
      <protection hidden="true"/>
    </xf>
    <xf xfId="0" fontId="10" numFmtId="0" fillId="0" borderId="62" applyFont="1" applyNumberFormat="0" applyFill="0" applyBorder="1" applyAlignment="1" applyProtection="true">
      <alignment horizontal="center" vertical="center" textRotation="0" wrapText="false" shrinkToFit="false"/>
      <protection hidden="true"/>
    </xf>
    <xf xfId="0" fontId="10" numFmtId="0" fillId="0" borderId="63" applyFont="1" applyNumberFormat="0" applyFill="0" applyBorder="1" applyAlignment="1" applyProtection="true">
      <alignment horizontal="center" vertical="center" textRotation="0" wrapText="false" shrinkToFit="false"/>
      <protection hidden="true"/>
    </xf>
    <xf xfId="0" fontId="10" numFmtId="0" fillId="0" borderId="64" applyFont="1" applyNumberFormat="0" applyFill="0" applyBorder="1" applyAlignment="1" applyProtection="true">
      <alignment horizontal="center" vertical="center" textRotation="0" wrapText="false" shrinkToFit="false"/>
      <protection hidden="true"/>
    </xf>
    <xf xfId="0" fontId="30" numFmtId="1" fillId="0" borderId="65"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7" applyFont="1" applyNumberFormat="1" applyFill="0" applyBorder="1" applyAlignment="1" applyProtection="true">
      <alignment horizontal="center" vertical="center" textRotation="0" wrapText="true" shrinkToFit="false"/>
      <protection hidden="true"/>
    </xf>
    <xf xfId="0" fontId="31" numFmtId="1" fillId="0" borderId="68" applyFont="1" applyNumberFormat="1" applyFill="0" applyBorder="1" applyAlignment="1" applyProtection="true">
      <alignment horizontal="center" vertical="center" textRotation="0" wrapText="true" shrinkToFit="false"/>
      <protection hidden="true"/>
    </xf>
    <xf xfId="0" fontId="30" numFmtId="1" fillId="0" borderId="69" applyFont="1" applyNumberFormat="1" applyFill="0" applyBorder="1" applyAlignment="1" applyProtection="true">
      <alignment horizontal="center" vertical="center" textRotation="0" wrapText="true" shrinkToFit="false"/>
      <protection hidden="true"/>
    </xf>
    <xf xfId="0" fontId="32" numFmtId="1" fillId="0" borderId="69" applyFont="1" applyNumberFormat="1" applyFill="0" applyBorder="1" applyAlignment="1" applyProtection="true">
      <alignment horizontal="center" vertical="center" textRotation="0" wrapText="true" shrinkToFit="false"/>
      <protection hidden="true"/>
    </xf>
    <xf xfId="0" fontId="33" numFmtId="9" fillId="0" borderId="65" applyFont="1" applyNumberFormat="1" applyFill="0" applyBorder="1" applyAlignment="1" applyProtection="true">
      <alignment horizontal="center" vertical="center" textRotation="0" wrapText="true" shrinkToFit="false"/>
      <protection hidden="true"/>
    </xf>
    <xf xfId="0" fontId="31" numFmtId="1" fillId="0" borderId="63" applyFont="1" applyNumberFormat="1" applyFill="0" applyBorder="1" applyAlignment="1" applyProtection="true">
      <alignment horizontal="center" vertical="center" textRotation="0" wrapText="true" shrinkToFit="false"/>
      <protection hidden="true"/>
    </xf>
    <xf xfId="0" fontId="31" numFmtId="1" fillId="0" borderId="62"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2" numFmtId="1" fillId="0" borderId="65"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1" numFmtId="1" fillId="0" borderId="72"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10" numFmtId="0" fillId="0" borderId="74"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5"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6" applyFont="1" applyNumberFormat="0" applyFill="0" applyBorder="1" applyAlignment="1" applyProtection="true">
      <alignment horizontal="center" vertical="bottom" textRotation="0" wrapText="false" shrinkToFit="false"/>
      <protection hidden="true"/>
    </xf>
    <xf xfId="0" fontId="17" numFmtId="0" fillId="0" borderId="77"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69"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0" applyProtection="true">
      <protection hidden="true"/>
    </xf>
    <xf xfId="0" fontId="30" numFmtId="1" fillId="0" borderId="78" applyFont="1" applyNumberFormat="1" applyFill="0" applyBorder="1" applyAlignment="1" applyProtection="true">
      <alignment horizontal="center" vertical="center" textRotation="0" wrapText="true" shrinkToFit="false"/>
      <protection hidden="true"/>
    </xf>
    <xf xfId="0" fontId="30" numFmtId="1" fillId="0" borderId="79" applyFont="1" applyNumberFormat="1" applyFill="0" applyBorder="1" applyAlignment="1" applyProtection="true">
      <alignment horizontal="center" vertical="center" textRotation="0" wrapText="true" shrinkToFit="false"/>
      <protection hidden="true"/>
    </xf>
    <xf xfId="0" fontId="17" numFmtId="1" fillId="0" borderId="76" applyFont="1" applyNumberFormat="1"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horizontal="left" vertical="bottom" textRotation="0" wrapText="false" shrinkToFit="false"/>
      <protection hidden="true"/>
    </xf>
    <xf xfId="0" fontId="10" numFmtId="0" fillId="0" borderId="62" applyFont="1" applyNumberFormat="0" applyFill="0"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center" vertical="bottom" textRotation="0" wrapText="false" shrinkToFit="false"/>
      <protection hidden="true"/>
    </xf>
    <xf xfId="0" fontId="31" numFmtId="1" fillId="0" borderId="80" applyFont="1" applyNumberFormat="1" applyFill="0" applyBorder="1" applyAlignment="1" applyProtection="true">
      <alignment horizontal="center" vertical="center" textRotation="0" wrapText="true" shrinkToFit="false"/>
      <protection hidden="true"/>
    </xf>
    <xf xfId="0" fontId="31" numFmtId="1" fillId="0" borderId="81" applyFont="1" applyNumberFormat="1" applyFill="0" applyBorder="1" applyAlignment="1" applyProtection="true">
      <alignment horizontal="center" vertical="center" textRotation="0" wrapText="true" shrinkToFit="false"/>
      <protection hidden="true"/>
    </xf>
    <xf xfId="0" fontId="31" numFmtId="1" fillId="0" borderId="82" applyFont="1" applyNumberFormat="1" applyFill="0" applyBorder="1" applyAlignment="1" applyProtection="true">
      <alignment horizontal="center" vertical="center" textRotation="0" wrapText="true" shrinkToFit="false"/>
      <protection hidden="true"/>
    </xf>
    <xf xfId="0" fontId="32" numFmtId="1" fillId="0" borderId="79" applyFont="1" applyNumberFormat="1" applyFill="0" applyBorder="1" applyAlignment="1" applyProtection="true">
      <alignment horizontal="center" vertical="center" textRotation="0" wrapText="true" shrinkToFit="false"/>
      <protection hidden="true"/>
    </xf>
    <xf xfId="0" fontId="33" numFmtId="9" fillId="0" borderId="79"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vertical="center" textRotation="0" wrapText="tru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1" applyFont="1" applyNumberFormat="0" applyFill="0" applyBorder="1" applyAlignment="1" applyProtection="true">
      <alignment horizontal="center" vertical="bottom" textRotation="0" wrapText="fals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10" numFmtId="0" fillId="0" borderId="87" applyFont="1" applyNumberFormat="0" applyFill="0" applyBorder="1" applyAlignment="1">
      <alignment horizontal="left" vertical="bottom" textRotation="0" wrapText="false" shrinkToFit="false"/>
    </xf>
    <xf xfId="0" fontId="10" numFmtId="0" fillId="0" borderId="61" applyFont="1" applyNumberFormat="0" applyFill="0" applyBorder="1" applyAlignment="0"/>
    <xf xfId="0" fontId="10" numFmtId="0" fillId="0" borderId="21" applyFont="1" applyNumberFormat="0" applyFill="0" applyBorder="1" applyAlignment="0"/>
    <xf xfId="0" fontId="10" numFmtId="0" fillId="0" borderId="81" applyFont="1" applyNumberFormat="0" applyFill="0" applyBorder="1" applyAlignment="1" applyProtection="true">
      <alignment horizontal="centerContinuous" vertical="bottom" textRotation="0" wrapText="false" shrinkToFit="false"/>
      <protection hidden="true"/>
    </xf>
    <xf xfId="0" fontId="10" numFmtId="0" fillId="0" borderId="80" applyFont="1" applyNumberFormat="0" applyFill="0" applyBorder="1" applyAlignment="1" applyProtection="true">
      <alignment horizontal="centerContinuous" vertical="bottom" textRotation="0" wrapText="false" shrinkToFit="false"/>
      <protection hidden="true"/>
    </xf>
    <xf xfId="0" fontId="10" numFmtId="0" fillId="0" borderId="63" applyFont="1" applyNumberFormat="0" applyFill="0" applyBorder="1" applyAlignment="0" applyProtection="true">
      <protection hidden="true"/>
    </xf>
    <xf xfId="0" fontId="10" numFmtId="0" fillId="0" borderId="74" applyFont="1" applyNumberFormat="0" applyFill="0" applyBorder="1" applyAlignment="1">
      <alignment horizontal="left" vertical="bottom" textRotation="0" wrapText="false" shrinkToFit="false"/>
    </xf>
    <xf xfId="0" fontId="10" numFmtId="0" fillId="0" borderId="64"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62"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30" numFmtId="1" fillId="0" borderId="89"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1" applyFont="1" applyNumberFormat="0" applyFill="0" applyBorder="1" applyAlignment="1" applyProtection="true">
      <alignment horizontal="center" vertical="center" textRotation="0" wrapText="false" shrinkToFit="false"/>
      <protection hidden="true"/>
    </xf>
    <xf xfId="0" fontId="10" numFmtId="0" fillId="0" borderId="80"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89" applyFont="1" applyNumberFormat="1" applyFill="0" applyBorder="1" applyAlignment="1" applyProtection="true">
      <alignment horizontal="center" vertical="center" textRotation="0" wrapText="true" shrinkToFit="false"/>
      <protection hidden="true"/>
    </xf>
    <xf xfId="0" fontId="33" numFmtId="9" fillId="0" borderId="89" applyFont="1" applyNumberFormat="1" applyFill="0" applyBorder="1" applyAlignment="1" applyProtection="true">
      <alignment horizontal="center" vertical="center" textRotation="0" wrapText="true" shrinkToFit="false"/>
      <protection hidden="true"/>
    </xf>
    <xf xfId="0" fontId="17" numFmtId="1" fillId="0" borderId="75" applyFont="1" applyNumberFormat="1" applyFill="0" applyBorder="1" applyAlignment="1" applyProtection="true">
      <alignment horizontal="center" vertical="bottom" textRotation="0" wrapText="false" shrinkToFit="false"/>
      <protection hidden="true"/>
    </xf>
    <xf xfId="0" fontId="0" numFmtId="164" fillId="0" borderId="90" applyFont="0" applyNumberFormat="1" applyFill="0" applyBorder="1" applyAlignment="1">
      <alignment horizontal="center" vertical="bottom" textRotation="0" wrapText="false" shrinkToFit="false"/>
    </xf>
    <xf xfId="0" fontId="0" numFmtId="164" fillId="0" borderId="91" applyFont="0" applyNumberFormat="1" applyFill="0" applyBorder="1" applyAlignment="1">
      <alignment horizontal="center" vertical="bottom" textRotation="0" wrapText="false" shrinkToFit="false"/>
    </xf>
    <xf xfId="0" fontId="3" numFmtId="164" fillId="0" borderId="92" applyFont="1" applyNumberFormat="1" applyFill="0" applyBorder="1" applyAlignment="1">
      <alignment horizontal="center" vertical="center" textRotation="0" wrapText="false" shrinkToFit="false"/>
    </xf>
    <xf xfId="0" fontId="3" numFmtId="164" fillId="0" borderId="93"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4" applyFont="0" applyNumberFormat="0" applyFill="0" applyBorder="1" applyAlignment="0"/>
    <xf xfId="0" fontId="0" numFmtId="0" fillId="0" borderId="94"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4"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4"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0" borderId="12" applyFont="0" applyNumberFormat="0" applyFill="0" applyBorder="1" applyAlignment="1">
      <alignment horizontal="left" vertical="bottom" textRotation="0" wrapText="false" shrinkToFit="false"/>
    </xf>
    <xf xfId="0" fontId="0" numFmtId="0" fillId="0" borderId="12" applyFont="0" applyNumberFormat="0" applyFill="0" applyBorder="1" applyAlignment="1">
      <alignment horizontal="left" vertical="bottom" textRotation="0" wrapText="false" shrinkToFit="false" indent="1"/>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59" applyFont="1" applyNumberFormat="0" applyFill="0" applyBorder="1" applyAlignment="1">
      <alignment horizontal="left" vertical="bottom" textRotation="0" wrapText="false" shrinkToFit="false" indent="1"/>
    </xf>
    <xf xfId="0" fontId="0" numFmtId="0" fillId="0" borderId="95"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98" applyFont="1" applyNumberFormat="0" applyFill="1" applyBorder="1" applyAlignment="1">
      <alignment horizontal="center" vertical="center" textRotation="0" wrapText="false" shrinkToFit="false"/>
    </xf>
    <xf xfId="0" fontId="3" numFmtId="0" fillId="11" borderId="99" applyFont="1" applyNumberFormat="0" applyFill="1" applyBorder="1" applyAlignment="1">
      <alignment horizontal="center" vertical="center" textRotation="0" wrapText="false" shrinkToFit="false"/>
    </xf>
    <xf xfId="0" fontId="3" numFmtId="0" fillId="11" borderId="93"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4"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3" numFmtId="0" fillId="3" borderId="1" applyFont="1" applyNumberFormat="0" applyFill="1" applyBorder="1" applyAlignment="1">
      <alignment vertical="center" textRotation="0" wrapText="false" shrinkToFit="false"/>
    </xf>
    <xf xfId="0" fontId="0" numFmtId="0" fillId="3" borderId="94" applyFont="0" applyNumberFormat="0" applyFill="1" applyBorder="1" applyAlignment="1">
      <alignment vertical="center" textRotation="0" wrapText="false" shrinkToFit="false"/>
    </xf>
    <xf xfId="0" fontId="0" numFmtId="0" fillId="3" borderId="2" applyFont="0" applyNumberFormat="0" applyFill="1"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100" applyFont="1" applyNumberFormat="0" applyFill="0" applyBorder="1" applyAlignment="1" applyProtection="true">
      <alignment horizontal="left" vertical="bottom" textRotation="0" wrapText="false" shrinkToFit="false" indent="1"/>
      <protection hidden="true"/>
    </xf>
    <xf xfId="0" fontId="10" numFmtId="0" fillId="0" borderId="71"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left" vertical="bottom" textRotation="0" wrapText="false" shrinkToFit="false" indent="1"/>
      <protection hidden="true"/>
    </xf>
    <xf xfId="0" fontId="10" numFmtId="0" fillId="0" borderId="63"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6" numFmtId="0" fillId="12"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3" borderId="101"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48"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49" applyFont="1" applyNumberFormat="0" applyFill="1" applyBorder="1" applyAlignment="1" applyProtection="true">
      <alignment horizontal="center" vertical="center" textRotation="0" wrapText="false" shrinkToFit="false"/>
      <protection hidden="true"/>
    </xf>
    <xf xfId="0" fontId="10" numFmtId="0" fillId="0" borderId="102" applyFont="1" applyNumberFormat="0" applyFill="0" applyBorder="1" applyAlignment="1" applyProtection="true">
      <alignment horizontal="left" vertical="bottom" textRotation="0" wrapText="false" shrinkToFit="false" indent="1"/>
      <protection hidden="true"/>
    </xf>
    <xf xfId="0" fontId="10" numFmtId="0" fillId="0" borderId="103" applyFont="1" applyNumberFormat="0" applyFill="0" applyBorder="1" applyAlignment="1" applyProtection="true">
      <alignment horizontal="left" vertical="bottom" textRotation="0" wrapText="false" shrinkToFit="false" indent="1"/>
      <protection hidden="true"/>
    </xf>
    <xf xfId="0" fontId="10" numFmtId="0" fillId="14" borderId="45" applyFont="1" applyNumberFormat="0" applyFill="1" applyBorder="1" applyAlignment="1" applyProtection="true">
      <alignment horizontal="center" vertical="bottom" textRotation="0" wrapText="false" shrinkToFit="false"/>
      <protection hidden="true"/>
    </xf>
    <xf xfId="0" fontId="10" numFmtId="0" fillId="14" borderId="46" applyFont="1" applyNumberFormat="0" applyFill="1" applyBorder="1" applyAlignment="1" applyProtection="true">
      <alignment horizontal="center" vertical="bottom" textRotation="0" wrapText="false" shrinkToFit="false"/>
      <protection hidden="true"/>
    </xf>
    <xf xfId="0" fontId="10" numFmtId="0" fillId="14" borderId="51" applyFont="1" applyNumberFormat="0" applyFill="1" applyBorder="1" applyAlignment="1" applyProtection="true">
      <alignment horizontal="center" vertical="bottom" textRotation="0" wrapText="false" shrinkToFit="false"/>
      <protection hidden="true"/>
    </xf>
    <xf xfId="0" fontId="10" numFmtId="0" fillId="0" borderId="100" applyFont="1" applyNumberFormat="0" applyFill="0" applyBorder="1" applyAlignment="1">
      <alignment horizontal="left" vertical="bottom" textRotation="0" wrapText="false" shrinkToFit="false" indent="1"/>
    </xf>
    <xf xfId="0" fontId="10" numFmtId="0" fillId="0" borderId="71"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1"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4" applyFont="1" applyNumberFormat="0" applyFill="0" applyBorder="1" applyAlignment="1">
      <alignment horizontal="left" vertical="bottom" textRotation="0" wrapText="false" shrinkToFit="false" indent="1"/>
    </xf>
    <xf xfId="0" fontId="10" numFmtId="0" fillId="0" borderId="105" applyFont="1" applyNumberFormat="0" applyFill="0" applyBorder="1" applyAlignment="1">
      <alignment horizontal="left" vertical="bottom" textRotation="0" wrapText="false" shrinkToFit="false" indent="1"/>
    </xf>
    <xf xfId="0" fontId="10" numFmtId="0" fillId="0" borderId="66" applyFont="1" applyNumberFormat="0" applyFill="0" applyBorder="1" applyAlignment="1">
      <alignment horizontal="left" vertical="bottom" textRotation="0" wrapText="false" shrinkToFit="false" indent="1"/>
    </xf>
    <xf xfId="0" fontId="0" numFmtId="0" fillId="0" borderId="102" applyFont="0" applyNumberFormat="0" applyFill="0" applyBorder="1" applyAlignment="1">
      <alignment horizontal="center" vertical="bottom" textRotation="0" wrapText="false" shrinkToFit="false"/>
    </xf>
    <xf xfId="0" fontId="0" numFmtId="0" fillId="0" borderId="103" applyFont="0" applyNumberFormat="0" applyFill="0" applyBorder="1" applyAlignment="1">
      <alignment horizontal="center" vertical="bottom" textRotation="0" wrapText="false" shrinkToFit="false"/>
    </xf>
    <xf xfId="0" fontId="0" numFmtId="0" fillId="0" borderId="106" applyFont="0" applyNumberFormat="0" applyFill="0" applyBorder="1" applyAlignment="1">
      <alignment horizontal="center" vertical="bottom" textRotation="0" wrapText="false" shrinkToFit="false"/>
    </xf>
    <xf xfId="0" fontId="0" numFmtId="0" fillId="0" borderId="84"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lignment horizontal="left" vertical="center" textRotation="0" wrapText="true" shrinkToFit="false" indent="1"/>
    </xf>
    <xf xfId="0" fontId="10" numFmtId="0" fillId="0" borderId="63" applyFont="1" applyNumberFormat="0" applyFill="0" applyBorder="1" applyAlignment="1">
      <alignment horizontal="left" vertical="center" textRotation="0" wrapText="true" shrinkToFit="false" indent="1"/>
    </xf>
    <xf xfId="0" fontId="18" numFmtId="0" fillId="0" borderId="106" applyFont="1" applyNumberFormat="0" applyFill="0" applyBorder="1" applyAlignment="1" applyProtection="true">
      <alignment horizontal="left" vertical="center" textRotation="0" wrapText="false" shrinkToFit="false" indent="1"/>
      <protection hidden="true"/>
    </xf>
    <xf xfId="0" fontId="18" numFmtId="0" fillId="0" borderId="84" applyFont="1" applyNumberFormat="0" applyFill="0" applyBorder="1" applyAlignment="1" applyProtection="true">
      <alignment horizontal="left" vertical="center" textRotation="0" wrapText="false" shrinkToFit="false" indent="1"/>
      <protection hidden="true"/>
    </xf>
    <xf xfId="0" fontId="18" numFmtId="0" fillId="0" borderId="105" applyFont="1" applyNumberFormat="0" applyFill="0" applyBorder="1" applyAlignment="1" applyProtection="true">
      <alignment horizontal="left" vertical="center" textRotation="0" wrapText="false" shrinkToFit="false" indent="1"/>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4" applyFont="1" applyNumberFormat="0" applyFill="0" applyBorder="1" applyAlignment="1" applyProtection="true">
      <alignment horizontal="left" vertical="center" textRotation="0" wrapText="false" shrinkToFit="false" indent="1"/>
      <protection hidden="true"/>
    </xf>
    <xf xfId="0" fontId="18" numFmtId="0" fillId="0" borderId="100" applyFont="1" applyNumberFormat="0" applyFill="0" applyBorder="1" applyAlignment="1" applyProtection="true">
      <alignment horizontal="left" vertical="bottom" textRotation="0" wrapText="false" shrinkToFit="false" indent="1"/>
      <protection hidden="true"/>
    </xf>
    <xf xfId="0" fontId="18" numFmtId="0" fillId="0" borderId="71" applyFont="1" applyNumberFormat="0" applyFill="0" applyBorder="1" applyAlignment="1" applyProtection="true">
      <alignment horizontal="left" vertical="bottom" textRotation="0" wrapText="false" shrinkToFit="false" indent="1"/>
      <protection hidden="true"/>
    </xf>
    <xf xfId="0" fontId="18" numFmtId="0" fillId="0" borderId="102" applyFont="1" applyNumberFormat="0" applyFill="0" applyBorder="1" applyAlignment="1" applyProtection="true">
      <alignment horizontal="left" vertical="bottom" textRotation="0" wrapText="false" shrinkToFit="false" indent="1"/>
      <protection hidden="true"/>
    </xf>
    <xf xfId="0" fontId="18" numFmtId="0" fillId="0" borderId="103" applyFont="1" applyNumberFormat="0" applyFill="0" applyBorder="1" applyAlignment="1" applyProtection="true">
      <alignment horizontal="left" vertical="bottom" textRotation="0" wrapText="false" shrinkToFit="false" indent="1"/>
      <protection hidden="true"/>
    </xf>
    <xf xfId="0" fontId="9" numFmtId="0" fillId="15" borderId="107" applyFont="1" applyNumberFormat="0" applyFill="1" applyBorder="1" applyAlignment="1" applyProtection="true">
      <alignment horizontal="center" vertical="center" textRotation="0" wrapText="true" shrinkToFit="false"/>
      <protection hidden="true"/>
    </xf>
    <xf xfId="0" fontId="44" numFmtId="0" fillId="16" borderId="108" applyFont="1" applyNumberFormat="0" applyFill="1" applyBorder="1" applyAlignment="1" applyProtection="true">
      <alignment horizontal="center" vertical="bottom" textRotation="0" wrapText="false" shrinkToFit="false"/>
      <protection hidden="true"/>
    </xf>
    <xf xfId="0" fontId="44" numFmtId="0" fillId="16" borderId="109"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4" applyFont="1" applyNumberFormat="0" applyFill="0" applyBorder="1" applyAlignment="1" applyProtection="true">
      <alignment horizontal="left" vertical="center" textRotation="0" wrapText="false" shrinkToFit="false" indent="1"/>
      <protection hidden="true"/>
    </xf>
    <xf xfId="0" fontId="18" numFmtId="0" fillId="0" borderId="63" applyFont="1" applyNumberFormat="0" applyFill="0" applyBorder="1" applyAlignment="1" applyProtection="true">
      <alignment horizontal="left" vertical="center" textRotation="0" wrapText="false" shrinkToFit="false" indent="1"/>
      <protection hidden="true"/>
    </xf>
    <xf xfId="0" fontId="18" numFmtId="0" fillId="0" borderId="102"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0" applyFont="1" applyNumberFormat="0" applyFill="1" applyBorder="1" applyAlignment="1" applyProtection="true">
      <alignment horizontal="left" vertical="center" textRotation="0" wrapText="false" shrinkToFit="false" indent="4"/>
      <protection hidden="true"/>
    </xf>
    <xf xfId="0" fontId="8" numFmtId="0" fillId="16" borderId="45" applyFont="1" applyNumberFormat="0" applyFill="1" applyBorder="1" applyAlignment="1" applyProtection="true">
      <alignment horizontal="center" vertical="center" textRotation="0" wrapText="false" shrinkToFit="false"/>
      <protection hidden="true"/>
    </xf>
    <xf xfId="0" fontId="44" numFmtId="0" fillId="16" borderId="46" applyFont="1" applyNumberFormat="0" applyFill="1" applyBorder="1" applyAlignment="0" applyProtection="true">
      <protection hidden="true"/>
    </xf>
    <xf xfId="0" fontId="44" numFmtId="0" fillId="16"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88"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10" applyFont="1" applyNumberFormat="0" applyFill="1" applyBorder="1" applyAlignment="1" applyProtection="true">
      <alignment horizontal="center" vertical="center" textRotation="0" wrapText="false" shrinkToFit="false"/>
      <protection hidden="true"/>
    </xf>
    <xf xfId="0" fontId="47" numFmtId="0" fillId="4" borderId="111" applyFont="1" applyNumberFormat="0" applyFill="1" applyBorder="1" applyAlignment="1" applyProtection="true">
      <alignment horizontal="center" vertical="center" textRotation="0" wrapText="false" shrinkToFit="false"/>
      <protection hidden="true"/>
    </xf>
    <xf xfId="0" fontId="47" numFmtId="0" fillId="4" borderId="112" applyFont="1" applyNumberFormat="0" applyFill="1" applyBorder="1" applyAlignment="1" applyProtection="true">
      <alignment horizontal="center" vertical="center" textRotation="0" wrapText="false" shrinkToFit="false"/>
      <protection hidden="true"/>
    </xf>
    <xf xfId="0" fontId="8" numFmtId="0" fillId="16" borderId="107" applyFont="1" applyNumberFormat="0" applyFill="1" applyBorder="1" applyAlignment="1" applyProtection="true">
      <alignment horizontal="center" vertical="center" textRotation="0" wrapText="false" shrinkToFit="false"/>
      <protection hidden="true"/>
    </xf>
    <xf xfId="0" fontId="8" numFmtId="0" fillId="16" borderId="108" applyFont="1" applyNumberFormat="0" applyFill="1" applyBorder="1" applyAlignment="1" applyProtection="true">
      <alignment horizontal="center" vertical="center" textRotation="0" wrapText="false" shrinkToFit="false"/>
      <protection hidden="true"/>
    </xf>
    <xf xfId="0" fontId="8" numFmtId="0" fillId="16" borderId="109"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08"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3" applyFont="0" applyNumberFormat="0" applyFill="0" applyBorder="1" applyAlignment="0"/>
    <xf xfId="0" fontId="0" numFmtId="0" fillId="0" borderId="114"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5" applyFont="0" applyNumberFormat="0" applyFill="1" applyBorder="1" applyAlignment="0"/>
    <xf xfId="0" fontId="0" numFmtId="0" fillId="17" borderId="114" applyFont="0" applyNumberFormat="0" applyFill="1" applyBorder="1" applyAlignment="0"/>
    <xf xfId="0" fontId="0" numFmtId="0" fillId="17" borderId="116" applyFont="0" applyNumberFormat="0" applyFill="1" applyBorder="1" applyAlignment="0"/>
    <xf xfId="0" fontId="0" numFmtId="0" fillId="0" borderId="117" applyFont="0" applyNumberFormat="0" applyFill="0" applyBorder="1" applyAlignment="0"/>
    <xf xfId="0" fontId="0" numFmtId="0" fillId="0" borderId="118" applyFont="0" applyNumberFormat="0" applyFill="0" applyBorder="1" applyAlignment="0"/>
    <xf xfId="0" fontId="0" numFmtId="0" fillId="0" borderId="119" applyFont="0" applyNumberFormat="0" applyFill="0" applyBorder="1" applyAlignment="0"/>
    <xf xfId="0" fontId="0" numFmtId="0" fillId="0" borderId="120" applyFont="0" applyNumberFormat="0" applyFill="0" applyBorder="1" applyAlignment="0"/>
    <xf xfId="0" fontId="0" numFmtId="0" fillId="0" borderId="121" applyFont="0" applyNumberFormat="0" applyFill="0" applyBorder="1" applyAlignment="0"/>
    <xf xfId="0" fontId="0" numFmtId="0" fillId="0" borderId="19" applyFont="0" applyNumberFormat="0" applyFill="0" applyBorder="1" applyAlignment="0"/>
    <xf xfId="0" fontId="0" numFmtId="0" fillId="0" borderId="122"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4" applyFont="0" applyNumberFormat="0" applyFill="0" applyBorder="1" applyAlignment="1">
      <alignment horizontal="left" vertical="bottom" textRotation="0" wrapText="false" shrinkToFit="false" indent="1"/>
    </xf>
    <xf xfId="0" fontId="0" numFmtId="0" fillId="0" borderId="113" applyFont="0" applyNumberFormat="0" applyFill="0" applyBorder="1" applyAlignment="1">
      <alignment horizontal="left" vertical="bottom" textRotation="0" wrapText="false" shrinkToFit="false" indent="1"/>
    </xf>
    <xf xfId="0" fontId="0" numFmtId="0" fillId="0" borderId="114"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101"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07" applyFont="1" applyNumberFormat="0" applyFill="1" applyBorder="1" applyAlignment="1">
      <alignment horizontal="center" vertical="center" textRotation="0" wrapText="false" shrinkToFit="false"/>
    </xf>
    <xf xfId="0" fontId="40" numFmtId="0" fillId="18" borderId="108" applyFont="1" applyNumberFormat="0" applyFill="1" applyBorder="1" applyAlignment="1">
      <alignment horizontal="center" vertical="center" textRotation="0" wrapText="false" shrinkToFit="false"/>
    </xf>
    <xf xfId="0" fontId="40" numFmtId="0" fillId="18" borderId="109"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23" applyFont="1" applyNumberFormat="0" applyFill="0" applyBorder="1" applyAlignment="1">
      <alignment horizontal="center" vertical="center" textRotation="0" wrapText="false" shrinkToFit="false"/>
    </xf>
    <xf xfId="0" fontId="27" numFmtId="0" fillId="0" borderId="124"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5" applyFont="0" applyNumberFormat="0" applyFill="0" applyBorder="1" applyAlignment="1">
      <alignment horizontal="left" vertical="top" textRotation="0" wrapText="true" shrinkToFit="false" indent="1"/>
    </xf>
    <xf xfId="0" fontId="0" numFmtId="0" fillId="0" borderId="126" applyFont="0" applyNumberFormat="0" applyFill="0" applyBorder="1" applyAlignment="1">
      <alignment horizontal="left" vertical="top" textRotation="0" wrapText="true" shrinkToFit="false" indent="1"/>
    </xf>
    <xf xfId="0" fontId="0" numFmtId="0" fillId="0" borderId="127" applyFont="0" applyNumberFormat="0" applyFill="0" applyBorder="1" applyAlignment="1">
      <alignment horizontal="left" vertical="top" textRotation="0" wrapText="true" shrinkToFit="false" indent="1"/>
    </xf>
    <xf xfId="0" fontId="0" numFmtId="0" fillId="0" borderId="128" applyFont="0" applyNumberFormat="0" applyFill="0" applyBorder="1" applyAlignment="1">
      <alignment horizontal="left" vertical="top" textRotation="0" wrapText="true" shrinkToFit="false" indent="1"/>
    </xf>
    <xf xfId="0" fontId="0" numFmtId="0" fillId="0" borderId="129" applyFont="0" applyNumberFormat="0" applyFill="0" applyBorder="1" applyAlignment="1">
      <alignment horizontal="left" vertical="top" textRotation="0" wrapText="true" shrinkToFit="false" indent="1"/>
    </xf>
    <xf xfId="0" fontId="0" numFmtId="0" fillId="0" borderId="113" applyFont="0" applyNumberFormat="0" applyFill="0" applyBorder="1" applyAlignment="1">
      <alignment horizontal="left" vertical="top" textRotation="0" wrapText="false" shrinkToFit="false" indent="1"/>
    </xf>
    <xf xfId="0" fontId="0" numFmtId="0" fillId="0" borderId="116" applyFont="0" applyNumberFormat="0" applyFill="0" applyBorder="1" applyAlignment="1">
      <alignment horizontal="left" vertical="top" textRotation="0" wrapText="fals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30" applyFont="1" applyNumberFormat="0" applyFill="1" applyBorder="1" applyAlignment="1">
      <alignment horizontal="center" vertical="bottom" textRotation="0" wrapText="false" shrinkToFit="false"/>
    </xf>
    <xf xfId="0" fontId="39" numFmtId="0" fillId="10" borderId="96" applyFont="1" applyNumberFormat="0" applyFill="1" applyBorder="1" applyAlignment="1">
      <alignment horizontal="center" vertical="bottom" textRotation="0" wrapText="false" shrinkToFit="false"/>
    </xf>
    <xf xfId="0" fontId="39" numFmtId="0" fillId="10" borderId="131" applyFont="1" applyNumberFormat="0" applyFill="1" applyBorder="1" applyAlignment="1">
      <alignment horizontal="center" vertical="bottom" textRotation="0" wrapText="false" shrinkToFit="false"/>
    </xf>
    <xf xfId="0" fontId="0" numFmtId="0" fillId="2" borderId="113" applyFont="0" applyNumberFormat="0" applyFill="1" applyBorder="1" applyAlignment="1">
      <alignment horizontal="center" vertical="bottom" textRotation="0" wrapText="false" shrinkToFit="false"/>
    </xf>
    <xf xfId="0" fontId="0" numFmtId="0" fillId="2" borderId="116" applyFont="0" applyNumberFormat="0" applyFill="1" applyBorder="1" applyAlignment="1">
      <alignment horizontal="center" vertical="bottom" textRotation="0" wrapText="false" shrinkToFit="false"/>
    </xf>
    <xf xfId="0" fontId="0" numFmtId="0" fillId="2" borderId="115" applyFont="0" applyNumberFormat="0" applyFill="1" applyBorder="1" applyAlignment="1">
      <alignment horizontal="center" vertical="bottom" textRotation="0" wrapText="false" shrinkToFit="false"/>
    </xf>
    <xf xfId="0" fontId="0" numFmtId="0" fillId="2" borderId="114"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6" applyFont="0" applyNumberFormat="0" applyFill="0" applyBorder="1" applyAlignment="1">
      <alignment horizontal="left" vertical="top" textRotation="0" wrapText="fals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88" applyFont="1" applyNumberFormat="0" applyFill="0" applyBorder="1" applyAlignment="1" applyProtection="true">
      <alignment horizontal="center" vertical="center" textRotation="0" wrapText="false" shrinkToFit="false"/>
      <protection locked="false"/>
    </xf>
    <xf xfId="0" fontId="10" numFmtId="0" fillId="0" borderId="80"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07" applyFont="1" applyNumberFormat="0" applyFill="1" applyBorder="1" applyAlignment="1">
      <alignment horizontal="center" vertical="center" textRotation="0" wrapText="false" shrinkToFit="false"/>
    </xf>
    <xf xfId="0" fontId="38" numFmtId="0" fillId="10" borderId="108" applyFont="1" applyNumberFormat="0" applyFill="1" applyBorder="1" applyAlignment="1">
      <alignment horizontal="center" vertical="center" textRotation="0" wrapText="false" shrinkToFit="false"/>
    </xf>
    <xf xfId="0" fontId="38" numFmtId="0" fillId="10" borderId="109" applyFont="1" applyNumberFormat="0" applyFill="1" applyBorder="1" applyAlignment="1">
      <alignment horizontal="center" vertical="center" textRotation="0" wrapText="false" shrinkToFit="false"/>
    </xf>
    <xf xfId="0" fontId="38" numFmtId="0" fillId="10" borderId="101"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88" applyFont="1" applyNumberFormat="0" applyFill="0" applyBorder="1" applyAlignment="1">
      <alignment horizontal="center" vertical="center" textRotation="0" wrapText="false" shrinkToFit="false"/>
    </xf>
    <xf xfId="0" fontId="10" numFmtId="0" fillId="0" borderId="80"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88"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0"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88"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0"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88" applyFont="1" applyNumberFormat="0" applyFill="0" applyBorder="1" applyAlignment="1" applyProtection="true">
      <alignment horizontal="center" vertical="bottom" textRotation="0" wrapText="false" shrinkToFit="false"/>
      <protection locked="false"/>
    </xf>
    <xf xfId="0" fontId="10" numFmtId="0" fillId="0" borderId="80"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88"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0"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07" applyFont="1" applyNumberFormat="0" applyFill="0" applyBorder="1" applyAlignment="1">
      <alignment horizontal="center" vertical="center" textRotation="0" wrapText="false" shrinkToFit="false"/>
    </xf>
    <xf xfId="0" fontId="13" numFmtId="0" fillId="0" borderId="108" applyFont="1" applyNumberFormat="0" applyFill="0" applyBorder="1" applyAlignment="1">
      <alignment horizontal="center" vertical="center" textRotation="0" wrapText="false" shrinkToFit="false"/>
    </xf>
    <xf xfId="0" fontId="13" numFmtId="0" fillId="0" borderId="109"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101"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88"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0"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88"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0"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88"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0"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88"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0"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2" numFmtId="0" fillId="0" borderId="6" applyFont="1" applyNumberFormat="0" applyFill="0" applyBorder="1" applyAlignment="1">
      <alignment horizontal="left" vertical="center" textRotation="0" wrapText="false" shrinkToFit="false" indent="1"/>
    </xf>
    <xf xfId="0" fontId="7" numFmtId="0" fillId="0" borderId="132"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23" t="s">
        <v>0</v>
      </c>
      <c r="D18" s="323"/>
      <c r="E18" s="323"/>
      <c r="F18" s="323"/>
    </row>
    <row r="19" spans="1:7">
      <c r="C19" s="323"/>
      <c r="D19" s="323"/>
      <c r="E19" s="323"/>
      <c r="F19" s="323"/>
    </row>
    <row r="20" spans="1:7">
      <c r="C20" s="323" t="s">
        <v>1</v>
      </c>
      <c r="D20" s="323"/>
      <c r="E20" s="323"/>
      <c r="F20" s="323"/>
    </row>
    <row r="21" spans="1:7">
      <c r="C21" s="323"/>
      <c r="D21" s="323"/>
      <c r="E21" s="323"/>
      <c r="F21" s="323"/>
    </row>
    <row r="24" spans="1:7">
      <c r="B24" s="324" t="s">
        <v>2</v>
      </c>
      <c r="C24" s="324"/>
    </row>
    <row r="26" spans="1:7">
      <c r="B26" s="52"/>
      <c r="C26" s="52"/>
      <c r="D26" s="319" t="s">
        <v>3</v>
      </c>
      <c r="E26" s="319"/>
      <c r="F26" s="321" t="s">
        <v>4</v>
      </c>
      <c r="G26" s="321"/>
    </row>
    <row r="27" spans="1:7">
      <c r="B27" s="52"/>
      <c r="C27" s="52"/>
      <c r="D27" s="319" t="s">
        <v>5</v>
      </c>
      <c r="E27" s="319"/>
      <c r="F27" s="321" t="s">
        <v>6</v>
      </c>
      <c r="G27" s="321"/>
    </row>
    <row r="28" spans="1:7">
      <c r="B28" s="52"/>
      <c r="C28" s="52"/>
      <c r="D28" s="319" t="s">
        <v>7</v>
      </c>
      <c r="E28" s="319"/>
      <c r="F28" s="321" t="s">
        <v>8</v>
      </c>
      <c r="G28" s="321"/>
    </row>
    <row r="29" spans="1:7">
      <c r="B29" s="52"/>
      <c r="C29" s="52"/>
      <c r="D29" s="319" t="s">
        <v>9</v>
      </c>
      <c r="E29" s="319"/>
      <c r="F29" s="321"/>
      <c r="G29" s="321"/>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19" t="s">
        <v>10</v>
      </c>
      <c r="C35" s="319"/>
      <c r="D35" s="322"/>
      <c r="E35" s="322"/>
      <c r="F35" s="322"/>
      <c r="G35" s="322"/>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0" t="s">
        <v>11</v>
      </c>
      <c r="C39" s="321"/>
      <c r="D39" s="321"/>
      <c r="E39" s="321"/>
      <c r="F39" s="321"/>
      <c r="G39" s="321"/>
    </row>
    <row r="40" spans="1:7">
      <c r="B40" s="52"/>
      <c r="C40" s="52"/>
      <c r="D40" s="52"/>
      <c r="E40" s="52"/>
      <c r="F40" s="52"/>
      <c r="G40" s="52"/>
    </row>
    <row r="41" spans="1:7">
      <c r="B41" s="52"/>
      <c r="C41" s="52"/>
      <c r="D41" s="52"/>
      <c r="E41" s="52"/>
      <c r="F41" s="52"/>
      <c r="G41" s="52"/>
    </row>
    <row r="42" spans="1:7">
      <c r="B42" s="319" t="s">
        <v>12</v>
      </c>
      <c r="C42" s="319"/>
      <c r="D42" s="52"/>
      <c r="E42" s="52"/>
      <c r="F42" s="52"/>
      <c r="G42" s="52"/>
    </row>
    <row r="43" spans="1:7">
      <c r="B43" s="53"/>
      <c r="C43" s="53"/>
      <c r="D43" s="53"/>
      <c r="E43" s="53"/>
      <c r="F43" s="53"/>
      <c r="G43" s="53"/>
    </row>
    <row r="44" spans="1:7">
      <c r="B44" s="52"/>
      <c r="C44" s="52"/>
      <c r="D44" s="52"/>
      <c r="E44" s="52"/>
      <c r="F44" s="52"/>
      <c r="G44" s="52"/>
    </row>
    <row r="45" spans="1:7">
      <c r="B45" s="319" t="s">
        <v>13</v>
      </c>
      <c r="C45" s="319"/>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110"/>
  <sheetViews>
    <sheetView tabSelected="0" workbookViewId="0" showGridLines="true" showRowColHeaders="1" topLeftCell="F36">
      <selection activeCell="C94" sqref="C94"/>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81" t="s">
        <v>14</v>
      </c>
      <c r="B1" s="389"/>
      <c r="C1" s="389"/>
      <c r="D1" s="389"/>
      <c r="E1" s="389"/>
      <c r="F1" s="389"/>
      <c r="G1" s="389"/>
      <c r="H1" s="389"/>
      <c r="I1" s="389"/>
      <c r="J1" s="389"/>
      <c r="K1" s="389"/>
      <c r="L1" s="389"/>
      <c r="M1" s="389"/>
      <c r="N1" s="389"/>
      <c r="S1"/>
    </row>
    <row r="2" spans="1:19" customHeight="1" ht="21">
      <c r="A2" s="381" t="s">
        <v>15</v>
      </c>
      <c r="B2" s="389"/>
      <c r="C2" s="389"/>
      <c r="D2" s="389"/>
      <c r="E2" s="389"/>
      <c r="F2" s="389"/>
      <c r="G2" s="389"/>
      <c r="H2" s="389"/>
      <c r="I2" s="389"/>
      <c r="J2" s="389"/>
      <c r="K2" s="389"/>
      <c r="L2" s="389"/>
      <c r="M2" s="389"/>
      <c r="N2" s="389"/>
      <c r="S2"/>
    </row>
    <row r="3" spans="1:19">
      <c r="S3"/>
    </row>
    <row r="4" spans="1:19">
      <c r="S4"/>
    </row>
    <row r="5" spans="1:19" customHeight="1" ht="14.5">
      <c r="A5" s="390" t="s">
        <v>16</v>
      </c>
      <c r="B5" s="382"/>
      <c r="C5" s="382"/>
      <c r="D5" s="382"/>
      <c r="E5" s="382"/>
      <c r="F5" s="382"/>
      <c r="G5" s="382"/>
      <c r="H5" s="382"/>
      <c r="I5" s="382"/>
      <c r="J5" s="382"/>
      <c r="K5" s="382"/>
      <c r="L5" s="382"/>
      <c r="M5" s="382"/>
      <c r="N5" s="382"/>
      <c r="S5"/>
    </row>
    <row r="6" spans="1:19">
      <c r="S6"/>
    </row>
    <row r="7" spans="1:19" customHeight="1" ht="14.5">
      <c r="A7" s="390" t="s">
        <v>17</v>
      </c>
      <c r="B7" s="382"/>
      <c r="C7" s="382"/>
      <c r="D7" s="382"/>
      <c r="E7" s="382"/>
      <c r="F7" s="382"/>
      <c r="G7" s="382"/>
      <c r="H7" s="382"/>
      <c r="I7" s="382"/>
      <c r="J7" s="382"/>
      <c r="K7" s="382"/>
      <c r="L7" s="382"/>
      <c r="M7" s="382"/>
      <c r="N7" s="382"/>
      <c r="S7"/>
    </row>
    <row r="8" spans="1:19">
      <c r="S8"/>
    </row>
    <row r="9" spans="1:19" customHeight="1" ht="14.5">
      <c r="A9" s="390" t="s">
        <v>18</v>
      </c>
      <c r="B9" s="382"/>
      <c r="C9" s="382"/>
      <c r="D9" s="382"/>
      <c r="E9" s="382"/>
      <c r="F9" s="382"/>
      <c r="G9" s="382"/>
      <c r="H9" s="382"/>
      <c r="I9" s="382"/>
      <c r="J9" s="382"/>
      <c r="K9" s="382"/>
      <c r="L9" s="382"/>
      <c r="M9" s="382"/>
      <c r="N9" s="382"/>
      <c r="S9"/>
    </row>
    <row r="10" spans="1:19">
      <c r="Q10" s="332"/>
      <c r="R10" s="332"/>
      <c r="S10" s="332"/>
    </row>
    <row r="11" spans="1:19" customHeight="1" ht="18.5">
      <c r="A11" s="391" t="s">
        <v>19</v>
      </c>
      <c r="B11" s="392"/>
      <c r="C11" s="392"/>
      <c r="D11" s="392"/>
      <c r="E11" s="392"/>
      <c r="F11" s="392"/>
      <c r="G11" s="392"/>
      <c r="H11" s="392"/>
      <c r="I11" s="392"/>
      <c r="J11" s="392"/>
      <c r="K11" s="392"/>
      <c r="L11" s="392"/>
      <c r="M11" s="392"/>
      <c r="N11" s="392"/>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80" t="s">
        <v>20</v>
      </c>
      <c r="C14" s="380"/>
      <c r="D14" s="380"/>
      <c r="E14" s="380"/>
      <c r="F14" s="380"/>
      <c r="G14" s="4"/>
      <c r="H14" s="383" t="s">
        <v>21</v>
      </c>
      <c r="I14" s="384"/>
      <c r="J14" s="384"/>
      <c r="K14" s="384"/>
      <c r="L14" s="384"/>
      <c r="M14" s="384"/>
      <c r="N14" s="385"/>
      <c r="S14"/>
    </row>
    <row r="15" spans="1:19" customHeight="1" ht="18.5">
      <c r="A15" s="3"/>
      <c r="B15" s="4"/>
      <c r="C15" s="4"/>
      <c r="D15" s="4"/>
      <c r="E15" s="4"/>
      <c r="F15" s="4"/>
      <c r="G15" s="4"/>
      <c r="H15" s="4"/>
      <c r="I15" s="4"/>
      <c r="J15" s="4"/>
      <c r="K15" s="4"/>
      <c r="L15" s="4"/>
      <c r="M15" s="4"/>
      <c r="N15" s="4"/>
      <c r="S15"/>
    </row>
    <row r="16" spans="1:19" customHeight="1" ht="18.5">
      <c r="A16" s="3"/>
      <c r="B16" s="380" t="s">
        <v>22</v>
      </c>
      <c r="C16" s="380"/>
      <c r="D16" s="380"/>
      <c r="E16" s="380"/>
      <c r="F16" s="380"/>
      <c r="G16" s="4"/>
      <c r="H16" s="393"/>
      <c r="I16" s="394"/>
      <c r="J16" s="394"/>
      <c r="K16" s="394"/>
      <c r="L16" s="394"/>
      <c r="M16" s="394"/>
      <c r="N16" s="395"/>
      <c r="S16"/>
    </row>
    <row r="17" spans="1:19" customHeight="1" ht="18.5">
      <c r="A17" s="3"/>
      <c r="B17" s="380"/>
      <c r="C17" s="380"/>
      <c r="D17" s="380"/>
      <c r="E17" s="380"/>
      <c r="F17" s="380"/>
      <c r="G17" s="4"/>
      <c r="H17" s="396"/>
      <c r="I17" s="397"/>
      <c r="J17" s="397"/>
      <c r="K17" s="397"/>
      <c r="L17" s="397"/>
      <c r="M17" s="397"/>
      <c r="N17" s="398"/>
      <c r="S17"/>
    </row>
    <row r="18" spans="1:19" customHeight="1" ht="18.5">
      <c r="A18" s="3"/>
      <c r="B18" s="4"/>
      <c r="C18" s="4"/>
      <c r="D18" s="4"/>
      <c r="E18" s="4"/>
      <c r="F18" s="4"/>
      <c r="G18" s="4"/>
      <c r="H18" s="4"/>
      <c r="I18" s="4"/>
      <c r="J18" s="4"/>
      <c r="K18" s="4"/>
      <c r="L18" s="4"/>
      <c r="M18" s="4"/>
      <c r="N18" s="4"/>
      <c r="S18"/>
    </row>
    <row r="19" spans="1:19" customHeight="1" ht="18.5">
      <c r="A19" s="3"/>
      <c r="B19" s="380" t="s">
        <v>23</v>
      </c>
      <c r="C19" s="380"/>
      <c r="D19" s="380"/>
      <c r="E19" s="380"/>
      <c r="F19" s="380"/>
      <c r="G19" s="4"/>
      <c r="H19" s="383" t="s">
        <v>24</v>
      </c>
      <c r="I19" s="384"/>
      <c r="J19" s="384"/>
      <c r="K19" s="384"/>
      <c r="L19" s="384"/>
      <c r="M19" s="384"/>
      <c r="N19" s="385"/>
      <c r="S19"/>
    </row>
    <row r="20" spans="1:19" customHeight="1" ht="18.5">
      <c r="A20" s="3"/>
      <c r="B20" s="380" t="s">
        <v>22</v>
      </c>
      <c r="C20" s="380"/>
      <c r="D20" s="380"/>
      <c r="E20" s="380"/>
      <c r="F20" s="380"/>
      <c r="G20" s="4"/>
      <c r="H20" s="383"/>
      <c r="I20" s="384"/>
      <c r="J20" s="384"/>
      <c r="K20" s="384"/>
      <c r="L20" s="384"/>
      <c r="M20" s="384"/>
      <c r="N20" s="385"/>
      <c r="S20"/>
    </row>
    <row r="21" spans="1:19" customHeight="1" ht="18.5">
      <c r="A21" s="3"/>
      <c r="B21" s="4"/>
      <c r="C21" s="4"/>
      <c r="D21" s="4"/>
      <c r="E21" s="4"/>
      <c r="F21" s="4"/>
      <c r="G21" s="4"/>
      <c r="H21" s="4"/>
      <c r="I21" s="4"/>
      <c r="J21" s="4"/>
      <c r="K21" s="4"/>
      <c r="L21" s="4"/>
      <c r="M21" s="4"/>
      <c r="N21" s="4"/>
      <c r="S21"/>
    </row>
    <row r="22" spans="1:19" customHeight="1" ht="18.5">
      <c r="A22" s="3"/>
      <c r="B22" s="380" t="s">
        <v>25</v>
      </c>
      <c r="C22" s="380"/>
      <c r="D22" s="380"/>
      <c r="E22" s="380"/>
      <c r="F22" s="380"/>
      <c r="G22" s="4"/>
      <c r="H22" s="383" t="s">
        <v>26</v>
      </c>
      <c r="I22" s="384"/>
      <c r="J22" s="384"/>
      <c r="K22" s="384"/>
      <c r="L22" s="384"/>
      <c r="M22" s="384"/>
      <c r="N22" s="385"/>
      <c r="S22"/>
    </row>
    <row r="23" spans="1:19" customHeight="1" ht="18.5">
      <c r="A23" s="3"/>
      <c r="B23" s="4"/>
      <c r="C23" s="4"/>
      <c r="D23" s="4"/>
      <c r="E23" s="4"/>
      <c r="F23" s="4"/>
      <c r="G23" s="4"/>
      <c r="H23" s="4"/>
      <c r="I23" s="4"/>
      <c r="J23" s="4"/>
      <c r="K23" s="4"/>
      <c r="L23" s="4"/>
      <c r="M23" s="4"/>
      <c r="N23" s="4"/>
      <c r="S23"/>
    </row>
    <row r="24" spans="1:19" customHeight="1" ht="18.5">
      <c r="A24" s="3"/>
      <c r="B24" s="380" t="s">
        <v>27</v>
      </c>
      <c r="C24" s="380"/>
      <c r="D24" s="380"/>
      <c r="E24" s="380"/>
      <c r="F24" s="380"/>
      <c r="G24" s="4"/>
      <c r="H24" s="383" t="s">
        <v>28</v>
      </c>
      <c r="I24" s="384"/>
      <c r="J24" s="384"/>
      <c r="K24" s="384"/>
      <c r="L24" s="384"/>
      <c r="M24" s="384"/>
      <c r="N24" s="385"/>
      <c r="S24"/>
    </row>
    <row r="25" spans="1:19" customHeight="1" ht="18.5">
      <c r="A25" s="3"/>
      <c r="B25" s="4"/>
      <c r="C25" s="4"/>
      <c r="D25" s="4"/>
      <c r="E25" s="4"/>
      <c r="F25" s="4"/>
      <c r="G25" s="4"/>
      <c r="H25" s="4"/>
      <c r="I25" s="4"/>
      <c r="J25" s="4"/>
      <c r="K25" s="4"/>
      <c r="L25" s="4"/>
      <c r="M25" s="4"/>
      <c r="N25" s="4"/>
      <c r="S25"/>
    </row>
    <row r="26" spans="1:19" customHeight="1" ht="18.5">
      <c r="A26" s="3"/>
      <c r="B26" s="380" t="s">
        <v>29</v>
      </c>
      <c r="C26" s="380"/>
      <c r="D26" s="380"/>
      <c r="E26" s="380"/>
      <c r="F26" s="380"/>
      <c r="G26" s="4"/>
      <c r="H26" s="383" t="s">
        <v>30</v>
      </c>
      <c r="I26" s="384"/>
      <c r="J26" s="384"/>
      <c r="K26" s="384"/>
      <c r="L26" s="384"/>
      <c r="M26" s="384"/>
      <c r="N26" s="385"/>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80" t="s">
        <v>31</v>
      </c>
      <c r="C30" s="380"/>
      <c r="D30" s="380"/>
      <c r="E30" s="380"/>
      <c r="F30" s="380"/>
      <c r="G30" s="4"/>
      <c r="H30" s="383" t="s">
        <v>32</v>
      </c>
      <c r="I30" s="384"/>
      <c r="J30" s="384"/>
      <c r="K30" s="384"/>
      <c r="L30" s="384"/>
      <c r="M30" s="384"/>
      <c r="N30" s="385"/>
      <c r="S30"/>
    </row>
    <row r="31" spans="1:19">
      <c r="S31"/>
    </row>
    <row r="32" spans="1:19">
      <c r="S32"/>
    </row>
    <row r="33" spans="1:19">
      <c r="S33"/>
    </row>
    <row r="34" spans="1:19">
      <c r="S34"/>
    </row>
    <row r="35" spans="1:19" customHeight="1" ht="21">
      <c r="B35" s="381" t="s">
        <v>0</v>
      </c>
      <c r="C35" s="382"/>
      <c r="D35" s="382"/>
      <c r="E35" s="382"/>
      <c r="F35" s="382"/>
      <c r="G35" s="382"/>
      <c r="H35" s="382"/>
      <c r="I35" s="382"/>
      <c r="J35" s="382"/>
      <c r="K35" s="382"/>
      <c r="L35" s="382"/>
      <c r="S35"/>
    </row>
    <row r="36" spans="1:19">
      <c r="S36"/>
    </row>
    <row r="37" spans="1:19" customHeight="1" ht="14.5">
      <c r="B37" s="338" t="s">
        <v>33</v>
      </c>
      <c r="C37" s="339"/>
      <c r="D37" s="339"/>
      <c r="E37" s="339"/>
      <c r="F37" s="339"/>
      <c r="G37" s="339"/>
      <c r="H37" s="339"/>
      <c r="I37" s="339"/>
      <c r="J37" s="339"/>
      <c r="K37" s="339"/>
      <c r="L37" s="340"/>
      <c r="S37"/>
    </row>
    <row r="38" spans="1:19" customHeight="1" ht="15">
      <c r="B38" s="341"/>
      <c r="C38" s="342"/>
      <c r="D38" s="342"/>
      <c r="E38" s="342"/>
      <c r="F38" s="342"/>
      <c r="G38" s="342"/>
      <c r="H38" s="342"/>
      <c r="I38" s="342"/>
      <c r="J38" s="342"/>
      <c r="K38" s="342"/>
      <c r="L38" s="343"/>
      <c r="S38"/>
    </row>
    <row r="39" spans="1:19">
      <c r="B39" s="12" t="s">
        <v>34</v>
      </c>
      <c r="C39" s="7"/>
      <c r="D39" s="8"/>
      <c r="E39" s="10" t="s">
        <v>35</v>
      </c>
      <c r="F39" t="s">
        <v>36</v>
      </c>
      <c r="G39" s="9" t="s">
        <v>37</v>
      </c>
      <c r="S39"/>
    </row>
    <row r="40" spans="1:19" customHeight="1" ht="15">
      <c r="B40" s="399" t="s">
        <v>38</v>
      </c>
      <c r="C40" s="400"/>
      <c r="D40" s="401"/>
      <c r="E40" s="10" t="s">
        <v>39</v>
      </c>
      <c r="F40" t="s">
        <v>40</v>
      </c>
      <c r="G40" s="9" t="s">
        <v>41</v>
      </c>
      <c r="S40"/>
    </row>
    <row r="41" spans="1:19" customHeight="1" ht="15">
      <c r="B41" s="399"/>
      <c r="C41" s="400"/>
      <c r="D41" s="401"/>
      <c r="E41" s="10" t="s">
        <v>42</v>
      </c>
      <c r="F41" t="s">
        <v>43</v>
      </c>
      <c r="G41" s="9" t="s">
        <v>44</v>
      </c>
      <c r="S41"/>
    </row>
    <row r="42" spans="1:19" customHeight="1" ht="15">
      <c r="B42" s="399"/>
      <c r="C42" s="400"/>
      <c r="D42" s="401"/>
      <c r="E42" s="10" t="s">
        <v>45</v>
      </c>
      <c r="F42" t="s">
        <v>46</v>
      </c>
      <c r="G42" s="9" t="s">
        <v>47</v>
      </c>
      <c r="S42"/>
    </row>
    <row r="43" spans="1:19" customHeight="1" ht="15">
      <c r="B43" s="399"/>
      <c r="C43" s="400"/>
      <c r="D43" s="401"/>
      <c r="E43" s="10" t="s">
        <v>48</v>
      </c>
      <c r="F43" t="s">
        <v>49</v>
      </c>
      <c r="G43" s="9" t="s">
        <v>50</v>
      </c>
      <c r="S43"/>
    </row>
    <row r="44" spans="1:19" customHeight="1" ht="15">
      <c r="B44" s="402"/>
      <c r="C44" s="403"/>
      <c r="D44" s="404"/>
      <c r="E44" s="11"/>
      <c r="F44" s="54"/>
      <c r="G44" s="55"/>
      <c r="S44"/>
    </row>
    <row r="45" spans="1:19" customHeight="1" ht="15">
      <c r="A45" s="332"/>
      <c r="B45" s="332"/>
      <c r="C45" s="332"/>
      <c r="D45" s="332"/>
      <c r="E45" s="332"/>
      <c r="F45" s="332"/>
      <c r="G45" s="332"/>
      <c r="H45" s="332"/>
      <c r="I45" s="332"/>
      <c r="J45" s="332"/>
      <c r="K45" s="332"/>
      <c r="L45" s="332"/>
      <c r="M45" s="332"/>
      <c r="N45" s="332"/>
      <c r="S45"/>
    </row>
    <row r="46" spans="1:19" customHeight="1" ht="15">
      <c r="A46" s="336"/>
      <c r="B46" s="336"/>
      <c r="C46" s="336"/>
      <c r="D46" s="336"/>
      <c r="E46" s="336"/>
      <c r="F46" s="336"/>
      <c r="G46" s="336"/>
      <c r="H46" s="336"/>
      <c r="I46" s="336"/>
      <c r="J46" s="336"/>
      <c r="K46" s="336"/>
      <c r="L46" s="336"/>
      <c r="M46" s="336"/>
      <c r="N46" s="336"/>
      <c r="S46"/>
    </row>
    <row r="47" spans="1:19" customHeight="1" ht="15">
      <c r="A47" s="350" t="s">
        <v>51</v>
      </c>
      <c r="B47" s="350" t="s">
        <v>52</v>
      </c>
      <c r="C47" s="327" t="s">
        <v>53</v>
      </c>
      <c r="D47" s="353"/>
      <c r="E47" s="353"/>
      <c r="F47" s="353"/>
      <c r="G47" s="353"/>
      <c r="H47" s="354"/>
      <c r="I47" s="327" t="s">
        <v>54</v>
      </c>
      <c r="J47" s="353"/>
      <c r="K47" s="353"/>
      <c r="L47" s="353"/>
      <c r="M47" s="353"/>
      <c r="N47" s="354"/>
      <c r="S47"/>
    </row>
    <row r="48" spans="1:19" customHeight="1" ht="15">
      <c r="A48" s="351"/>
      <c r="B48" s="351"/>
      <c r="C48" s="355"/>
      <c r="D48" s="356"/>
      <c r="E48" s="356"/>
      <c r="F48" s="356"/>
      <c r="G48" s="356"/>
      <c r="H48" s="357"/>
      <c r="I48" s="358"/>
      <c r="J48" s="359"/>
      <c r="K48" s="359"/>
      <c r="L48" s="359"/>
      <c r="M48" s="359"/>
      <c r="N48" s="360"/>
      <c r="S48"/>
    </row>
    <row r="49" spans="1:19">
      <c r="A49" s="351"/>
      <c r="B49" s="351"/>
      <c r="C49" s="355"/>
      <c r="D49" s="356"/>
      <c r="E49" s="356"/>
      <c r="F49" s="356"/>
      <c r="G49" s="356"/>
      <c r="H49" s="357"/>
      <c r="I49" s="348" t="s">
        <v>55</v>
      </c>
      <c r="J49" s="349"/>
      <c r="K49" s="346" t="s">
        <v>56</v>
      </c>
      <c r="L49" s="348" t="s">
        <v>57</v>
      </c>
      <c r="M49" s="349"/>
      <c r="N49" s="346" t="s">
        <v>56</v>
      </c>
      <c r="S49"/>
    </row>
    <row r="50" spans="1:19">
      <c r="A50" s="352"/>
      <c r="B50" s="352"/>
      <c r="C50" s="358"/>
      <c r="D50" s="359"/>
      <c r="E50" s="359"/>
      <c r="F50" s="359"/>
      <c r="G50" s="359"/>
      <c r="H50" s="360"/>
      <c r="I50" s="14" t="s">
        <v>58</v>
      </c>
      <c r="J50" s="14" t="s">
        <v>59</v>
      </c>
      <c r="K50" s="347"/>
      <c r="L50" s="14" t="s">
        <v>60</v>
      </c>
      <c r="M50" s="14" t="s">
        <v>61</v>
      </c>
      <c r="N50" s="347"/>
      <c r="S50"/>
    </row>
    <row r="51" spans="1:19" customHeight="1" ht="15">
      <c r="A51" s="15" t="s">
        <v>62</v>
      </c>
      <c r="B51" s="15" t="s">
        <v>63</v>
      </c>
      <c r="C51" s="378" t="s">
        <v>64</v>
      </c>
      <c r="D51" s="332"/>
      <c r="E51" s="332"/>
      <c r="F51" s="332"/>
      <c r="G51" s="332"/>
      <c r="H51" s="379"/>
      <c r="I51" s="13">
        <v>1</v>
      </c>
      <c r="K51" s="57" t="s">
        <v>65</v>
      </c>
      <c r="N51" s="57"/>
      <c r="S51"/>
    </row>
    <row r="52" spans="1:19" customHeight="1" ht="15">
      <c r="A52" s="15" t="s">
        <v>66</v>
      </c>
      <c r="B52" s="15" t="s">
        <v>67</v>
      </c>
      <c r="C52" s="378" t="s">
        <v>68</v>
      </c>
      <c r="D52" s="332"/>
      <c r="E52" s="332"/>
      <c r="F52" s="332"/>
      <c r="G52" s="332"/>
      <c r="H52" s="379"/>
      <c r="I52" s="13">
        <v>1</v>
      </c>
      <c r="K52" s="57" t="s">
        <v>69</v>
      </c>
      <c r="N52" s="57"/>
      <c r="S52"/>
    </row>
    <row r="53" spans="1:19" customHeight="1" ht="15">
      <c r="A53" s="15" t="s">
        <v>70</v>
      </c>
      <c r="B53" s="15" t="s">
        <v>71</v>
      </c>
      <c r="C53" s="378" t="s">
        <v>72</v>
      </c>
      <c r="D53" s="332"/>
      <c r="E53" s="332"/>
      <c r="F53" s="332"/>
      <c r="G53" s="332"/>
      <c r="H53" s="379"/>
      <c r="I53" s="13">
        <v>1</v>
      </c>
      <c r="K53" s="57" t="s">
        <v>73</v>
      </c>
      <c r="N53" s="57"/>
      <c r="S53"/>
    </row>
    <row r="54" spans="1:19" customHeight="1" ht="15">
      <c r="A54" s="15" t="s">
        <v>74</v>
      </c>
      <c r="B54" s="15" t="s">
        <v>75</v>
      </c>
      <c r="C54" s="378" t="s">
        <v>76</v>
      </c>
      <c r="D54" s="332"/>
      <c r="E54" s="332"/>
      <c r="F54" s="332"/>
      <c r="G54" s="332"/>
      <c r="H54" s="379"/>
      <c r="I54" s="13">
        <v>1</v>
      </c>
      <c r="K54" s="57" t="s">
        <v>65</v>
      </c>
      <c r="N54" s="57"/>
      <c r="S54"/>
    </row>
    <row r="55" spans="1:19" customHeight="1" ht="15">
      <c r="A55" s="15" t="s">
        <v>77</v>
      </c>
      <c r="B55" s="15" t="s">
        <v>78</v>
      </c>
      <c r="C55" s="378" t="s">
        <v>79</v>
      </c>
      <c r="D55" s="332"/>
      <c r="E55" s="332"/>
      <c r="F55" s="332"/>
      <c r="G55" s="332"/>
      <c r="H55" s="379"/>
      <c r="I55" s="13">
        <v>1</v>
      </c>
      <c r="K55" s="57" t="s">
        <v>80</v>
      </c>
      <c r="N55" s="57"/>
      <c r="S55"/>
    </row>
    <row r="56" spans="1:19" customHeight="1" ht="15">
      <c r="A56" s="15" t="s">
        <v>81</v>
      </c>
      <c r="B56" s="15" t="s">
        <v>75</v>
      </c>
      <c r="C56" s="378" t="s">
        <v>76</v>
      </c>
      <c r="D56" s="332"/>
      <c r="E56" s="332"/>
      <c r="F56" s="332"/>
      <c r="G56" s="332"/>
      <c r="H56" s="379"/>
      <c r="I56" s="13">
        <v>1</v>
      </c>
      <c r="K56" s="57" t="s">
        <v>65</v>
      </c>
      <c r="N56" s="57"/>
      <c r="S56"/>
    </row>
    <row r="57" spans="1:19" customHeight="1" ht="15">
      <c r="A57" s="15" t="s">
        <v>82</v>
      </c>
      <c r="B57" s="15" t="s">
        <v>75</v>
      </c>
      <c r="C57" s="378" t="s">
        <v>76</v>
      </c>
      <c r="D57" s="332"/>
      <c r="E57" s="332"/>
      <c r="F57" s="332"/>
      <c r="G57" s="332"/>
      <c r="H57" s="379"/>
      <c r="K57" s="57"/>
      <c r="M57" s="13">
        <v>1</v>
      </c>
      <c r="N57" s="57" t="s">
        <v>73</v>
      </c>
      <c r="S57"/>
    </row>
    <row r="58" spans="1:19" customHeight="1" ht="15">
      <c r="A58" s="15" t="s">
        <v>83</v>
      </c>
      <c r="B58" s="15" t="s">
        <v>84</v>
      </c>
      <c r="C58" s="378" t="s">
        <v>85</v>
      </c>
      <c r="D58" s="332"/>
      <c r="E58" s="332"/>
      <c r="F58" s="332"/>
      <c r="G58" s="332"/>
      <c r="H58" s="379"/>
      <c r="I58" s="13">
        <v>1</v>
      </c>
      <c r="K58" s="57" t="s">
        <v>69</v>
      </c>
      <c r="N58" s="57"/>
      <c r="S58"/>
    </row>
    <row r="59" spans="1:19" customHeight="1" ht="15">
      <c r="A59" s="15" t="s">
        <v>86</v>
      </c>
      <c r="B59" s="15" t="s">
        <v>87</v>
      </c>
      <c r="C59" s="378" t="s">
        <v>88</v>
      </c>
      <c r="D59" s="332"/>
      <c r="E59" s="332"/>
      <c r="F59" s="332"/>
      <c r="G59" s="332"/>
      <c r="H59" s="379"/>
      <c r="I59" s="13">
        <v>1</v>
      </c>
      <c r="K59" s="57" t="s">
        <v>65</v>
      </c>
      <c r="N59" s="57"/>
      <c r="S59"/>
    </row>
    <row r="60" spans="1:19" customHeight="1" ht="15">
      <c r="A60" s="15" t="s">
        <v>89</v>
      </c>
      <c r="B60" s="15" t="s">
        <v>67</v>
      </c>
      <c r="C60" s="378" t="s">
        <v>68</v>
      </c>
      <c r="D60" s="332"/>
      <c r="E60" s="332"/>
      <c r="F60" s="332"/>
      <c r="G60" s="332"/>
      <c r="H60" s="379"/>
      <c r="I60" s="13">
        <v>1</v>
      </c>
      <c r="K60" s="57" t="s">
        <v>65</v>
      </c>
      <c r="N60" s="57"/>
      <c r="S60"/>
    </row>
    <row r="61" spans="1:19" customHeight="1" ht="15">
      <c r="A61" s="15" t="s">
        <v>90</v>
      </c>
      <c r="B61" s="15" t="s">
        <v>91</v>
      </c>
      <c r="C61" s="378" t="s">
        <v>92</v>
      </c>
      <c r="D61" s="332"/>
      <c r="E61" s="332"/>
      <c r="F61" s="332"/>
      <c r="G61" s="332"/>
      <c r="H61" s="379"/>
      <c r="I61" s="13">
        <v>1</v>
      </c>
      <c r="K61" s="57" t="s">
        <v>69</v>
      </c>
      <c r="N61" s="57"/>
      <c r="S61"/>
    </row>
    <row r="62" spans="1:19" customHeight="1" ht="15">
      <c r="A62" s="15" t="s">
        <v>93</v>
      </c>
      <c r="B62" s="15" t="s">
        <v>63</v>
      </c>
      <c r="C62" s="378" t="s">
        <v>64</v>
      </c>
      <c r="D62" s="332"/>
      <c r="E62" s="332"/>
      <c r="F62" s="332"/>
      <c r="G62" s="332"/>
      <c r="H62" s="379"/>
      <c r="I62" s="13">
        <v>1</v>
      </c>
      <c r="K62" s="57" t="s">
        <v>80</v>
      </c>
      <c r="N62" s="57"/>
      <c r="S62"/>
    </row>
    <row r="63" spans="1:19" customHeight="1" ht="15">
      <c r="A63" s="15" t="s">
        <v>94</v>
      </c>
      <c r="B63" s="15" t="s">
        <v>95</v>
      </c>
      <c r="C63" s="378" t="s">
        <v>96</v>
      </c>
      <c r="D63" s="332"/>
      <c r="E63" s="332"/>
      <c r="F63" s="332"/>
      <c r="G63" s="332"/>
      <c r="H63" s="379"/>
      <c r="K63" s="57"/>
      <c r="M63" s="13">
        <v>1</v>
      </c>
      <c r="N63" s="57" t="s">
        <v>69</v>
      </c>
      <c r="S63"/>
    </row>
    <row r="64" spans="1:19" customHeight="1" ht="15">
      <c r="A64" s="15" t="s">
        <v>97</v>
      </c>
      <c r="B64" s="15" t="s">
        <v>75</v>
      </c>
      <c r="C64" s="378" t="s">
        <v>76</v>
      </c>
      <c r="D64" s="332"/>
      <c r="E64" s="332"/>
      <c r="F64" s="332"/>
      <c r="G64" s="332"/>
      <c r="H64" s="379"/>
      <c r="I64" s="13">
        <v>1</v>
      </c>
      <c r="K64" s="57" t="s">
        <v>98</v>
      </c>
      <c r="N64" s="57"/>
      <c r="S64"/>
    </row>
    <row r="65" spans="1:19" customHeight="1" ht="15">
      <c r="A65" s="15" t="s">
        <v>99</v>
      </c>
      <c r="B65" s="15" t="s">
        <v>78</v>
      </c>
      <c r="C65" s="378" t="s">
        <v>79</v>
      </c>
      <c r="D65" s="332"/>
      <c r="E65" s="332"/>
      <c r="F65" s="332"/>
      <c r="G65" s="332"/>
      <c r="H65" s="379"/>
      <c r="K65" s="57"/>
      <c r="M65" s="13">
        <v>1</v>
      </c>
      <c r="N65" s="57" t="s">
        <v>98</v>
      </c>
      <c r="S65"/>
    </row>
    <row r="66" spans="1:19" customHeight="1" ht="15">
      <c r="A66" s="15" t="s">
        <v>100</v>
      </c>
      <c r="B66" s="15" t="s">
        <v>84</v>
      </c>
      <c r="C66" s="378" t="s">
        <v>85</v>
      </c>
      <c r="D66" s="332"/>
      <c r="E66" s="332"/>
      <c r="F66" s="332"/>
      <c r="G66" s="332"/>
      <c r="H66" s="379"/>
      <c r="I66" s="13">
        <v>1</v>
      </c>
      <c r="K66" s="57" t="s">
        <v>80</v>
      </c>
      <c r="N66" s="57"/>
      <c r="S66"/>
    </row>
    <row r="67" spans="1:19" customHeight="1" ht="15">
      <c r="A67" s="15" t="s">
        <v>101</v>
      </c>
      <c r="B67" s="15" t="s">
        <v>75</v>
      </c>
      <c r="C67" s="378" t="s">
        <v>76</v>
      </c>
      <c r="D67" s="332"/>
      <c r="E67" s="332"/>
      <c r="F67" s="332"/>
      <c r="G67" s="332"/>
      <c r="H67" s="379"/>
      <c r="I67" s="13">
        <v>1</v>
      </c>
      <c r="K67" s="57" t="s">
        <v>98</v>
      </c>
      <c r="N67" s="57"/>
      <c r="S67"/>
    </row>
    <row r="68" spans="1:19" customHeight="1" ht="15">
      <c r="A68" s="15" t="s">
        <v>102</v>
      </c>
      <c r="B68" s="15" t="s">
        <v>67</v>
      </c>
      <c r="C68" s="378" t="s">
        <v>68</v>
      </c>
      <c r="D68" s="332"/>
      <c r="E68" s="332"/>
      <c r="F68" s="332"/>
      <c r="G68" s="332"/>
      <c r="H68" s="379"/>
      <c r="I68" s="13">
        <v>1</v>
      </c>
      <c r="K68" s="57" t="s">
        <v>98</v>
      </c>
      <c r="N68" s="57"/>
      <c r="S68"/>
    </row>
    <row r="69" spans="1:19" customHeight="1" ht="15">
      <c r="A69" s="15" t="s">
        <v>103</v>
      </c>
      <c r="B69" s="15" t="s">
        <v>87</v>
      </c>
      <c r="C69" s="378" t="s">
        <v>88</v>
      </c>
      <c r="D69" s="332"/>
      <c r="E69" s="332"/>
      <c r="F69" s="332"/>
      <c r="G69" s="332"/>
      <c r="H69" s="379"/>
      <c r="I69" s="13">
        <v>1</v>
      </c>
      <c r="K69" s="57" t="s">
        <v>80</v>
      </c>
      <c r="N69" s="57"/>
      <c r="S69"/>
    </row>
    <row r="70" spans="1:19" customHeight="1" ht="15">
      <c r="A70" s="15" t="s">
        <v>103</v>
      </c>
      <c r="B70" s="15" t="s">
        <v>104</v>
      </c>
      <c r="C70" s="378" t="s">
        <v>105</v>
      </c>
      <c r="D70" s="332"/>
      <c r="E70" s="332"/>
      <c r="F70" s="332"/>
      <c r="G70" s="332"/>
      <c r="H70" s="379"/>
      <c r="I70" s="13">
        <v>1</v>
      </c>
      <c r="K70" s="57" t="s">
        <v>98</v>
      </c>
      <c r="N70" s="57"/>
      <c r="S70"/>
    </row>
    <row r="71" spans="1:19" customHeight="1" ht="15">
      <c r="A71" s="15" t="s">
        <v>106</v>
      </c>
      <c r="B71" s="15" t="s">
        <v>78</v>
      </c>
      <c r="C71" s="378" t="s">
        <v>79</v>
      </c>
      <c r="D71" s="332"/>
      <c r="E71" s="332"/>
      <c r="F71" s="332"/>
      <c r="G71" s="332"/>
      <c r="H71" s="379"/>
      <c r="I71" s="13">
        <v>1</v>
      </c>
      <c r="K71" s="57" t="s">
        <v>98</v>
      </c>
      <c r="N71" s="57"/>
      <c r="S71"/>
    </row>
    <row r="72" spans="1:19" customHeight="1" ht="15">
      <c r="A72" s="15" t="s">
        <v>107</v>
      </c>
      <c r="B72" s="15" t="s">
        <v>67</v>
      </c>
      <c r="C72" s="378" t="s">
        <v>68</v>
      </c>
      <c r="D72" s="332"/>
      <c r="E72" s="332"/>
      <c r="F72" s="332"/>
      <c r="G72" s="332"/>
      <c r="H72" s="379"/>
      <c r="I72" s="13">
        <v>1</v>
      </c>
      <c r="K72" s="57" t="s">
        <v>69</v>
      </c>
      <c r="N72" s="57"/>
      <c r="S72"/>
    </row>
    <row r="73" spans="1:19" customHeight="1" ht="15">
      <c r="A73" s="15" t="s">
        <v>108</v>
      </c>
      <c r="B73" s="15" t="s">
        <v>75</v>
      </c>
      <c r="C73" s="378" t="s">
        <v>76</v>
      </c>
      <c r="D73" s="332"/>
      <c r="E73" s="332"/>
      <c r="F73" s="332"/>
      <c r="G73" s="332"/>
      <c r="H73" s="379"/>
      <c r="I73" s="13">
        <v>1</v>
      </c>
      <c r="K73" s="57" t="s">
        <v>98</v>
      </c>
      <c r="N73" s="57"/>
      <c r="S73"/>
    </row>
    <row r="74" spans="1:19" customHeight="1" ht="15">
      <c r="A74" s="15" t="s">
        <v>109</v>
      </c>
      <c r="B74" s="15" t="s">
        <v>95</v>
      </c>
      <c r="C74" s="378" t="s">
        <v>96</v>
      </c>
      <c r="D74" s="332"/>
      <c r="E74" s="332"/>
      <c r="F74" s="332"/>
      <c r="G74" s="332"/>
      <c r="H74" s="379"/>
      <c r="I74" s="13">
        <v>1</v>
      </c>
      <c r="K74" s="57" t="s">
        <v>69</v>
      </c>
      <c r="N74" s="57"/>
      <c r="S74"/>
    </row>
    <row r="75" spans="1:19" customHeight="1" ht="15">
      <c r="A75" s="15" t="s">
        <v>110</v>
      </c>
      <c r="B75" s="15" t="s">
        <v>104</v>
      </c>
      <c r="C75" s="378" t="s">
        <v>105</v>
      </c>
      <c r="D75" s="332"/>
      <c r="E75" s="332"/>
      <c r="F75" s="332"/>
      <c r="G75" s="332"/>
      <c r="H75" s="379"/>
      <c r="I75" s="13">
        <v>1</v>
      </c>
      <c r="K75" s="57" t="s">
        <v>98</v>
      </c>
      <c r="N75" s="57"/>
      <c r="S75"/>
    </row>
    <row r="76" spans="1:19" customHeight="1" ht="15">
      <c r="A76" s="15" t="s">
        <v>111</v>
      </c>
      <c r="B76" s="15" t="s">
        <v>87</v>
      </c>
      <c r="C76" s="378" t="s">
        <v>88</v>
      </c>
      <c r="D76" s="332"/>
      <c r="E76" s="332"/>
      <c r="F76" s="332"/>
      <c r="G76" s="332"/>
      <c r="H76" s="379"/>
      <c r="I76" s="13">
        <v>1</v>
      </c>
      <c r="K76" s="57" t="s">
        <v>65</v>
      </c>
      <c r="N76" s="57"/>
      <c r="S76"/>
    </row>
    <row r="77" spans="1:19" customHeight="1" ht="15">
      <c r="A77" s="15" t="s">
        <v>112</v>
      </c>
      <c r="B77" s="15" t="s">
        <v>91</v>
      </c>
      <c r="C77" s="378" t="s">
        <v>92</v>
      </c>
      <c r="D77" s="332"/>
      <c r="E77" s="332"/>
      <c r="F77" s="332"/>
      <c r="G77" s="332"/>
      <c r="H77" s="379"/>
      <c r="K77" s="57"/>
      <c r="M77" s="13">
        <v>1</v>
      </c>
      <c r="N77" s="57" t="s">
        <v>98</v>
      </c>
      <c r="S77"/>
    </row>
    <row r="78" spans="1:19" customHeight="1" ht="15">
      <c r="A78" s="15" t="s">
        <v>113</v>
      </c>
      <c r="B78" s="15" t="s">
        <v>75</v>
      </c>
      <c r="C78" s="378" t="s">
        <v>76</v>
      </c>
      <c r="D78" s="332"/>
      <c r="E78" s="332"/>
      <c r="F78" s="332"/>
      <c r="G78" s="332"/>
      <c r="H78" s="379"/>
      <c r="I78" s="13">
        <v>1</v>
      </c>
      <c r="K78" s="57" t="s">
        <v>69</v>
      </c>
      <c r="N78" s="57"/>
      <c r="S78"/>
    </row>
    <row r="79" spans="1:19" customHeight="1" ht="15">
      <c r="A79" s="15" t="s">
        <v>114</v>
      </c>
      <c r="B79" s="15" t="s">
        <v>104</v>
      </c>
      <c r="C79" s="378" t="s">
        <v>105</v>
      </c>
      <c r="D79" s="332"/>
      <c r="E79" s="332"/>
      <c r="F79" s="332"/>
      <c r="G79" s="332"/>
      <c r="H79" s="379"/>
      <c r="I79" s="13">
        <v>1</v>
      </c>
      <c r="K79" s="57" t="s">
        <v>69</v>
      </c>
      <c r="N79" s="57"/>
      <c r="S79"/>
    </row>
    <row r="80" spans="1:19" customHeight="1" ht="15">
      <c r="A80" s="15" t="s">
        <v>115</v>
      </c>
      <c r="B80" s="15" t="s">
        <v>67</v>
      </c>
      <c r="C80" s="378" t="s">
        <v>68</v>
      </c>
      <c r="D80" s="332"/>
      <c r="E80" s="332"/>
      <c r="F80" s="332"/>
      <c r="G80" s="332"/>
      <c r="H80" s="379"/>
      <c r="I80" s="13">
        <v>1</v>
      </c>
      <c r="K80" s="57" t="s">
        <v>80</v>
      </c>
      <c r="N80" s="57"/>
      <c r="S80"/>
    </row>
    <row r="81" spans="1:19" customHeight="1" ht="15">
      <c r="A81" s="16"/>
      <c r="B81" s="16"/>
      <c r="C81" s="335"/>
      <c r="D81" s="336"/>
      <c r="E81" s="336"/>
      <c r="F81" s="336"/>
      <c r="G81" s="336"/>
      <c r="H81" s="337"/>
      <c r="I81" s="56"/>
      <c r="J81" s="56"/>
      <c r="K81" s="17"/>
      <c r="L81" s="56"/>
      <c r="M81" s="56"/>
      <c r="N81" s="17"/>
      <c r="S81"/>
    </row>
    <row r="82" spans="1:19" customHeight="1" ht="16.5">
      <c r="I82" s="18">
        <f>SUM(I51:I81)</f>
        <v>26</v>
      </c>
      <c r="J82" s="18">
        <f>SUM(J51:J81)</f>
        <v>0</v>
      </c>
      <c r="L82" s="18">
        <f>SUM(L51:L81)</f>
        <v>0</v>
      </c>
      <c r="M82" s="18">
        <f>SUM(M51:M81)</f>
        <v>4</v>
      </c>
      <c r="N82" s="9"/>
      <c r="S82"/>
    </row>
    <row r="83" spans="1:19">
      <c r="C83" s="372" t="s">
        <v>116</v>
      </c>
      <c r="D83" s="373"/>
      <c r="E83" s="373"/>
      <c r="F83" s="373"/>
      <c r="G83" s="374"/>
      <c r="H83" s="18">
        <f>(I82+J82+L82+M82)</f>
        <v>30</v>
      </c>
      <c r="N83" s="9"/>
      <c r="S83"/>
    </row>
    <row r="84" spans="1:19">
      <c r="C84" s="372" t="s">
        <v>117</v>
      </c>
      <c r="D84" s="373"/>
      <c r="E84" s="373"/>
      <c r="F84" s="373"/>
      <c r="G84" s="374"/>
      <c r="H84" s="75">
        <v>1</v>
      </c>
      <c r="I84" s="76">
        <f>I82/(I82+J82+L82+M82)</f>
        <v>0.86666666666667</v>
      </c>
      <c r="J84" s="76">
        <f>J82/(I82+J82+L82+M82)</f>
        <v>0</v>
      </c>
      <c r="L84" s="76">
        <f>L82/(I82+J82+L82+M82)</f>
        <v>0</v>
      </c>
      <c r="M84" s="76">
        <f>M82/(I82+J82+L82+M82)</f>
        <v>0.13333333333333</v>
      </c>
      <c r="N84" s="9"/>
      <c r="S84"/>
    </row>
    <row r="85" spans="1:19" customHeight="1" ht="16.5">
      <c r="A85" s="336"/>
      <c r="B85" s="336"/>
      <c r="C85" s="375"/>
      <c r="D85" s="336"/>
      <c r="E85" s="336"/>
      <c r="F85" s="336"/>
      <c r="G85" s="336"/>
      <c r="H85" s="366"/>
      <c r="I85" s="366"/>
      <c r="J85" s="366"/>
      <c r="K85" s="366"/>
      <c r="L85" s="366"/>
      <c r="M85" s="366"/>
      <c r="N85" s="376"/>
      <c r="S85"/>
    </row>
    <row r="86" spans="1:19" customHeight="1" ht="14.5">
      <c r="A86" s="332"/>
      <c r="B86" s="332"/>
      <c r="C86" s="377"/>
      <c r="D86" s="332"/>
      <c r="E86" s="332"/>
      <c r="F86" s="332"/>
      <c r="G86" s="332"/>
      <c r="H86" s="333"/>
      <c r="I86" s="333"/>
      <c r="J86" s="333"/>
      <c r="K86" s="333"/>
      <c r="L86" s="333"/>
      <c r="M86" s="333"/>
      <c r="N86" s="333"/>
      <c r="S86"/>
    </row>
    <row r="87" spans="1:19" customHeight="1" ht="14.5">
      <c r="A87" s="332"/>
      <c r="B87" s="332"/>
      <c r="C87" s="377"/>
      <c r="D87" s="332"/>
      <c r="E87" s="332"/>
      <c r="F87" s="332"/>
      <c r="G87" s="332"/>
      <c r="H87" s="333"/>
      <c r="I87" s="333"/>
      <c r="J87" s="333"/>
      <c r="K87" s="333"/>
      <c r="L87" s="333"/>
      <c r="M87" s="333"/>
      <c r="N87" s="333"/>
      <c r="S87"/>
    </row>
    <row r="88" spans="1:19" customHeight="1" ht="14.5">
      <c r="C88" s="327" t="s">
        <v>118</v>
      </c>
      <c r="D88" s="328"/>
      <c r="E88" s="328"/>
      <c r="F88" s="328"/>
      <c r="G88" s="328"/>
      <c r="H88" s="329"/>
      <c r="I88" s="329"/>
      <c r="J88" s="329"/>
      <c r="K88" s="329"/>
      <c r="L88" s="329"/>
      <c r="M88" s="329"/>
      <c r="N88" s="330"/>
      <c r="S88"/>
    </row>
    <row r="89" spans="1:19" customHeight="1" ht="14.5">
      <c r="C89" s="331"/>
      <c r="D89" s="332"/>
      <c r="E89" s="332"/>
      <c r="F89" s="332"/>
      <c r="G89" s="332"/>
      <c r="H89" s="333"/>
      <c r="I89" s="333"/>
      <c r="J89" s="333"/>
      <c r="K89" s="333"/>
      <c r="L89" s="333"/>
      <c r="M89" s="333"/>
      <c r="N89" s="334"/>
      <c r="S89"/>
    </row>
    <row r="90" spans="1:19" customHeight="1" ht="14.5">
      <c r="C90" s="364"/>
      <c r="D90" s="332"/>
      <c r="E90" s="332"/>
      <c r="F90" s="332"/>
      <c r="G90" s="332"/>
      <c r="H90" s="333"/>
      <c r="I90" s="333"/>
      <c r="J90" s="333"/>
      <c r="K90" s="363" t="s">
        <v>119</v>
      </c>
      <c r="L90" s="333"/>
      <c r="M90" s="363" t="s">
        <v>120</v>
      </c>
      <c r="N90" s="334"/>
      <c r="S90"/>
    </row>
    <row r="91" spans="1:19" customHeight="1" ht="15">
      <c r="C91" s="365"/>
      <c r="D91" s="336"/>
      <c r="E91" s="336"/>
      <c r="F91" s="336"/>
      <c r="G91" s="336"/>
      <c r="H91" s="366"/>
      <c r="I91" s="366"/>
      <c r="J91" s="366"/>
      <c r="K91" s="19" t="s">
        <v>121</v>
      </c>
      <c r="L91" s="19" t="s">
        <v>122</v>
      </c>
      <c r="M91" s="19" t="s">
        <v>121</v>
      </c>
      <c r="N91" s="21" t="s">
        <v>122</v>
      </c>
      <c r="S91"/>
    </row>
    <row r="92" spans="1:19" customHeight="1" ht="15">
      <c r="C92" s="367" t="s">
        <v>123</v>
      </c>
      <c r="D92" s="368"/>
      <c r="E92" s="368"/>
      <c r="F92" s="194"/>
      <c r="G92" s="369" t="s">
        <v>124</v>
      </c>
      <c r="H92" s="370"/>
      <c r="I92" s="370" t="s">
        <v>4</v>
      </c>
      <c r="J92" s="371"/>
      <c r="K92" s="188">
        <f>I82</f>
        <v>26</v>
      </c>
      <c r="L92" s="315">
        <f>K92/(M92+K92)</f>
        <v>0.86666666666667</v>
      </c>
      <c r="M92" s="188">
        <f>M82</f>
        <v>4</v>
      </c>
      <c r="N92" s="316">
        <f>(M92/(K92+M92))</f>
        <v>0.13333333333333</v>
      </c>
      <c r="S92"/>
    </row>
    <row r="93" spans="1:19" customHeight="1" ht="15">
      <c r="C93" s="344" t="s">
        <v>125</v>
      </c>
      <c r="D93" s="345"/>
      <c r="E93" s="345"/>
      <c r="F93" s="43" t="s">
        <v>35</v>
      </c>
      <c r="G93" s="325" t="s">
        <v>126</v>
      </c>
      <c r="H93" s="325"/>
      <c r="I93" s="324" t="s">
        <v>37</v>
      </c>
      <c r="J93" s="326"/>
      <c r="K93" s="13">
        <v>1</v>
      </c>
      <c r="L93" s="94" t="s">
        <v>127</v>
      </c>
      <c r="M93" s="189">
        <v>1</v>
      </c>
      <c r="N93" s="191" t="s">
        <v>127</v>
      </c>
      <c r="S93"/>
    </row>
    <row r="94" spans="1:19" customHeight="1" ht="15">
      <c r="C94" s="693" t="s">
        <v>128</v>
      </c>
      <c r="D94" s="345"/>
      <c r="E94" s="345"/>
      <c r="F94" s="43" t="s">
        <v>39</v>
      </c>
      <c r="G94" s="325" t="s">
        <v>129</v>
      </c>
      <c r="H94" s="325"/>
      <c r="I94" s="324" t="s">
        <v>41</v>
      </c>
      <c r="J94" s="326"/>
      <c r="K94" s="13">
        <v>7</v>
      </c>
      <c r="L94" s="94" t="s">
        <v>130</v>
      </c>
      <c r="M94" s="189">
        <v>1</v>
      </c>
      <c r="N94" s="191" t="s">
        <v>131</v>
      </c>
      <c r="S94"/>
    </row>
    <row r="95" spans="1:19" customHeight="1" ht="15">
      <c r="C95" s="344"/>
      <c r="D95" s="345"/>
      <c r="E95" s="345"/>
      <c r="F95" s="43" t="s">
        <v>42</v>
      </c>
      <c r="G95" s="325" t="s">
        <v>132</v>
      </c>
      <c r="H95" s="325"/>
      <c r="I95" s="324" t="s">
        <v>44</v>
      </c>
      <c r="J95" s="326"/>
      <c r="K95" s="13">
        <v>7</v>
      </c>
      <c r="L95" s="94" t="s">
        <v>133</v>
      </c>
      <c r="M95" s="189">
        <v>2</v>
      </c>
      <c r="N95" s="191" t="s">
        <v>134</v>
      </c>
      <c r="S95"/>
    </row>
    <row r="96" spans="1:19" customHeight="1" ht="15">
      <c r="C96" s="344"/>
      <c r="D96" s="345"/>
      <c r="E96" s="345"/>
      <c r="F96" s="43" t="s">
        <v>45</v>
      </c>
      <c r="G96" s="325" t="s">
        <v>135</v>
      </c>
      <c r="H96" s="325"/>
      <c r="I96" s="324" t="s">
        <v>47</v>
      </c>
      <c r="J96" s="326"/>
      <c r="K96" s="13">
        <v>5</v>
      </c>
      <c r="L96" s="94" t="s">
        <v>136</v>
      </c>
      <c r="M96" s="189">
        <v>0</v>
      </c>
      <c r="N96" s="191" t="s">
        <v>137</v>
      </c>
      <c r="S96"/>
    </row>
    <row r="97" spans="1:19" customHeight="1" ht="15">
      <c r="C97" s="344"/>
      <c r="D97" s="345"/>
      <c r="E97" s="345"/>
      <c r="F97" s="43" t="s">
        <v>48</v>
      </c>
      <c r="G97" s="325" t="s">
        <v>138</v>
      </c>
      <c r="H97" s="325"/>
      <c r="I97" s="324" t="s">
        <v>50</v>
      </c>
      <c r="J97" s="326"/>
      <c r="K97" s="13">
        <v>6</v>
      </c>
      <c r="L97" s="94" t="s">
        <v>136</v>
      </c>
      <c r="M97" s="189">
        <v>0</v>
      </c>
      <c r="N97" s="191" t="s">
        <v>137</v>
      </c>
      <c r="S97"/>
    </row>
    <row r="98" spans="1:19" customHeight="1" ht="15">
      <c r="C98" s="213"/>
      <c r="D98" s="214"/>
      <c r="E98" s="215"/>
      <c r="F98" s="44"/>
      <c r="G98" s="361"/>
      <c r="H98" s="361"/>
      <c r="I98" s="362"/>
      <c r="J98" s="362"/>
      <c r="K98" s="190"/>
      <c r="L98" s="193"/>
      <c r="M98" s="190"/>
      <c r="N98" s="192"/>
      <c r="S98"/>
    </row>
    <row r="99" spans="1:19" customHeight="1" ht="18.75" s="195" customFormat="1">
      <c r="A99" s="195"/>
      <c r="B99" s="195"/>
      <c r="C99" s="5"/>
      <c r="D99" s="195"/>
      <c r="E99" s="195"/>
      <c r="F99" s="195"/>
      <c r="G99" s="87"/>
      <c r="H99" s="386" t="s">
        <v>139</v>
      </c>
      <c r="I99" s="387"/>
      <c r="J99" s="388"/>
      <c r="K99" s="210">
        <f>SUM(K93:K98)</f>
        <v>26</v>
      </c>
      <c r="L99" s="318">
        <f>K99/(M99+K99)</f>
        <v>0.86666666666667</v>
      </c>
      <c r="M99" s="210">
        <f>SUM(M93:M98)</f>
        <v>4</v>
      </c>
      <c r="N99" s="317">
        <f>(M99/(K99+M99))</f>
        <v>0.13333333333333</v>
      </c>
      <c r="O99" s="195"/>
      <c r="P99" s="195"/>
      <c r="Q99" s="195"/>
      <c r="S99" s="195"/>
    </row>
    <row r="100" spans="1:19" customHeight="1" ht="14" s="195" customFormat="1">
      <c r="B100" s="196"/>
      <c r="C100" s="197"/>
      <c r="D100" s="197"/>
      <c r="E100" s="197"/>
      <c r="F100" s="198"/>
      <c r="G100" s="199"/>
      <c r="H100" s="199"/>
      <c r="I100" s="199"/>
      <c r="J100" s="200"/>
      <c r="K100" s="201"/>
      <c r="L100" s="200"/>
      <c r="M100" s="201"/>
      <c r="S100" s="195"/>
    </row>
    <row r="101" spans="1:19" customHeight="1" ht="14" s="195" customFormat="1">
      <c r="B101" s="196"/>
      <c r="C101" s="197"/>
      <c r="D101" s="197"/>
      <c r="E101" s="197"/>
      <c r="F101" s="198"/>
      <c r="G101" s="199"/>
      <c r="H101" s="199"/>
      <c r="I101" s="199"/>
      <c r="J101" s="200"/>
      <c r="K101" s="201"/>
      <c r="L101" s="200"/>
      <c r="M101" s="201"/>
      <c r="S101" s="195"/>
    </row>
    <row r="102" spans="1:19" customHeight="1" ht="14" s="195" customFormat="1">
      <c r="B102" s="196"/>
      <c r="C102" s="197"/>
      <c r="D102" s="197"/>
      <c r="E102" s="197"/>
      <c r="F102" s="198"/>
      <c r="G102" s="199"/>
      <c r="H102" s="199"/>
      <c r="I102" s="199"/>
      <c r="J102" s="200"/>
      <c r="K102" s="201"/>
      <c r="L102" s="200"/>
      <c r="M102" s="201"/>
      <c r="S102" s="195"/>
    </row>
    <row r="103" spans="1:19" s="195" customFormat="1">
      <c r="B103" s="196"/>
      <c r="C103" s="202" t="s">
        <v>140</v>
      </c>
      <c r="D103" s="202"/>
      <c r="E103" s="101"/>
      <c r="F103" s="203"/>
      <c r="G103" s="201"/>
      <c r="H103" s="201"/>
      <c r="I103" s="201"/>
      <c r="J103" s="201"/>
      <c r="K103" s="201"/>
      <c r="L103" s="201"/>
      <c r="M103" s="201"/>
      <c r="S103" s="195"/>
    </row>
    <row r="104" spans="1:19" customHeight="1" ht="18" s="195" customFormat="1">
      <c r="B104" s="196"/>
      <c r="C104" s="204"/>
      <c r="D104" s="204"/>
      <c r="E104" s="205"/>
      <c r="F104" s="203"/>
      <c r="G104" s="201"/>
      <c r="H104" s="201"/>
      <c r="I104" s="201"/>
      <c r="J104" s="201"/>
      <c r="K104" s="201"/>
      <c r="L104" s="201"/>
      <c r="M104" s="201"/>
      <c r="Q104" s="206"/>
      <c r="R104" s="206"/>
      <c r="S104" s="195"/>
    </row>
    <row r="105" spans="1:19" customHeight="1" ht="14" s="195" customFormat="1">
      <c r="B105" s="196"/>
      <c r="C105" s="207" t="s">
        <v>141</v>
      </c>
      <c r="D105" s="207"/>
      <c r="E105" s="207"/>
      <c r="F105" s="203"/>
      <c r="G105" s="201" t="s">
        <v>142</v>
      </c>
      <c r="H105" s="201"/>
      <c r="I105" s="201"/>
      <c r="J105" s="201"/>
      <c r="K105" s="201" t="s">
        <v>143</v>
      </c>
      <c r="L105" s="201"/>
      <c r="M105" s="201"/>
      <c r="S105" s="195"/>
    </row>
    <row r="106" spans="1:19" customHeight="1" ht="14" s="195" customFormat="1">
      <c r="B106" s="196"/>
      <c r="C106" s="207"/>
      <c r="D106" s="207"/>
      <c r="E106" s="207"/>
      <c r="F106" s="203"/>
      <c r="G106" s="201"/>
      <c r="H106" s="201"/>
      <c r="I106" s="201"/>
      <c r="J106" s="201"/>
      <c r="K106" s="201"/>
      <c r="L106" s="201"/>
      <c r="M106" s="201"/>
      <c r="S106" s="195"/>
    </row>
    <row r="107" spans="1:19" customHeight="1" ht="18" s="195" customFormat="1">
      <c r="B107" s="196"/>
      <c r="C107" s="205"/>
      <c r="D107" s="205"/>
      <c r="E107" s="207"/>
      <c r="F107" s="208"/>
      <c r="G107" s="201"/>
      <c r="H107" s="201"/>
      <c r="I107" s="201"/>
      <c r="J107" s="201"/>
      <c r="K107" s="201"/>
      <c r="L107" s="201"/>
      <c r="M107" s="201"/>
      <c r="S107" s="195"/>
    </row>
    <row r="108" spans="1:19" customHeight="1" ht="12.5" s="195" customFormat="1">
      <c r="B108" s="196"/>
      <c r="C108" s="206" t="s">
        <v>144</v>
      </c>
      <c r="D108" s="206"/>
      <c r="E108" s="206"/>
      <c r="F108" s="206"/>
      <c r="G108" s="209"/>
      <c r="H108" s="206"/>
      <c r="I108" s="206"/>
      <c r="J108" s="206"/>
      <c r="K108" s="206"/>
      <c r="L108" s="206"/>
      <c r="M108" s="206"/>
      <c r="N108" s="206"/>
      <c r="O108" s="206"/>
      <c r="P108" s="206"/>
      <c r="S108" s="195"/>
    </row>
    <row r="109" spans="1:19" customHeight="1" ht="13" s="195" customFormat="1">
      <c r="B109" s="196"/>
      <c r="C109" s="204"/>
      <c r="D109" s="204"/>
      <c r="S109" s="195"/>
    </row>
    <row r="110" spans="1:19" customHeight="1" ht="12.5" s="195" customFormat="1">
      <c r="B110" s="196"/>
      <c r="S110" s="195"/>
    </row>
  </sheetData>
  <sheetProtection formatCells="0" formatColumns="0" formatRows="0" insertColumns="0" insertRows="0" insertHyperlinks="0" deleteColumns="0" deleteRows="0" sort="0" autoFilter="0" pivotTables="0"/>
  <mergeCells>
    <mergeCell ref="H99:J99"/>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40:D44"/>
    <mergeCell ref="B24:F24"/>
    <mergeCell ref="B26:F26"/>
    <mergeCell ref="B30:F30"/>
    <mergeCell ref="B35:L35"/>
    <mergeCell ref="H22:N22"/>
    <mergeCell ref="H24:N24"/>
    <mergeCell ref="H26:N26"/>
    <mergeCell ref="H30:N30"/>
    <mergeCell ref="N49:N50"/>
    <mergeCell ref="Q10:S10"/>
    <mergeCell ref="G98:H98"/>
    <mergeCell ref="I98:J98"/>
    <mergeCell ref="K90:L90"/>
    <mergeCell ref="M90:N90"/>
    <mergeCell ref="C90:J91"/>
    <mergeCell ref="C92:E92"/>
    <mergeCell ref="G92:H92"/>
    <mergeCell ref="I92:J92"/>
    <mergeCell ref="C83:G83"/>
    <mergeCell ref="C84:G84"/>
    <mergeCell ref="A85:N85"/>
    <mergeCell ref="A86:N87"/>
    <mergeCell ref="C51:H51"/>
    <mergeCell ref="B22:F22"/>
    <mergeCell ref="C88:N89"/>
    <mergeCell ref="C81:H81"/>
    <mergeCell ref="B37:L38"/>
    <mergeCell ref="C93:E93"/>
    <mergeCell ref="G93:H93"/>
    <mergeCell ref="I93:J93"/>
    <mergeCell ref="K49:K50"/>
    <mergeCell ref="L49:M49"/>
    <mergeCell ref="A45:N46"/>
    <mergeCell ref="A47:A50"/>
    <mergeCell ref="B47:B50"/>
    <mergeCell ref="C47:H50"/>
    <mergeCell ref="I47:N48"/>
    <mergeCell ref="I49:J49"/>
    <mergeCell ref="C52:H52"/>
    <mergeCell ref="C53:H53"/>
    <mergeCell ref="C54:H54"/>
    <mergeCell ref="C55:H55"/>
    <mergeCell ref="C56:H56"/>
    <mergeCell ref="C57:H57"/>
    <mergeCell ref="C58:H58"/>
    <mergeCell ref="C59:H59"/>
    <mergeCell ref="C60:H60"/>
    <mergeCell ref="C61:H61"/>
    <mergeCell ref="C62:H62"/>
    <mergeCell ref="C63:H63"/>
    <mergeCell ref="C64:H64"/>
    <mergeCell ref="C65:H65"/>
    <mergeCell ref="C66:H66"/>
    <mergeCell ref="C67:H67"/>
    <mergeCell ref="C68:H68"/>
    <mergeCell ref="C69:H69"/>
    <mergeCell ref="C70:H70"/>
    <mergeCell ref="C71:H71"/>
    <mergeCell ref="C72:H72"/>
    <mergeCell ref="C73:H73"/>
    <mergeCell ref="C74:H74"/>
    <mergeCell ref="C75:H75"/>
    <mergeCell ref="C76:H76"/>
    <mergeCell ref="C77:H77"/>
    <mergeCell ref="C78:H78"/>
    <mergeCell ref="C79:H79"/>
    <mergeCell ref="C80:H80"/>
    <mergeCell ref="G94:H94"/>
    <mergeCell ref="I94:J94"/>
    <mergeCell ref="G95:H95"/>
    <mergeCell ref="I95:J95"/>
    <mergeCell ref="G96:H96"/>
    <mergeCell ref="I96:J96"/>
    <mergeCell ref="G97:H97"/>
    <mergeCell ref="I97:J97"/>
    <mergeCell ref="C94:E97"/>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296"/>
  <sheetViews>
    <sheetView tabSelected="1" workbookViewId="0" showGridLines="true" showRowColHeaders="1" topLeftCell="A42">
      <selection activeCell="L6" sqref="L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0"/>
    <col min="12" max="12" width="8.7265625" customWidth="true" style="58"/>
    <col min="13" max="13" width="11.453125"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8.7265625" customWidth="true" style="0"/>
    <col min="21" max="21" width="8.7265625" customWidth="true" style="58"/>
    <col min="22" max="22" width="11.453125" style="58"/>
    <col min="23" max="23" width="13.54296875" customWidth="true" style="58"/>
    <col min="24" max="24" width="11.453125" style="58"/>
  </cols>
  <sheetData>
    <row r="1" spans="1:24" customHeight="1" ht="111">
      <c r="A1" s="493" t="s">
        <v>145</v>
      </c>
      <c r="B1" s="494"/>
      <c r="C1" s="494"/>
      <c r="D1" s="494"/>
      <c r="E1" s="494"/>
      <c r="F1" s="494"/>
      <c r="G1" s="494"/>
      <c r="H1" s="494"/>
      <c r="I1" s="494"/>
      <c r="J1" s="494"/>
      <c r="K1" s="494"/>
      <c r="L1" s="494"/>
      <c r="M1" s="494"/>
      <c r="N1" s="494"/>
      <c r="O1" s="494"/>
      <c r="P1" s="494"/>
      <c r="Q1" s="494"/>
      <c r="R1" s="494"/>
      <c r="S1" s="494"/>
      <c r="T1" s="494"/>
      <c r="U1" s="494"/>
      <c r="V1" s="494"/>
      <c r="W1" s="494"/>
      <c r="X1" s="495"/>
    </row>
    <row r="2" spans="1:24" customHeight="1" ht="23.25">
      <c r="A2" s="502" t="s">
        <v>146</v>
      </c>
      <c r="B2" s="502"/>
      <c r="C2" s="502"/>
      <c r="D2" s="502"/>
      <c r="E2" s="502"/>
      <c r="F2" s="502"/>
      <c r="G2" s="502"/>
      <c r="H2" s="502"/>
      <c r="I2" s="502"/>
      <c r="J2" s="502"/>
      <c r="K2" s="502"/>
      <c r="L2" s="502"/>
      <c r="M2" s="502"/>
      <c r="N2" s="502"/>
      <c r="O2" s="502"/>
      <c r="P2" s="502"/>
      <c r="Q2" s="502"/>
      <c r="R2" s="502"/>
      <c r="S2" s="502"/>
      <c r="T2" s="502"/>
      <c r="U2" s="502"/>
      <c r="V2" s="502"/>
      <c r="W2" s="502"/>
      <c r="X2" s="502"/>
    </row>
    <row r="3" spans="1:24" customHeight="1" ht="15.5">
      <c r="A3" s="476" t="s">
        <v>147</v>
      </c>
      <c r="B3" s="476"/>
      <c r="C3" s="476"/>
      <c r="D3" s="476"/>
      <c r="E3" s="476"/>
      <c r="F3" s="477"/>
      <c r="G3" s="496" t="s">
        <v>148</v>
      </c>
      <c r="H3" s="497"/>
      <c r="I3" s="497"/>
      <c r="J3" s="497"/>
      <c r="K3" s="497"/>
      <c r="L3" s="497"/>
      <c r="M3" s="497"/>
      <c r="N3" s="497"/>
      <c r="O3" s="497"/>
      <c r="P3" s="497"/>
      <c r="Q3" s="497"/>
      <c r="R3" s="497"/>
      <c r="S3" s="497"/>
      <c r="T3" s="497"/>
      <c r="U3" s="497"/>
      <c r="V3" s="498"/>
      <c r="W3" s="485"/>
      <c r="X3" s="486"/>
    </row>
    <row r="4" spans="1:24" customHeight="1" ht="15.5">
      <c r="A4" s="476" t="s">
        <v>149</v>
      </c>
      <c r="B4" s="476"/>
      <c r="C4" s="476"/>
      <c r="D4" s="477"/>
      <c r="E4" s="499" t="s">
        <v>150</v>
      </c>
      <c r="F4" s="500"/>
      <c r="G4" s="500"/>
      <c r="H4" s="500"/>
      <c r="I4" s="500"/>
      <c r="J4" s="500"/>
      <c r="K4" s="500"/>
      <c r="L4" s="500"/>
      <c r="M4" s="500"/>
      <c r="N4" s="500"/>
      <c r="O4" s="500"/>
      <c r="P4" s="500"/>
      <c r="Q4" s="500"/>
      <c r="R4" s="500"/>
      <c r="S4" s="500"/>
      <c r="T4" s="500"/>
      <c r="U4" s="500"/>
      <c r="V4" s="501"/>
      <c r="W4" s="485"/>
      <c r="X4" s="486"/>
    </row>
    <row r="5" spans="1:24" customHeight="1" ht="15.5">
      <c r="A5" s="476" t="s">
        <v>151</v>
      </c>
      <c r="B5" s="476"/>
      <c r="C5" s="476"/>
      <c r="D5" s="477"/>
      <c r="E5" s="499" t="s">
        <v>152</v>
      </c>
      <c r="F5" s="500"/>
      <c r="G5" s="500"/>
      <c r="H5" s="500"/>
      <c r="I5" s="500"/>
      <c r="J5" s="500"/>
      <c r="K5" s="500"/>
      <c r="L5" s="500"/>
      <c r="M5" s="500"/>
      <c r="N5" s="500"/>
      <c r="O5" s="500"/>
      <c r="P5" s="500"/>
      <c r="Q5" s="500"/>
      <c r="R5" s="500"/>
      <c r="S5" s="500"/>
      <c r="T5" s="500"/>
      <c r="U5" s="500"/>
      <c r="V5" s="501"/>
      <c r="W5" s="485"/>
      <c r="X5" s="486"/>
    </row>
    <row r="6" spans="1:24" customHeight="1" ht="18.5">
      <c r="A6" s="476" t="s">
        <v>153</v>
      </c>
      <c r="B6" s="476"/>
      <c r="C6" s="476"/>
      <c r="D6" s="477"/>
      <c r="E6" s="59">
        <v>1</v>
      </c>
      <c r="F6" s="59">
        <v>2</v>
      </c>
      <c r="G6" s="59">
        <v>3</v>
      </c>
      <c r="H6" s="59">
        <v>4</v>
      </c>
      <c r="I6" s="59">
        <v>5</v>
      </c>
      <c r="J6" s="59">
        <v>6</v>
      </c>
      <c r="K6" s="59">
        <v>7</v>
      </c>
      <c r="L6" s="694">
        <v>8</v>
      </c>
      <c r="M6" s="485"/>
      <c r="N6" s="486"/>
      <c r="O6" s="486"/>
      <c r="P6" s="486"/>
      <c r="Q6" s="486"/>
      <c r="R6" s="486"/>
      <c r="S6" s="486"/>
      <c r="T6" s="486"/>
      <c r="U6" s="486"/>
      <c r="V6" s="486"/>
      <c r="W6" s="486"/>
      <c r="X6" s="486"/>
    </row>
    <row r="7" spans="1:24" customHeight="1" ht="15.5">
      <c r="A7" s="476" t="s">
        <v>154</v>
      </c>
      <c r="B7" s="476"/>
      <c r="C7" s="476"/>
      <c r="D7" s="477"/>
      <c r="E7" s="481" t="s">
        <v>155</v>
      </c>
      <c r="F7" s="482"/>
      <c r="G7" s="482"/>
      <c r="H7" s="482"/>
      <c r="I7" s="482"/>
      <c r="J7" s="482"/>
      <c r="K7" s="482"/>
      <c r="L7" s="482"/>
      <c r="M7" s="483"/>
      <c r="N7" s="484"/>
      <c r="O7" s="485"/>
      <c r="P7" s="486"/>
      <c r="Q7" s="486"/>
      <c r="R7" s="486"/>
      <c r="S7" s="486"/>
      <c r="T7" s="486"/>
      <c r="U7" s="486"/>
      <c r="V7" s="486"/>
      <c r="W7" s="486"/>
      <c r="X7" s="486"/>
    </row>
    <row r="8" spans="1:24" customHeight="1" ht="15">
      <c r="A8" s="74"/>
      <c r="B8" s="74"/>
      <c r="C8" s="74"/>
      <c r="D8" s="74"/>
      <c r="E8" s="74"/>
      <c r="F8" s="74"/>
      <c r="G8" s="74"/>
      <c r="H8" s="74"/>
      <c r="I8" s="74"/>
      <c r="J8" s="74"/>
      <c r="K8" s="74"/>
      <c r="L8" s="74"/>
      <c r="M8" s="74"/>
      <c r="N8" s="74"/>
      <c r="O8" s="74"/>
      <c r="P8" s="74"/>
      <c r="Q8" s="74"/>
      <c r="R8" s="74"/>
      <c r="S8" s="74"/>
      <c r="T8" s="74"/>
      <c r="U8" s="74"/>
      <c r="V8" s="74"/>
      <c r="W8" s="74"/>
      <c r="X8" s="74"/>
    </row>
    <row r="9" spans="1:24" customHeight="1" ht="15">
      <c r="A9" s="60"/>
      <c r="B9" s="60"/>
      <c r="C9" s="60"/>
      <c r="D9" s="61"/>
      <c r="E9" s="60"/>
      <c r="F9" s="62"/>
      <c r="G9" s="62"/>
      <c r="H9" s="62"/>
      <c r="I9" s="62"/>
      <c r="J9" s="62"/>
      <c r="K9" s="62"/>
      <c r="L9" s="62"/>
      <c r="M9" s="62"/>
      <c r="N9" s="60"/>
      <c r="O9" s="60"/>
      <c r="P9" s="60"/>
      <c r="Q9" s="60"/>
      <c r="R9" s="60"/>
      <c r="S9" s="60"/>
      <c r="T9" s="60"/>
      <c r="U9" s="60"/>
      <c r="V9" s="60"/>
      <c r="W9" s="60"/>
      <c r="X9" s="60"/>
    </row>
    <row r="10" spans="1:24" customHeight="1" ht="21.75">
      <c r="A10" s="487" t="s">
        <v>156</v>
      </c>
      <c r="B10" s="488"/>
      <c r="C10" s="488"/>
      <c r="D10" s="488"/>
      <c r="E10" s="488"/>
      <c r="F10" s="488"/>
      <c r="G10" s="488"/>
      <c r="H10" s="488"/>
      <c r="I10" s="488"/>
      <c r="J10" s="488"/>
      <c r="K10" s="488"/>
      <c r="L10" s="488"/>
      <c r="M10" s="488"/>
      <c r="N10" s="488"/>
      <c r="O10" s="488"/>
      <c r="P10" s="488"/>
      <c r="Q10" s="488"/>
      <c r="R10" s="488"/>
      <c r="S10" s="488"/>
      <c r="T10" s="488"/>
      <c r="U10" s="488"/>
      <c r="V10" s="488"/>
      <c r="W10" s="488"/>
      <c r="X10" s="489"/>
    </row>
    <row r="11" spans="1:24" customHeight="1" ht="15.5">
      <c r="A11" s="63"/>
      <c r="B11" s="62"/>
      <c r="C11" s="62"/>
      <c r="D11" s="64"/>
      <c r="E11" s="65"/>
      <c r="F11" s="62"/>
      <c r="G11" s="62"/>
      <c r="H11" s="62"/>
      <c r="I11" s="62"/>
      <c r="J11" s="62"/>
      <c r="K11" s="62"/>
      <c r="L11" s="62"/>
      <c r="M11" s="62"/>
      <c r="N11" s="60"/>
      <c r="O11" s="60"/>
      <c r="P11" s="60"/>
      <c r="Q11" s="60"/>
      <c r="R11" s="60"/>
      <c r="S11" s="60"/>
      <c r="T11" s="60"/>
      <c r="U11" s="60"/>
      <c r="V11" s="60"/>
      <c r="W11" s="60"/>
      <c r="X11" s="60"/>
    </row>
    <row r="12" spans="1:24" customHeight="1" ht="15">
      <c r="A12" s="63"/>
      <c r="B12" s="62"/>
      <c r="C12" s="62"/>
      <c r="D12" s="64"/>
      <c r="E12" s="478" t="s">
        <v>157</v>
      </c>
      <c r="F12" s="479"/>
      <c r="G12" s="479"/>
      <c r="H12" s="479"/>
      <c r="I12" s="479"/>
      <c r="J12" s="479"/>
      <c r="K12" s="479"/>
      <c r="L12" s="480"/>
      <c r="M12" s="66"/>
      <c r="N12" s="490" t="s">
        <v>157</v>
      </c>
      <c r="O12" s="491"/>
      <c r="P12" s="491"/>
      <c r="Q12" s="491"/>
      <c r="R12" s="491"/>
      <c r="S12" s="491"/>
      <c r="T12" s="491"/>
      <c r="U12" s="492"/>
      <c r="V12" s="60"/>
      <c r="W12" s="60"/>
      <c r="X12" s="60"/>
    </row>
    <row r="13" spans="1:24" customHeight="1" ht="15">
      <c r="A13" s="66"/>
      <c r="B13" s="67"/>
      <c r="C13" s="67"/>
      <c r="D13" s="68"/>
      <c r="E13" s="69">
        <v>1</v>
      </c>
      <c r="F13" s="70">
        <v>2</v>
      </c>
      <c r="G13" s="70">
        <v>3</v>
      </c>
      <c r="H13" s="70">
        <v>4</v>
      </c>
      <c r="I13" s="70">
        <v>5</v>
      </c>
      <c r="J13" s="70">
        <v>6</v>
      </c>
      <c r="K13" s="70">
        <v>7</v>
      </c>
      <c r="L13" s="70">
        <v>8</v>
      </c>
      <c r="M13" s="71"/>
      <c r="N13" s="72">
        <v>1</v>
      </c>
      <c r="O13" s="73">
        <v>2</v>
      </c>
      <c r="P13" s="73">
        <v>3</v>
      </c>
      <c r="Q13" s="73">
        <v>4</v>
      </c>
      <c r="R13" s="73">
        <v>5</v>
      </c>
      <c r="S13" s="73">
        <v>6</v>
      </c>
      <c r="T13" s="73">
        <v>7</v>
      </c>
      <c r="U13" s="73">
        <v>8</v>
      </c>
      <c r="V13" s="71"/>
      <c r="W13" s="71"/>
      <c r="X13" s="71"/>
    </row>
    <row r="14" spans="1:24" customHeight="1" ht="15">
      <c r="A14" s="464" t="s">
        <v>158</v>
      </c>
      <c r="B14" s="465"/>
      <c r="C14" s="465"/>
      <c r="D14" s="466"/>
      <c r="E14" s="467" t="s">
        <v>55</v>
      </c>
      <c r="F14" s="468"/>
      <c r="G14" s="468"/>
      <c r="H14" s="468"/>
      <c r="I14" s="468"/>
      <c r="J14" s="468"/>
      <c r="K14" s="468"/>
      <c r="L14" s="469"/>
      <c r="M14" s="211" t="s">
        <v>159</v>
      </c>
      <c r="N14" s="467" t="s">
        <v>57</v>
      </c>
      <c r="O14" s="470"/>
      <c r="P14" s="470"/>
      <c r="Q14" s="470"/>
      <c r="R14" s="470"/>
      <c r="S14" s="470"/>
      <c r="T14" s="470"/>
      <c r="U14" s="471"/>
      <c r="V14" s="211" t="s">
        <v>159</v>
      </c>
      <c r="W14" s="212" t="s">
        <v>160</v>
      </c>
      <c r="X14" s="212" t="s">
        <v>122</v>
      </c>
    </row>
    <row r="15" spans="1:24" customHeight="1" ht="18">
      <c r="A15" s="407" t="s">
        <v>161</v>
      </c>
      <c r="B15" s="408"/>
      <c r="C15" s="408"/>
      <c r="D15" s="408"/>
      <c r="E15" s="408"/>
      <c r="F15" s="408"/>
      <c r="G15" s="408"/>
      <c r="H15" s="408"/>
      <c r="I15" s="408"/>
      <c r="J15" s="408"/>
      <c r="K15" s="408"/>
      <c r="L15" s="408"/>
      <c r="M15" s="408"/>
      <c r="N15" s="408"/>
      <c r="O15" s="408"/>
      <c r="P15" s="408"/>
      <c r="Q15" s="408"/>
      <c r="R15" s="408"/>
      <c r="S15" s="408"/>
      <c r="T15" s="408"/>
      <c r="U15" s="408"/>
      <c r="V15" s="408"/>
      <c r="W15" s="408"/>
      <c r="X15" s="409"/>
    </row>
    <row r="16" spans="1:24">
      <c r="A16" s="217" t="s">
        <v>104</v>
      </c>
      <c r="B16" s="472" t="s">
        <v>105</v>
      </c>
      <c r="C16" s="472"/>
      <c r="D16" s="473"/>
      <c r="E16" s="219">
        <v>0</v>
      </c>
      <c r="F16" s="219">
        <v>0</v>
      </c>
      <c r="G16" s="219">
        <v>0</v>
      </c>
      <c r="H16" s="219">
        <v>1</v>
      </c>
      <c r="I16" s="219">
        <v>0</v>
      </c>
      <c r="J16" s="219">
        <v>1</v>
      </c>
      <c r="K16" s="219">
        <v>0</v>
      </c>
      <c r="L16" s="220">
        <v>3</v>
      </c>
      <c r="M16" s="248">
        <v>5</v>
      </c>
      <c r="N16" s="228">
        <v>0</v>
      </c>
      <c r="O16" s="229">
        <v>0</v>
      </c>
      <c r="P16" s="229">
        <v>0</v>
      </c>
      <c r="Q16" s="229">
        <v>0</v>
      </c>
      <c r="R16" s="229">
        <v>0</v>
      </c>
      <c r="S16" s="229">
        <v>0</v>
      </c>
      <c r="T16" s="229">
        <v>0</v>
      </c>
      <c r="U16" s="230">
        <v>0</v>
      </c>
      <c r="V16" s="248">
        <v>0</v>
      </c>
      <c r="W16" s="257">
        <v>5</v>
      </c>
      <c r="X16" s="258" t="s">
        <v>137</v>
      </c>
    </row>
    <row r="17" spans="1:24" customHeight="1" ht="15">
      <c r="A17" s="235"/>
      <c r="B17" s="474"/>
      <c r="C17" s="474"/>
      <c r="D17" s="475"/>
      <c r="E17" s="218"/>
      <c r="F17" s="219"/>
      <c r="G17" s="219"/>
      <c r="H17" s="219"/>
      <c r="I17" s="219"/>
      <c r="J17" s="219"/>
      <c r="K17" s="219"/>
      <c r="L17" s="220"/>
      <c r="M17" s="221">
        <f>SUM(E17:L17)</f>
        <v>0</v>
      </c>
      <c r="N17" s="232"/>
      <c r="O17" s="233"/>
      <c r="P17" s="233"/>
      <c r="Q17" s="233"/>
      <c r="R17" s="233"/>
      <c r="S17" s="233"/>
      <c r="T17" s="233"/>
      <c r="U17" s="234"/>
      <c r="V17" s="221">
        <f>SUM(N17:U17)</f>
        <v>0</v>
      </c>
      <c r="W17" s="231">
        <f>SUM(V17,M17)</f>
        <v>0</v>
      </c>
      <c r="X17" s="227" t="b">
        <f>IF(V17&gt;0,V17/W17,)</f>
        <v>0</v>
      </c>
    </row>
    <row r="18" spans="1:24" customHeight="1" ht="15">
      <c r="A18" s="439" t="s">
        <v>162</v>
      </c>
      <c r="B18" s="440"/>
      <c r="C18" s="440"/>
      <c r="D18" s="441"/>
      <c r="E18" s="238">
        <f>SUM(E16:E17)</f>
        <v>0</v>
      </c>
      <c r="F18" s="238">
        <f>SUM(F16:F17)</f>
        <v>0</v>
      </c>
      <c r="G18" s="238">
        <f>SUM(G16:G17)</f>
        <v>0</v>
      </c>
      <c r="H18" s="238">
        <f>SUM(H16:H17)</f>
        <v>1</v>
      </c>
      <c r="I18" s="238">
        <f>SUM(I16:I17)</f>
        <v>0</v>
      </c>
      <c r="J18" s="238">
        <f>SUM(J16:J17)</f>
        <v>1</v>
      </c>
      <c r="K18" s="238"/>
      <c r="L18" s="238">
        <f>SUM(L16:L17)</f>
        <v>3</v>
      </c>
      <c r="M18" s="240">
        <f>SUM(E18:L18)</f>
        <v>5</v>
      </c>
      <c r="N18" s="241">
        <f>SUM(N16:N17)</f>
        <v>0</v>
      </c>
      <c r="O18" s="238">
        <f>SUM(O16:O17)</f>
        <v>0</v>
      </c>
      <c r="P18" s="238">
        <f>SUM(P16:P17)</f>
        <v>0</v>
      </c>
      <c r="Q18" s="238">
        <f>SUM(Q16:Q17)</f>
        <v>0</v>
      </c>
      <c r="R18" s="238">
        <f>SUM(R16:R17)</f>
        <v>0</v>
      </c>
      <c r="S18" s="238">
        <f>SUM(S16:S17)</f>
        <v>0</v>
      </c>
      <c r="T18" s="238"/>
      <c r="U18" s="242">
        <f>SUM(U16:U17)</f>
        <v>0</v>
      </c>
      <c r="V18" s="240">
        <f>SUM(N18:U18)</f>
        <v>0</v>
      </c>
      <c r="W18" s="243">
        <f>SUM(V18,M18)</f>
        <v>5</v>
      </c>
      <c r="X18" s="244" t="b">
        <f>IF(V18&gt;0,V18/W18,)</f>
        <v>0</v>
      </c>
    </row>
    <row r="19" spans="1:24" customHeight="1" ht="18">
      <c r="A19" s="407" t="s">
        <v>163</v>
      </c>
      <c r="B19" s="408"/>
      <c r="C19" s="408"/>
      <c r="D19" s="408"/>
      <c r="E19" s="408"/>
      <c r="F19" s="408"/>
      <c r="G19" s="408"/>
      <c r="H19" s="408"/>
      <c r="I19" s="408"/>
      <c r="J19" s="408"/>
      <c r="K19" s="408"/>
      <c r="L19" s="408"/>
      <c r="M19" s="408"/>
      <c r="N19" s="408"/>
      <c r="O19" s="408"/>
      <c r="P19" s="408"/>
      <c r="Q19" s="408"/>
      <c r="R19" s="408"/>
      <c r="S19" s="408"/>
      <c r="T19" s="408"/>
      <c r="U19" s="408"/>
      <c r="V19" s="408"/>
      <c r="W19" s="408"/>
      <c r="X19" s="409"/>
    </row>
    <row r="20" spans="1:24">
      <c r="A20" s="217" t="s">
        <v>63</v>
      </c>
      <c r="B20" s="472" t="s">
        <v>64</v>
      </c>
      <c r="C20" s="472"/>
      <c r="D20" s="473"/>
      <c r="E20" s="219">
        <v>0</v>
      </c>
      <c r="F20" s="219">
        <v>0</v>
      </c>
      <c r="G20" s="219">
        <v>0</v>
      </c>
      <c r="H20" s="219">
        <v>1</v>
      </c>
      <c r="I20" s="219">
        <v>1</v>
      </c>
      <c r="J20" s="219">
        <v>0</v>
      </c>
      <c r="K20" s="219">
        <v>0</v>
      </c>
      <c r="L20" s="220">
        <v>2</v>
      </c>
      <c r="M20" s="221">
        <v>4</v>
      </c>
      <c r="N20" s="228">
        <v>0</v>
      </c>
      <c r="O20" s="229">
        <v>0</v>
      </c>
      <c r="P20" s="229">
        <v>0</v>
      </c>
      <c r="Q20" s="229">
        <v>0</v>
      </c>
      <c r="R20" s="229">
        <v>0</v>
      </c>
      <c r="S20" s="229">
        <v>0</v>
      </c>
      <c r="T20" s="229">
        <v>0</v>
      </c>
      <c r="U20" s="230">
        <v>0</v>
      </c>
      <c r="V20" s="221">
        <v>0</v>
      </c>
      <c r="W20" s="231">
        <v>4</v>
      </c>
      <c r="X20" s="227" t="s">
        <v>137</v>
      </c>
    </row>
    <row r="21" spans="1:24" customHeight="1" ht="15">
      <c r="A21" s="235"/>
      <c r="B21" s="474"/>
      <c r="C21" s="474"/>
      <c r="D21" s="475"/>
      <c r="E21" s="218"/>
      <c r="F21" s="219"/>
      <c r="G21" s="219"/>
      <c r="H21" s="219"/>
      <c r="I21" s="219"/>
      <c r="J21" s="219"/>
      <c r="K21" s="219"/>
      <c r="L21" s="220"/>
      <c r="M21" s="221">
        <f>SUM(E21:L21)</f>
        <v>0</v>
      </c>
      <c r="N21" s="232"/>
      <c r="O21" s="233"/>
      <c r="P21" s="233"/>
      <c r="Q21" s="233"/>
      <c r="R21" s="233"/>
      <c r="S21" s="233"/>
      <c r="T21" s="233"/>
      <c r="U21" s="234"/>
      <c r="V21" s="221">
        <f>SUM(N21:U21)</f>
        <v>0</v>
      </c>
      <c r="W21" s="231">
        <f>SUM(V21,M21)</f>
        <v>0</v>
      </c>
      <c r="X21" s="227" t="b">
        <f>IF(V21&gt;0,V21/W21,)</f>
        <v>0</v>
      </c>
    </row>
    <row r="22" spans="1:24" customHeight="1" ht="15">
      <c r="A22" s="439" t="s">
        <v>162</v>
      </c>
      <c r="B22" s="440"/>
      <c r="C22" s="440"/>
      <c r="D22" s="441"/>
      <c r="E22" s="238">
        <f>SUM(E20:E21)</f>
        <v>0</v>
      </c>
      <c r="F22" s="238">
        <f>SUM(F20:F21)</f>
        <v>0</v>
      </c>
      <c r="G22" s="238">
        <f>SUM(G20:G21)</f>
        <v>0</v>
      </c>
      <c r="H22" s="238">
        <f>SUM(H20:H21)</f>
        <v>1</v>
      </c>
      <c r="I22" s="238">
        <f>SUM(I20:I21)</f>
        <v>1</v>
      </c>
      <c r="J22" s="238">
        <f>SUM(J20:J21)</f>
        <v>0</v>
      </c>
      <c r="K22" s="238"/>
      <c r="L22" s="238">
        <f>SUM(L20:L21)</f>
        <v>2</v>
      </c>
      <c r="M22" s="240">
        <f>SUM(E22:L22)</f>
        <v>4</v>
      </c>
      <c r="N22" s="249">
        <f>SUM(N20:N21)</f>
        <v>0</v>
      </c>
      <c r="O22" s="249">
        <f>SUM(O20:O21)</f>
        <v>0</v>
      </c>
      <c r="P22" s="249">
        <f>SUM(P20:P21)</f>
        <v>0</v>
      </c>
      <c r="Q22" s="249">
        <f>SUM(Q20:Q21)</f>
        <v>0</v>
      </c>
      <c r="R22" s="249">
        <f>SUM(R20:R21)</f>
        <v>0</v>
      </c>
      <c r="S22" s="249">
        <f>SUM(S20:S21)</f>
        <v>0</v>
      </c>
      <c r="T22" s="249"/>
      <c r="U22" s="249">
        <f>SUM(U20:U21)</f>
        <v>0</v>
      </c>
      <c r="V22" s="240">
        <f>SUM(N22:U22)</f>
        <v>0</v>
      </c>
      <c r="W22" s="243">
        <f>SUM(V22,M22)</f>
        <v>4</v>
      </c>
      <c r="X22" s="244" t="b">
        <f>IF(V22&gt;0,V22/W22,)</f>
        <v>0</v>
      </c>
    </row>
    <row r="23" spans="1:24" customHeight="1" ht="18">
      <c r="A23" s="407" t="s">
        <v>164</v>
      </c>
      <c r="B23" s="408"/>
      <c r="C23" s="408"/>
      <c r="D23" s="408"/>
      <c r="E23" s="408"/>
      <c r="F23" s="408"/>
      <c r="G23" s="408"/>
      <c r="H23" s="408"/>
      <c r="I23" s="408"/>
      <c r="J23" s="408"/>
      <c r="K23" s="408"/>
      <c r="L23" s="408"/>
      <c r="M23" s="408"/>
      <c r="N23" s="408"/>
      <c r="O23" s="408"/>
      <c r="P23" s="408"/>
      <c r="Q23" s="408"/>
      <c r="R23" s="408"/>
      <c r="S23" s="408"/>
      <c r="T23" s="408"/>
      <c r="U23" s="408"/>
      <c r="V23" s="408"/>
      <c r="W23" s="408"/>
      <c r="X23" s="409"/>
    </row>
    <row r="24" spans="1:24">
      <c r="A24" s="217"/>
      <c r="B24" s="472"/>
      <c r="C24" s="472"/>
      <c r="D24" s="473"/>
      <c r="E24" s="218"/>
      <c r="F24" s="219"/>
      <c r="G24" s="219"/>
      <c r="H24" s="219"/>
      <c r="I24" s="219"/>
      <c r="J24" s="219"/>
      <c r="K24" s="219"/>
      <c r="L24" s="220"/>
      <c r="M24" s="247">
        <f>SUM(E24:L24)</f>
        <v>0</v>
      </c>
      <c r="N24" s="228"/>
      <c r="O24" s="229"/>
      <c r="P24" s="229"/>
      <c r="Q24" s="229"/>
      <c r="R24" s="229"/>
      <c r="S24" s="229"/>
      <c r="T24" s="229"/>
      <c r="U24" s="230"/>
      <c r="V24" s="221">
        <f>SUM(N24:U24)</f>
        <v>0</v>
      </c>
      <c r="W24" s="231">
        <f>SUM(V24,M24)</f>
        <v>0</v>
      </c>
      <c r="X24" s="227" t="b">
        <f>IF(V24&gt;0,V24/W24,)</f>
        <v>0</v>
      </c>
    </row>
    <row r="25" spans="1:24" customHeight="1" ht="15">
      <c r="A25" s="235"/>
      <c r="B25" s="474"/>
      <c r="C25" s="474"/>
      <c r="D25" s="475"/>
      <c r="E25" s="218"/>
      <c r="F25" s="219"/>
      <c r="G25" s="219"/>
      <c r="H25" s="219"/>
      <c r="I25" s="219"/>
      <c r="J25" s="219"/>
      <c r="K25" s="219"/>
      <c r="L25" s="220"/>
      <c r="M25" s="248">
        <f>SUM(E25:L25)</f>
        <v>0</v>
      </c>
      <c r="N25" s="232"/>
      <c r="O25" s="233"/>
      <c r="P25" s="233"/>
      <c r="Q25" s="233"/>
      <c r="R25" s="233"/>
      <c r="S25" s="233"/>
      <c r="T25" s="233"/>
      <c r="U25" s="234"/>
      <c r="V25" s="221">
        <f>SUM(N25:U25)</f>
        <v>0</v>
      </c>
      <c r="W25" s="231">
        <f>SUM(V25,M25)</f>
        <v>0</v>
      </c>
      <c r="X25" s="227" t="b">
        <f>IF(V25&gt;0,V25/W25,)</f>
        <v>0</v>
      </c>
    </row>
    <row r="26" spans="1:24" customHeight="1" ht="15">
      <c r="A26" s="439" t="s">
        <v>162</v>
      </c>
      <c r="B26" s="440"/>
      <c r="C26" s="440"/>
      <c r="D26" s="441"/>
      <c r="E26" s="238">
        <f>SUM(E24:E25)</f>
        <v>0</v>
      </c>
      <c r="F26" s="238">
        <f>SUM(F24:F25)</f>
        <v>0</v>
      </c>
      <c r="G26" s="238">
        <f>SUM(G24:G25)</f>
        <v>0</v>
      </c>
      <c r="H26" s="238">
        <f>SUM(H24:H25)</f>
        <v>0</v>
      </c>
      <c r="I26" s="238">
        <f>SUM(I24:I25)</f>
        <v>0</v>
      </c>
      <c r="J26" s="238">
        <f>SUM(J24:J25)</f>
        <v>0</v>
      </c>
      <c r="K26" s="238"/>
      <c r="L26" s="242">
        <f>SUM(L24:L25)</f>
        <v>0</v>
      </c>
      <c r="M26" s="240">
        <f>SUM(E26:L26)</f>
        <v>0</v>
      </c>
      <c r="N26" s="249">
        <f>SUM(N24:N25)</f>
        <v>0</v>
      </c>
      <c r="O26" s="238">
        <f>SUM(O24:O25)</f>
        <v>0</v>
      </c>
      <c r="P26" s="238">
        <f>SUM(P24:P25)</f>
        <v>0</v>
      </c>
      <c r="Q26" s="238">
        <f>SUM(Q24:Q25)</f>
        <v>0</v>
      </c>
      <c r="R26" s="238">
        <f>SUM(R24:R25)</f>
        <v>0</v>
      </c>
      <c r="S26" s="238">
        <f>SUM(S24:S25)</f>
        <v>0</v>
      </c>
      <c r="T26" s="238"/>
      <c r="U26" s="238">
        <f>SUM(U24:U25)</f>
        <v>0</v>
      </c>
      <c r="V26" s="240">
        <f>SUM(N26:U26)</f>
        <v>0</v>
      </c>
      <c r="W26" s="243">
        <f>SUM(V26,M26)</f>
        <v>0</v>
      </c>
      <c r="X26" s="244" t="b">
        <f>IF(V26&gt;0,V26/W26,)</f>
        <v>0</v>
      </c>
    </row>
    <row r="27" spans="1:24" customHeight="1" ht="18">
      <c r="A27" s="407" t="s">
        <v>165</v>
      </c>
      <c r="B27" s="408"/>
      <c r="C27" s="408"/>
      <c r="D27" s="408"/>
      <c r="E27" s="408"/>
      <c r="F27" s="408"/>
      <c r="G27" s="408"/>
      <c r="H27" s="408"/>
      <c r="I27" s="408"/>
      <c r="J27" s="408"/>
      <c r="K27" s="408"/>
      <c r="L27" s="408"/>
      <c r="M27" s="408"/>
      <c r="N27" s="408"/>
      <c r="O27" s="408"/>
      <c r="P27" s="408"/>
      <c r="Q27" s="408"/>
      <c r="R27" s="408"/>
      <c r="S27" s="408"/>
      <c r="T27" s="408"/>
      <c r="U27" s="408"/>
      <c r="V27" s="408"/>
      <c r="W27" s="408"/>
      <c r="X27" s="409"/>
    </row>
    <row r="28" spans="1:24">
      <c r="A28" s="217" t="s">
        <v>166</v>
      </c>
      <c r="B28" s="472" t="s">
        <v>167</v>
      </c>
      <c r="C28" s="472"/>
      <c r="D28" s="473"/>
      <c r="E28" s="251">
        <v>1</v>
      </c>
      <c r="F28" s="252">
        <v>0</v>
      </c>
      <c r="G28" s="252">
        <v>0</v>
      </c>
      <c r="H28" s="252">
        <v>0</v>
      </c>
      <c r="I28" s="252">
        <v>0</v>
      </c>
      <c r="J28" s="252">
        <v>0</v>
      </c>
      <c r="K28" s="252">
        <v>0</v>
      </c>
      <c r="L28" s="253">
        <v>0</v>
      </c>
      <c r="M28" s="248">
        <v>1</v>
      </c>
      <c r="N28" s="254">
        <v>0</v>
      </c>
      <c r="O28" s="255">
        <v>1</v>
      </c>
      <c r="P28" s="255">
        <v>0</v>
      </c>
      <c r="Q28" s="255">
        <v>0</v>
      </c>
      <c r="R28" s="255">
        <v>0</v>
      </c>
      <c r="S28" s="255">
        <v>0</v>
      </c>
      <c r="T28" s="255">
        <v>0</v>
      </c>
      <c r="U28" s="256">
        <v>0</v>
      </c>
      <c r="V28" s="248">
        <v>1</v>
      </c>
      <c r="W28" s="257">
        <v>2</v>
      </c>
      <c r="X28" s="258" t="s">
        <v>127</v>
      </c>
    </row>
    <row r="29" spans="1:24">
      <c r="A29" s="217" t="s">
        <v>91</v>
      </c>
      <c r="B29" s="472" t="s">
        <v>92</v>
      </c>
      <c r="C29" s="472"/>
      <c r="D29" s="473"/>
      <c r="E29" s="251">
        <v>0</v>
      </c>
      <c r="F29" s="252">
        <v>0</v>
      </c>
      <c r="G29" s="252">
        <v>1</v>
      </c>
      <c r="H29" s="252">
        <v>0</v>
      </c>
      <c r="I29" s="252">
        <v>0</v>
      </c>
      <c r="J29" s="252">
        <v>0</v>
      </c>
      <c r="K29" s="252">
        <v>1</v>
      </c>
      <c r="L29" s="253">
        <v>1</v>
      </c>
      <c r="M29" s="248">
        <v>3</v>
      </c>
      <c r="N29" s="254">
        <v>0</v>
      </c>
      <c r="O29" s="255">
        <v>0</v>
      </c>
      <c r="P29" s="255">
        <v>0</v>
      </c>
      <c r="Q29" s="255">
        <v>0</v>
      </c>
      <c r="R29" s="255">
        <v>0</v>
      </c>
      <c r="S29" s="255">
        <v>0</v>
      </c>
      <c r="T29" s="255">
        <v>0</v>
      </c>
      <c r="U29" s="256">
        <v>1</v>
      </c>
      <c r="V29" s="248">
        <v>1</v>
      </c>
      <c r="W29" s="257">
        <v>4</v>
      </c>
      <c r="X29" s="258" t="s">
        <v>168</v>
      </c>
    </row>
    <row r="30" spans="1:24" customHeight="1" ht="15">
      <c r="A30" s="235"/>
      <c r="B30" s="474"/>
      <c r="C30" s="474"/>
      <c r="D30" s="475"/>
      <c r="E30" s="251"/>
      <c r="F30" s="252"/>
      <c r="G30" s="252"/>
      <c r="H30" s="252"/>
      <c r="I30" s="252"/>
      <c r="J30" s="252"/>
      <c r="K30" s="252"/>
      <c r="L30" s="253"/>
      <c r="M30" s="248">
        <f>SUM(E30:L30)</f>
        <v>0</v>
      </c>
      <c r="N30" s="228"/>
      <c r="O30" s="229"/>
      <c r="P30" s="229"/>
      <c r="Q30" s="229"/>
      <c r="R30" s="229"/>
      <c r="S30" s="229"/>
      <c r="T30" s="229"/>
      <c r="U30" s="263"/>
      <c r="V30" s="248">
        <f>SUM(N30:U30)</f>
        <v>0</v>
      </c>
      <c r="W30" s="257">
        <f>SUM(V30,M30)</f>
        <v>0</v>
      </c>
      <c r="X30" s="258" t="b">
        <f>IF(V30&gt;0,V30/W30,)</f>
        <v>0</v>
      </c>
    </row>
    <row r="31" spans="1:24" customHeight="1" ht="15">
      <c r="A31" s="236" t="s">
        <v>162</v>
      </c>
      <c r="B31" s="237"/>
      <c r="C31" s="237"/>
      <c r="D31" s="237"/>
      <c r="E31" s="238">
        <f>SUM(E28:E30)</f>
        <v>1</v>
      </c>
      <c r="F31" s="238">
        <f>SUM(F28:F30)</f>
        <v>0</v>
      </c>
      <c r="G31" s="238">
        <f>SUM(G28:G30)</f>
        <v>1</v>
      </c>
      <c r="H31" s="238">
        <f>SUM(H28:H30)</f>
        <v>0</v>
      </c>
      <c r="I31" s="238">
        <f>SUM(I28:I30)</f>
        <v>0</v>
      </c>
      <c r="J31" s="238">
        <f>SUM(J28:J30)</f>
        <v>0</v>
      </c>
      <c r="K31" s="238"/>
      <c r="L31" s="238">
        <f>SUM(L28:L30)</f>
        <v>1</v>
      </c>
      <c r="M31" s="240">
        <f>SUM(E31:L31)</f>
        <v>3</v>
      </c>
      <c r="N31" s="249">
        <f>SUM(N28:N30)</f>
        <v>0</v>
      </c>
      <c r="O31" s="249">
        <f>SUM(O28:O30)</f>
        <v>1</v>
      </c>
      <c r="P31" s="249">
        <f>SUM(P28:P30)</f>
        <v>0</v>
      </c>
      <c r="Q31" s="249">
        <f>SUM(Q28:Q30)</f>
        <v>0</v>
      </c>
      <c r="R31" s="249">
        <f>SUM(R28:R30)</f>
        <v>0</v>
      </c>
      <c r="S31" s="249">
        <f>SUM(S28:S30)</f>
        <v>0</v>
      </c>
      <c r="T31" s="249"/>
      <c r="U31" s="249">
        <f>SUM(U28:U30)</f>
        <v>1</v>
      </c>
      <c r="V31" s="240">
        <f>SUM(N31:U31)</f>
        <v>2</v>
      </c>
      <c r="W31" s="243">
        <f>SUM(V31,M31)</f>
        <v>5</v>
      </c>
      <c r="X31" s="244">
        <f>IF(V31&gt;0,V31/W31,)</f>
        <v>0.4</v>
      </c>
    </row>
    <row r="32" spans="1:24" customHeight="1" ht="18">
      <c r="A32" s="407" t="s">
        <v>169</v>
      </c>
      <c r="B32" s="408"/>
      <c r="C32" s="408"/>
      <c r="D32" s="408"/>
      <c r="E32" s="408"/>
      <c r="F32" s="408"/>
      <c r="G32" s="408"/>
      <c r="H32" s="408"/>
      <c r="I32" s="408"/>
      <c r="J32" s="408"/>
      <c r="K32" s="408"/>
      <c r="L32" s="408"/>
      <c r="M32" s="408"/>
      <c r="N32" s="408"/>
      <c r="O32" s="408"/>
      <c r="P32" s="408"/>
      <c r="Q32" s="408"/>
      <c r="R32" s="408"/>
      <c r="S32" s="408"/>
      <c r="T32" s="408"/>
      <c r="U32" s="408"/>
      <c r="V32" s="408"/>
      <c r="W32" s="408"/>
      <c r="X32" s="409"/>
    </row>
    <row r="33" spans="1:24">
      <c r="A33" s="217" t="s">
        <v>170</v>
      </c>
      <c r="B33" s="472" t="s">
        <v>171</v>
      </c>
      <c r="C33" s="472"/>
      <c r="D33" s="473"/>
      <c r="E33" s="266">
        <v>0</v>
      </c>
      <c r="F33" s="261">
        <v>1</v>
      </c>
      <c r="G33" s="261">
        <v>0</v>
      </c>
      <c r="H33" s="261">
        <v>0</v>
      </c>
      <c r="I33" s="261">
        <v>0</v>
      </c>
      <c r="J33" s="261">
        <v>0</v>
      </c>
      <c r="K33" s="261">
        <v>0</v>
      </c>
      <c r="L33" s="260">
        <v>0</v>
      </c>
      <c r="M33" s="221">
        <v>1</v>
      </c>
      <c r="N33" s="267">
        <v>0</v>
      </c>
      <c r="O33" s="268">
        <v>0</v>
      </c>
      <c r="P33" s="268">
        <v>0</v>
      </c>
      <c r="Q33" s="268">
        <v>0</v>
      </c>
      <c r="R33" s="268">
        <v>0</v>
      </c>
      <c r="S33" s="268">
        <v>0</v>
      </c>
      <c r="T33" s="268">
        <v>0</v>
      </c>
      <c r="U33" s="269">
        <v>0</v>
      </c>
      <c r="V33" s="221">
        <v>0</v>
      </c>
      <c r="W33" s="231">
        <v>1</v>
      </c>
      <c r="X33" s="227" t="s">
        <v>137</v>
      </c>
    </row>
    <row r="34" spans="1:24" customHeight="1" ht="15">
      <c r="A34" s="235"/>
      <c r="B34" s="474"/>
      <c r="C34" s="474"/>
      <c r="D34" s="475"/>
      <c r="E34" s="266"/>
      <c r="F34" s="261"/>
      <c r="G34" s="261"/>
      <c r="H34" s="261"/>
      <c r="I34" s="261"/>
      <c r="J34" s="261"/>
      <c r="K34" s="261"/>
      <c r="L34" s="260"/>
      <c r="M34" s="221">
        <f>SUM(E34:L34)</f>
        <v>0</v>
      </c>
      <c r="N34" s="267"/>
      <c r="O34" s="268"/>
      <c r="P34" s="268"/>
      <c r="Q34" s="268"/>
      <c r="R34" s="268"/>
      <c r="S34" s="268"/>
      <c r="T34" s="268"/>
      <c r="U34" s="269"/>
      <c r="V34" s="221">
        <f>SUM(N34:U34)</f>
        <v>0</v>
      </c>
      <c r="W34" s="231">
        <f>SUM(V34,M34)</f>
        <v>0</v>
      </c>
      <c r="X34" s="227" t="b">
        <f>IF(V34&gt;0,V34/W34,)</f>
        <v>0</v>
      </c>
    </row>
    <row r="35" spans="1:24" customHeight="1" ht="15">
      <c r="A35" s="439" t="s">
        <v>162</v>
      </c>
      <c r="B35" s="440"/>
      <c r="C35" s="440"/>
      <c r="D35" s="441"/>
      <c r="E35" s="238">
        <f>SUM(E33:E34)</f>
        <v>0</v>
      </c>
      <c r="F35" s="238">
        <f>SUM(F33:F34)</f>
        <v>1</v>
      </c>
      <c r="G35" s="238">
        <f>SUM(G33:G34)</f>
        <v>0</v>
      </c>
      <c r="H35" s="238">
        <f>SUM(H33:H34)</f>
        <v>0</v>
      </c>
      <c r="I35" s="238">
        <f>SUM(I33:I34)</f>
        <v>0</v>
      </c>
      <c r="J35" s="238">
        <f>SUM(J33:J34)</f>
        <v>0</v>
      </c>
      <c r="K35" s="238"/>
      <c r="L35" s="242">
        <f>SUM(L33:L34)</f>
        <v>0</v>
      </c>
      <c r="M35" s="240">
        <f>SUM(E35:L35)</f>
        <v>1</v>
      </c>
      <c r="N35" s="238">
        <f>SUM(N33:N34)</f>
        <v>0</v>
      </c>
      <c r="O35" s="238">
        <f>SUM(O33:O34)</f>
        <v>0</v>
      </c>
      <c r="P35" s="238">
        <f>SUM(P33:P34)</f>
        <v>0</v>
      </c>
      <c r="Q35" s="238">
        <f>SUM(Q33:Q34)</f>
        <v>0</v>
      </c>
      <c r="R35" s="238">
        <f>SUM(R33:R34)</f>
        <v>0</v>
      </c>
      <c r="S35" s="238">
        <f>SUM(S33:S34)</f>
        <v>0</v>
      </c>
      <c r="T35" s="238"/>
      <c r="U35" s="242">
        <f>SUM(U33:U34)</f>
        <v>0</v>
      </c>
      <c r="V35" s="240">
        <f>SUM(N35:U35)</f>
        <v>0</v>
      </c>
      <c r="W35" s="243">
        <f>SUM(V35,M35)</f>
        <v>1</v>
      </c>
      <c r="X35" s="244" t="b">
        <f>IF(V35&gt;0,V35/W35,)</f>
        <v>0</v>
      </c>
    </row>
    <row r="36" spans="1:24" customHeight="1" ht="18">
      <c r="A36" s="407" t="s">
        <v>172</v>
      </c>
      <c r="B36" s="408"/>
      <c r="C36" s="408"/>
      <c r="D36" s="408"/>
      <c r="E36" s="408"/>
      <c r="F36" s="408"/>
      <c r="G36" s="408"/>
      <c r="H36" s="408"/>
      <c r="I36" s="408"/>
      <c r="J36" s="408"/>
      <c r="K36" s="408"/>
      <c r="L36" s="408"/>
      <c r="M36" s="408"/>
      <c r="N36" s="408"/>
      <c r="O36" s="408"/>
      <c r="P36" s="408"/>
      <c r="Q36" s="408"/>
      <c r="R36" s="408"/>
      <c r="S36" s="408"/>
      <c r="T36" s="408"/>
      <c r="U36" s="408"/>
      <c r="V36" s="408"/>
      <c r="W36" s="408"/>
      <c r="X36" s="409"/>
    </row>
    <row r="37" spans="1:24">
      <c r="A37" s="217"/>
      <c r="B37" s="472"/>
      <c r="C37" s="472"/>
      <c r="D37" s="473"/>
      <c r="E37" s="266"/>
      <c r="F37" s="261"/>
      <c r="G37" s="261"/>
      <c r="H37" s="261"/>
      <c r="I37" s="261"/>
      <c r="J37" s="261"/>
      <c r="K37" s="261"/>
      <c r="L37" s="260"/>
      <c r="M37" s="221">
        <f>SUM(E37:L37)</f>
        <v>0</v>
      </c>
      <c r="N37" s="267"/>
      <c r="O37" s="268"/>
      <c r="P37" s="268"/>
      <c r="Q37" s="268"/>
      <c r="R37" s="268"/>
      <c r="S37" s="268"/>
      <c r="T37" s="268"/>
      <c r="U37" s="269"/>
      <c r="V37" s="221">
        <f>SUM(N37:U37)</f>
        <v>0</v>
      </c>
      <c r="W37" s="231">
        <f>SUM(V37,M37)</f>
        <v>0</v>
      </c>
      <c r="X37" s="227" t="b">
        <f>IF(V37&gt;0,V37/W37,)</f>
        <v>0</v>
      </c>
    </row>
    <row r="38" spans="1:24" customHeight="1" ht="15">
      <c r="A38" s="235"/>
      <c r="B38" s="474"/>
      <c r="C38" s="474"/>
      <c r="D38" s="475"/>
      <c r="E38" s="266"/>
      <c r="F38" s="261"/>
      <c r="G38" s="261"/>
      <c r="H38" s="261"/>
      <c r="I38" s="261"/>
      <c r="J38" s="261"/>
      <c r="K38" s="261"/>
      <c r="L38" s="260"/>
      <c r="M38" s="221">
        <f>SUM(E38:L38)</f>
        <v>0</v>
      </c>
      <c r="N38" s="267"/>
      <c r="O38" s="268"/>
      <c r="P38" s="268"/>
      <c r="Q38" s="268"/>
      <c r="R38" s="268"/>
      <c r="S38" s="268"/>
      <c r="T38" s="268"/>
      <c r="U38" s="269"/>
      <c r="V38" s="221">
        <f>SUM(N38:U38)</f>
        <v>0</v>
      </c>
      <c r="W38" s="231">
        <f>SUM(V38,M38)</f>
        <v>0</v>
      </c>
      <c r="X38" s="227" t="b">
        <f>IF(V38&gt;0,V38/W38,)</f>
        <v>0</v>
      </c>
    </row>
    <row r="39" spans="1:24" customHeight="1" ht="15">
      <c r="A39" s="412" t="s">
        <v>162</v>
      </c>
      <c r="B39" s="413"/>
      <c r="C39" s="413"/>
      <c r="D39" s="414"/>
      <c r="E39" s="238">
        <f>SUM(E37:E38)</f>
        <v>0</v>
      </c>
      <c r="F39" s="238">
        <f>SUM(F37:F38)</f>
        <v>0</v>
      </c>
      <c r="G39" s="238">
        <f>SUM(G37:G38)</f>
        <v>0</v>
      </c>
      <c r="H39" s="238">
        <f>SUM(H37:H38)</f>
        <v>0</v>
      </c>
      <c r="I39" s="238">
        <f>SUM(I37:I38)</f>
        <v>0</v>
      </c>
      <c r="J39" s="238">
        <f>SUM(J37:J38)</f>
        <v>0</v>
      </c>
      <c r="K39" s="238"/>
      <c r="L39" s="242">
        <f>SUM(L37:L38)</f>
        <v>0</v>
      </c>
      <c r="M39" s="240">
        <f>SUM(E39:L39)</f>
        <v>0</v>
      </c>
      <c r="N39" s="241">
        <f>SUM(N37:N38)</f>
        <v>0</v>
      </c>
      <c r="O39" s="238">
        <f>SUM(O37:O38)</f>
        <v>0</v>
      </c>
      <c r="P39" s="238">
        <f>SUM(P37:P38)</f>
        <v>0</v>
      </c>
      <c r="Q39" s="238">
        <f>SUM(Q37:Q38)</f>
        <v>0</v>
      </c>
      <c r="R39" s="238">
        <f>SUM(R37:R38)</f>
        <v>0</v>
      </c>
      <c r="S39" s="238">
        <f>SUM(S37:S38)</f>
        <v>0</v>
      </c>
      <c r="T39" s="238"/>
      <c r="U39" s="242">
        <f>SUM(U37:U38)</f>
        <v>0</v>
      </c>
      <c r="V39" s="240">
        <f>SUM(N39:U39)</f>
        <v>0</v>
      </c>
      <c r="W39" s="243">
        <f>SUM(V39,M39)</f>
        <v>0</v>
      </c>
      <c r="X39" s="244" t="b">
        <f>IF(V39&gt;0,V39/W39,)</f>
        <v>0</v>
      </c>
    </row>
    <row r="40" spans="1:24" customHeight="1" ht="18">
      <c r="A40" s="407" t="s">
        <v>173</v>
      </c>
      <c r="B40" s="408"/>
      <c r="C40" s="408"/>
      <c r="D40" s="408"/>
      <c r="E40" s="408"/>
      <c r="F40" s="408"/>
      <c r="G40" s="408"/>
      <c r="H40" s="408"/>
      <c r="I40" s="408"/>
      <c r="J40" s="408"/>
      <c r="K40" s="408"/>
      <c r="L40" s="408"/>
      <c r="M40" s="408"/>
      <c r="N40" s="408"/>
      <c r="O40" s="408"/>
      <c r="P40" s="408"/>
      <c r="Q40" s="408"/>
      <c r="R40" s="408"/>
      <c r="S40" s="408"/>
      <c r="T40" s="408"/>
      <c r="U40" s="408"/>
      <c r="V40" s="408"/>
      <c r="W40" s="408"/>
      <c r="X40" s="409"/>
    </row>
    <row r="41" spans="1:24">
      <c r="A41" s="217"/>
      <c r="B41" s="472"/>
      <c r="C41" s="472"/>
      <c r="D41" s="473"/>
      <c r="E41" s="273"/>
      <c r="F41" s="274"/>
      <c r="G41" s="275"/>
      <c r="H41" s="274"/>
      <c r="I41" s="274"/>
      <c r="J41" s="275"/>
      <c r="K41" s="275"/>
      <c r="L41" s="133"/>
      <c r="M41" s="225">
        <f>SUM(E41:L41)</f>
        <v>0</v>
      </c>
      <c r="N41" s="222"/>
      <c r="O41" s="223"/>
      <c r="P41" s="223"/>
      <c r="Q41" s="223"/>
      <c r="R41" s="223"/>
      <c r="S41" s="223"/>
      <c r="T41" s="223"/>
      <c r="U41" s="224"/>
      <c r="V41" s="225">
        <f>SUM(N41:U41)</f>
        <v>0</v>
      </c>
      <c r="W41" s="226">
        <f>SUM(V41,M41)</f>
        <v>0</v>
      </c>
      <c r="X41" s="245" t="b">
        <f>IF(V41&gt;0,V41/W41,)</f>
        <v>0</v>
      </c>
    </row>
    <row r="42" spans="1:24" customHeight="1" ht="15">
      <c r="A42" s="235"/>
      <c r="B42" s="474"/>
      <c r="C42" s="474"/>
      <c r="D42" s="475"/>
      <c r="E42" s="273"/>
      <c r="F42" s="274"/>
      <c r="G42" s="275"/>
      <c r="H42" s="274"/>
      <c r="I42" s="274"/>
      <c r="J42" s="275"/>
      <c r="K42" s="275"/>
      <c r="L42" s="133"/>
      <c r="M42" s="248">
        <f>SUM(E42:L42)</f>
        <v>0</v>
      </c>
      <c r="N42" s="228"/>
      <c r="O42" s="229"/>
      <c r="P42" s="229"/>
      <c r="Q42" s="229"/>
      <c r="R42" s="229"/>
      <c r="S42" s="229"/>
      <c r="T42" s="229"/>
      <c r="U42" s="230"/>
      <c r="V42" s="248">
        <f>SUM(N42:U42)</f>
        <v>0</v>
      </c>
      <c r="W42" s="257">
        <f>SUM(V42,M42)</f>
        <v>0</v>
      </c>
      <c r="X42" s="258" t="b">
        <f>IF(V42&gt;0,V42/W42,)</f>
        <v>0</v>
      </c>
    </row>
    <row r="43" spans="1:24" customHeight="1" ht="15">
      <c r="A43" s="236" t="s">
        <v>162</v>
      </c>
      <c r="B43" s="237"/>
      <c r="C43" s="237"/>
      <c r="D43" s="237"/>
      <c r="E43" s="238">
        <f>SUM(E41:E42)</f>
        <v>0</v>
      </c>
      <c r="F43" s="238">
        <f>SUM(F41:F42)</f>
        <v>0</v>
      </c>
      <c r="G43" s="238">
        <f>SUM(G41:G42)</f>
        <v>0</v>
      </c>
      <c r="H43" s="238">
        <f>SUM(H41:H42)</f>
        <v>0</v>
      </c>
      <c r="I43" s="238">
        <f>SUM(I41:I42)</f>
        <v>0</v>
      </c>
      <c r="J43" s="238">
        <f>SUM(J41:J42)</f>
        <v>0</v>
      </c>
      <c r="K43" s="238"/>
      <c r="L43" s="238">
        <f>SUM(L41:L42)</f>
        <v>0</v>
      </c>
      <c r="M43" s="240">
        <f>SUM(E43:L43)</f>
        <v>0</v>
      </c>
      <c r="N43" s="314">
        <f>SUM(N41:N42)</f>
        <v>0</v>
      </c>
      <c r="O43" s="314">
        <f>SUM(O41:O42)</f>
        <v>0</v>
      </c>
      <c r="P43" s="314">
        <f>SUM(P41:P42)</f>
        <v>0</v>
      </c>
      <c r="Q43" s="314">
        <f>SUM(Q41:Q42)</f>
        <v>0</v>
      </c>
      <c r="R43" s="314">
        <f>SUM(R41:R42)</f>
        <v>0</v>
      </c>
      <c r="S43" s="314">
        <f>SUM(S41:S42)</f>
        <v>0</v>
      </c>
      <c r="T43" s="314"/>
      <c r="U43" s="314">
        <f>SUM(U41:U42)</f>
        <v>0</v>
      </c>
      <c r="V43" s="240">
        <f>SUM(N43:U43)</f>
        <v>0</v>
      </c>
      <c r="W43" s="243">
        <f>SUM(V43,M43)</f>
        <v>0</v>
      </c>
      <c r="X43" s="244" t="b">
        <f>IF(V43&gt;0,V43/W43,)</f>
        <v>0</v>
      </c>
    </row>
    <row r="44" spans="1:24" customHeight="1" ht="18">
      <c r="A44" s="407" t="s">
        <v>174</v>
      </c>
      <c r="B44" s="408"/>
      <c r="C44" s="408"/>
      <c r="D44" s="408"/>
      <c r="E44" s="408"/>
      <c r="F44" s="408"/>
      <c r="G44" s="408"/>
      <c r="H44" s="408"/>
      <c r="I44" s="408"/>
      <c r="J44" s="408"/>
      <c r="K44" s="408"/>
      <c r="L44" s="408"/>
      <c r="M44" s="408"/>
      <c r="N44" s="408"/>
      <c r="O44" s="408"/>
      <c r="P44" s="408"/>
      <c r="Q44" s="408"/>
      <c r="R44" s="408"/>
      <c r="S44" s="408"/>
      <c r="T44" s="408"/>
      <c r="U44" s="408"/>
      <c r="V44" s="408"/>
      <c r="W44" s="408"/>
      <c r="X44" s="409"/>
    </row>
    <row r="45" spans="1:24">
      <c r="A45" s="276"/>
      <c r="B45" s="437"/>
      <c r="C45" s="437"/>
      <c r="D45" s="438"/>
      <c r="E45" s="251"/>
      <c r="F45" s="252"/>
      <c r="G45" s="252"/>
      <c r="H45" s="252"/>
      <c r="I45" s="252"/>
      <c r="J45" s="252"/>
      <c r="K45" s="252"/>
      <c r="L45" s="253"/>
      <c r="M45" s="221">
        <f>SUM(E45:L45)</f>
        <v>0</v>
      </c>
      <c r="N45" s="232"/>
      <c r="O45" s="233"/>
      <c r="P45" s="233"/>
      <c r="Q45" s="233"/>
      <c r="R45" s="233"/>
      <c r="S45" s="233"/>
      <c r="T45" s="233"/>
      <c r="U45" s="234"/>
      <c r="V45" s="221">
        <f>SUM(N45:U45)</f>
        <v>0</v>
      </c>
      <c r="W45" s="231">
        <f>SUM(V45,M45)</f>
        <v>0</v>
      </c>
      <c r="X45" s="227" t="b">
        <f>IF(V45&gt;0,V45/W45,)</f>
        <v>0</v>
      </c>
    </row>
    <row r="46" spans="1:24" customHeight="1" ht="15">
      <c r="A46" s="276"/>
      <c r="B46" s="437"/>
      <c r="C46" s="437"/>
      <c r="D46" s="438"/>
      <c r="E46" s="251"/>
      <c r="F46" s="252"/>
      <c r="G46" s="252"/>
      <c r="H46" s="252"/>
      <c r="I46" s="252"/>
      <c r="J46" s="252"/>
      <c r="K46" s="252"/>
      <c r="L46" s="253"/>
      <c r="M46" s="221">
        <f>SUM(E46:L46)</f>
        <v>0</v>
      </c>
      <c r="N46" s="232"/>
      <c r="O46" s="233"/>
      <c r="P46" s="233"/>
      <c r="Q46" s="233"/>
      <c r="R46" s="233"/>
      <c r="S46" s="233"/>
      <c r="T46" s="233"/>
      <c r="U46" s="234"/>
      <c r="V46" s="221">
        <f>SUM(N46:U46)</f>
        <v>0</v>
      </c>
      <c r="W46" s="231">
        <f>SUM(V46,M46)</f>
        <v>0</v>
      </c>
      <c r="X46" s="227" t="b">
        <f>IF(V46&gt;0,V46/W46,)</f>
        <v>0</v>
      </c>
    </row>
    <row r="47" spans="1:24" customHeight="1" ht="15">
      <c r="A47" s="439" t="s">
        <v>162</v>
      </c>
      <c r="B47" s="440"/>
      <c r="C47" s="440"/>
      <c r="D47" s="441"/>
      <c r="E47" s="238">
        <f>SUM(E45:E46)</f>
        <v>0</v>
      </c>
      <c r="F47" s="238">
        <f>SUM(F45:F46)</f>
        <v>0</v>
      </c>
      <c r="G47" s="238">
        <f>SUM(G45:G46)</f>
        <v>0</v>
      </c>
      <c r="H47" s="238">
        <f>SUM(H45:H46)</f>
        <v>0</v>
      </c>
      <c r="I47" s="238">
        <f>SUM(I45:I46)</f>
        <v>0</v>
      </c>
      <c r="J47" s="238">
        <f>SUM(J45:J46)</f>
        <v>0</v>
      </c>
      <c r="K47" s="238"/>
      <c r="L47" s="238">
        <f>SUM(L45:L46)</f>
        <v>0</v>
      </c>
      <c r="M47" s="240">
        <f>SUM(E47:L47)</f>
        <v>0</v>
      </c>
      <c r="N47" s="238">
        <f>SUM(N45:N46)</f>
        <v>0</v>
      </c>
      <c r="O47" s="238">
        <f>SUM(O45:O46)</f>
        <v>0</v>
      </c>
      <c r="P47" s="238">
        <f>SUM(P45:P46)</f>
        <v>0</v>
      </c>
      <c r="Q47" s="238">
        <f>SUM(Q45:Q46)</f>
        <v>0</v>
      </c>
      <c r="R47" s="238">
        <f>SUM(R45:R46)</f>
        <v>0</v>
      </c>
      <c r="S47" s="238">
        <f>SUM(S45:S46)</f>
        <v>0</v>
      </c>
      <c r="T47" s="238"/>
      <c r="U47" s="238">
        <f>SUM(U45:U46)</f>
        <v>0</v>
      </c>
      <c r="V47" s="240">
        <f>SUM(N47:U47)</f>
        <v>0</v>
      </c>
      <c r="W47" s="243">
        <f>SUM(V47,M47)</f>
        <v>0</v>
      </c>
      <c r="X47" s="244" t="b">
        <f>IF(V47&gt;0,V47/W47,)</f>
        <v>0</v>
      </c>
    </row>
    <row r="48" spans="1:24" customHeight="1" ht="18">
      <c r="A48" s="407" t="s">
        <v>175</v>
      </c>
      <c r="B48" s="408"/>
      <c r="C48" s="408"/>
      <c r="D48" s="408"/>
      <c r="E48" s="408"/>
      <c r="F48" s="408"/>
      <c r="G48" s="408"/>
      <c r="H48" s="408"/>
      <c r="I48" s="408"/>
      <c r="J48" s="408"/>
      <c r="K48" s="408"/>
      <c r="L48" s="408"/>
      <c r="M48" s="408"/>
      <c r="N48" s="408"/>
      <c r="O48" s="408"/>
      <c r="P48" s="408"/>
      <c r="Q48" s="408"/>
      <c r="R48" s="408"/>
      <c r="S48" s="408"/>
      <c r="T48" s="408"/>
      <c r="U48" s="408"/>
      <c r="V48" s="408"/>
      <c r="W48" s="408"/>
      <c r="X48" s="409"/>
    </row>
    <row r="49" spans="1:24">
      <c r="A49" s="276" t="s">
        <v>67</v>
      </c>
      <c r="B49" s="437" t="s">
        <v>68</v>
      </c>
      <c r="C49" s="437"/>
      <c r="D49" s="438"/>
      <c r="E49" s="251">
        <v>0</v>
      </c>
      <c r="F49" s="252">
        <v>0</v>
      </c>
      <c r="G49" s="252">
        <v>0</v>
      </c>
      <c r="H49" s="252">
        <v>1</v>
      </c>
      <c r="I49" s="252">
        <v>1</v>
      </c>
      <c r="J49" s="252">
        <v>0</v>
      </c>
      <c r="K49" s="252">
        <v>1</v>
      </c>
      <c r="L49" s="253">
        <v>5</v>
      </c>
      <c r="M49" s="221">
        <v>8</v>
      </c>
      <c r="N49" s="232">
        <v>0</v>
      </c>
      <c r="O49" s="233">
        <v>0</v>
      </c>
      <c r="P49" s="233">
        <v>0</v>
      </c>
      <c r="Q49" s="233">
        <v>0</v>
      </c>
      <c r="R49" s="233">
        <v>0</v>
      </c>
      <c r="S49" s="233">
        <v>0</v>
      </c>
      <c r="T49" s="233">
        <v>0</v>
      </c>
      <c r="U49" s="234">
        <v>0</v>
      </c>
      <c r="V49" s="221">
        <v>0</v>
      </c>
      <c r="W49" s="231">
        <v>8</v>
      </c>
      <c r="X49" s="227" t="s">
        <v>137</v>
      </c>
    </row>
    <row r="50" spans="1:24" customHeight="1" ht="15">
      <c r="A50" s="276"/>
      <c r="B50" s="437"/>
      <c r="C50" s="437"/>
      <c r="D50" s="438"/>
      <c r="E50" s="251"/>
      <c r="F50" s="252"/>
      <c r="G50" s="252"/>
      <c r="H50" s="252"/>
      <c r="I50" s="252"/>
      <c r="J50" s="252"/>
      <c r="K50" s="252"/>
      <c r="L50" s="253"/>
      <c r="M50" s="221">
        <f>SUM(E50:L50)</f>
        <v>0</v>
      </c>
      <c r="N50" s="232"/>
      <c r="O50" s="233"/>
      <c r="P50" s="233"/>
      <c r="Q50" s="233"/>
      <c r="R50" s="233"/>
      <c r="S50" s="233"/>
      <c r="T50" s="233"/>
      <c r="U50" s="234"/>
      <c r="V50" s="221">
        <f>SUM(N50:U50)</f>
        <v>0</v>
      </c>
      <c r="W50" s="231">
        <f>SUM(V50,M50)</f>
        <v>0</v>
      </c>
      <c r="X50" s="227" t="b">
        <f>IF(V50&gt;0,V50/W50,)</f>
        <v>0</v>
      </c>
    </row>
    <row r="51" spans="1:24" customHeight="1" ht="15">
      <c r="A51" s="236" t="s">
        <v>162</v>
      </c>
      <c r="B51" s="237"/>
      <c r="C51" s="237"/>
      <c r="D51" s="237"/>
      <c r="E51" s="238">
        <f>SUM(E49:E50)</f>
        <v>0</v>
      </c>
      <c r="F51" s="238">
        <f>SUM(F49:F50)</f>
        <v>0</v>
      </c>
      <c r="G51" s="238">
        <f>SUM(G49:G50)</f>
        <v>0</v>
      </c>
      <c r="H51" s="238">
        <f>SUM(H49:H50)</f>
        <v>1</v>
      </c>
      <c r="I51" s="238">
        <f>SUM(I49:I50)</f>
        <v>1</v>
      </c>
      <c r="J51" s="238">
        <f>SUM(J49:J50)</f>
        <v>0</v>
      </c>
      <c r="K51" s="238"/>
      <c r="L51" s="238">
        <f>SUM(L49:L50)</f>
        <v>5</v>
      </c>
      <c r="M51" s="240">
        <f>SUM(E51:L51)</f>
        <v>7</v>
      </c>
      <c r="N51" s="314">
        <f>SUM(N49:N50)</f>
        <v>0</v>
      </c>
      <c r="O51" s="314">
        <f>SUM(O49:O50)</f>
        <v>0</v>
      </c>
      <c r="P51" s="314">
        <f>SUM(P49:P50)</f>
        <v>0</v>
      </c>
      <c r="Q51" s="314">
        <f>SUM(Q49:Q50)</f>
        <v>0</v>
      </c>
      <c r="R51" s="314">
        <f>SUM(R49:R50)</f>
        <v>0</v>
      </c>
      <c r="S51" s="314">
        <f>SUM(S49:S50)</f>
        <v>0</v>
      </c>
      <c r="T51" s="314"/>
      <c r="U51" s="314">
        <f>SUM(U49:U50)</f>
        <v>0</v>
      </c>
      <c r="V51" s="240">
        <f>SUM(N51:U51)</f>
        <v>0</v>
      </c>
      <c r="W51" s="243">
        <f>SUM(V51,M51)</f>
        <v>7</v>
      </c>
      <c r="X51" s="244" t="b">
        <f>IF(V51&gt;0,V51/W51,)</f>
        <v>0</v>
      </c>
    </row>
    <row r="52" spans="1:24" customHeight="1" ht="18">
      <c r="A52" s="407" t="s">
        <v>176</v>
      </c>
      <c r="B52" s="408"/>
      <c r="C52" s="408"/>
      <c r="D52" s="408"/>
      <c r="E52" s="408"/>
      <c r="F52" s="408"/>
      <c r="G52" s="408"/>
      <c r="H52" s="408"/>
      <c r="I52" s="408"/>
      <c r="J52" s="408"/>
      <c r="K52" s="408"/>
      <c r="L52" s="408"/>
      <c r="M52" s="408"/>
      <c r="N52" s="408"/>
      <c r="O52" s="408"/>
      <c r="P52" s="408"/>
      <c r="Q52" s="408"/>
      <c r="R52" s="408"/>
      <c r="S52" s="408"/>
      <c r="T52" s="408"/>
      <c r="U52" s="408"/>
      <c r="V52" s="408"/>
      <c r="W52" s="408"/>
      <c r="X52" s="409"/>
    </row>
    <row r="53" spans="1:24">
      <c r="A53" s="276" t="s">
        <v>177</v>
      </c>
      <c r="B53" s="437" t="s">
        <v>178</v>
      </c>
      <c r="C53" s="437"/>
      <c r="D53" s="438"/>
      <c r="E53" s="251">
        <v>0</v>
      </c>
      <c r="F53" s="252">
        <v>0</v>
      </c>
      <c r="G53" s="252">
        <v>0</v>
      </c>
      <c r="H53" s="252">
        <v>0</v>
      </c>
      <c r="I53" s="252">
        <v>0</v>
      </c>
      <c r="J53" s="252">
        <v>0</v>
      </c>
      <c r="K53" s="252">
        <v>0</v>
      </c>
      <c r="L53" s="253">
        <v>0</v>
      </c>
      <c r="M53" s="221">
        <v>0</v>
      </c>
      <c r="N53" s="232">
        <v>0</v>
      </c>
      <c r="O53" s="233">
        <v>1</v>
      </c>
      <c r="P53" s="233">
        <v>0</v>
      </c>
      <c r="Q53" s="233">
        <v>0</v>
      </c>
      <c r="R53" s="233">
        <v>0</v>
      </c>
      <c r="S53" s="233">
        <v>0</v>
      </c>
      <c r="T53" s="233">
        <v>0</v>
      </c>
      <c r="U53" s="234">
        <v>0</v>
      </c>
      <c r="V53" s="221">
        <v>1</v>
      </c>
      <c r="W53" s="231">
        <v>1</v>
      </c>
      <c r="X53" s="227" t="s">
        <v>136</v>
      </c>
    </row>
    <row r="54" spans="1:24" customHeight="1" ht="15">
      <c r="A54" s="276"/>
      <c r="B54" s="437"/>
      <c r="C54" s="437"/>
      <c r="D54" s="438"/>
      <c r="E54" s="251"/>
      <c r="F54" s="252"/>
      <c r="G54" s="252"/>
      <c r="H54" s="252"/>
      <c r="I54" s="252"/>
      <c r="J54" s="252"/>
      <c r="K54" s="252"/>
      <c r="L54" s="253"/>
      <c r="M54" s="221">
        <f>SUM(E54:L54)</f>
        <v>0</v>
      </c>
      <c r="N54" s="232"/>
      <c r="O54" s="233"/>
      <c r="P54" s="233"/>
      <c r="Q54" s="233"/>
      <c r="R54" s="233"/>
      <c r="S54" s="233"/>
      <c r="T54" s="233"/>
      <c r="U54" s="234"/>
      <c r="V54" s="221">
        <f>SUM(N54:U54)</f>
        <v>0</v>
      </c>
      <c r="W54" s="231">
        <f>SUM(V54,M54)</f>
        <v>0</v>
      </c>
      <c r="X54" s="227" t="b">
        <f>IF(V54&gt;0,V54/W54,)</f>
        <v>0</v>
      </c>
    </row>
    <row r="55" spans="1:24" customHeight="1" ht="15">
      <c r="A55" s="236" t="s">
        <v>162</v>
      </c>
      <c r="B55" s="237"/>
      <c r="C55" s="237"/>
      <c r="D55" s="237"/>
      <c r="E55" s="238">
        <f>SUM(E53:E54)</f>
        <v>0</v>
      </c>
      <c r="F55" s="238">
        <f>SUM(F53:F54)</f>
        <v>0</v>
      </c>
      <c r="G55" s="238">
        <f>SUM(G53:G54)</f>
        <v>0</v>
      </c>
      <c r="H55" s="238">
        <f>SUM(H53:H54)</f>
        <v>0</v>
      </c>
      <c r="I55" s="238">
        <f>SUM(I53:I54)</f>
        <v>0</v>
      </c>
      <c r="J55" s="238">
        <f>SUM(J53:J54)</f>
        <v>0</v>
      </c>
      <c r="K55" s="238"/>
      <c r="L55" s="238">
        <f>SUM(L53:L54)</f>
        <v>0</v>
      </c>
      <c r="M55" s="240">
        <f>SUM(E55:L55)</f>
        <v>0</v>
      </c>
      <c r="N55" s="314">
        <f>SUM(N53:N54)</f>
        <v>0</v>
      </c>
      <c r="O55" s="314">
        <f>SUM(O53:O54)</f>
        <v>1</v>
      </c>
      <c r="P55" s="314">
        <f>SUM(P53:P54)</f>
        <v>0</v>
      </c>
      <c r="Q55" s="314">
        <f>SUM(Q53:Q54)</f>
        <v>0</v>
      </c>
      <c r="R55" s="314">
        <f>SUM(R53:R54)</f>
        <v>0</v>
      </c>
      <c r="S55" s="314">
        <f>SUM(S53:S54)</f>
        <v>0</v>
      </c>
      <c r="T55" s="314"/>
      <c r="U55" s="314">
        <f>SUM(U53:U54)</f>
        <v>0</v>
      </c>
      <c r="V55" s="240">
        <f>SUM(N55:U55)</f>
        <v>1</v>
      </c>
      <c r="W55" s="243">
        <f>SUM(V55,M55)</f>
        <v>1</v>
      </c>
      <c r="X55" s="244">
        <f>IF(V55&gt;0,V55/W55,)</f>
        <v>1</v>
      </c>
    </row>
    <row r="56" spans="1:24" customHeight="1" ht="18">
      <c r="A56" s="407" t="s">
        <v>179</v>
      </c>
      <c r="B56" s="408"/>
      <c r="C56" s="408"/>
      <c r="D56" s="408"/>
      <c r="E56" s="408"/>
      <c r="F56" s="408"/>
      <c r="G56" s="408"/>
      <c r="H56" s="408"/>
      <c r="I56" s="408"/>
      <c r="J56" s="408"/>
      <c r="K56" s="408"/>
      <c r="L56" s="408"/>
      <c r="M56" s="408"/>
      <c r="N56" s="408"/>
      <c r="O56" s="408"/>
      <c r="P56" s="408"/>
      <c r="Q56" s="408"/>
      <c r="R56" s="408"/>
      <c r="S56" s="408"/>
      <c r="T56" s="408"/>
      <c r="U56" s="408"/>
      <c r="V56" s="408"/>
      <c r="W56" s="408"/>
      <c r="X56" s="409"/>
    </row>
    <row r="57" spans="1:24">
      <c r="A57" s="276"/>
      <c r="B57" s="437"/>
      <c r="C57" s="437"/>
      <c r="D57" s="438"/>
      <c r="E57" s="251"/>
      <c r="F57" s="252"/>
      <c r="G57" s="252"/>
      <c r="H57" s="252"/>
      <c r="I57" s="252"/>
      <c r="J57" s="252"/>
      <c r="K57" s="252"/>
      <c r="L57" s="253"/>
      <c r="M57" s="221">
        <f>SUM(E57:L57)</f>
        <v>0</v>
      </c>
      <c r="N57" s="232"/>
      <c r="O57" s="233"/>
      <c r="P57" s="233"/>
      <c r="Q57" s="233"/>
      <c r="R57" s="233"/>
      <c r="S57" s="233"/>
      <c r="T57" s="233"/>
      <c r="U57" s="234"/>
      <c r="V57" s="221">
        <f>SUM(N57:U57)</f>
        <v>0</v>
      </c>
      <c r="W57" s="231">
        <f>SUM(V57,M57)</f>
        <v>0</v>
      </c>
      <c r="X57" s="227" t="b">
        <f>IF(V57&gt;0,V57/W57,)</f>
        <v>0</v>
      </c>
    </row>
    <row r="58" spans="1:24" customHeight="1" ht="15">
      <c r="A58" s="276"/>
      <c r="B58" s="437"/>
      <c r="C58" s="437"/>
      <c r="D58" s="438"/>
      <c r="E58" s="251"/>
      <c r="F58" s="252"/>
      <c r="G58" s="252"/>
      <c r="H58" s="252"/>
      <c r="I58" s="252"/>
      <c r="J58" s="252"/>
      <c r="K58" s="252"/>
      <c r="L58" s="253"/>
      <c r="M58" s="221">
        <f>SUM(E58:L58)</f>
        <v>0</v>
      </c>
      <c r="N58" s="232"/>
      <c r="O58" s="233"/>
      <c r="P58" s="233"/>
      <c r="Q58" s="233"/>
      <c r="R58" s="233"/>
      <c r="S58" s="233"/>
      <c r="T58" s="233"/>
      <c r="U58" s="234"/>
      <c r="V58" s="221">
        <f>SUM(N58:U58)</f>
        <v>0</v>
      </c>
      <c r="W58" s="231">
        <f>SUM(V58,M58)</f>
        <v>0</v>
      </c>
      <c r="X58" s="227" t="b">
        <f>IF(V58&gt;0,V58/W58,)</f>
        <v>0</v>
      </c>
    </row>
    <row r="59" spans="1:24" customHeight="1" ht="15">
      <c r="A59" s="236" t="s">
        <v>162</v>
      </c>
      <c r="B59" s="237"/>
      <c r="C59" s="237"/>
      <c r="D59" s="237"/>
      <c r="E59" s="238">
        <f>SUM(E57:E58)</f>
        <v>0</v>
      </c>
      <c r="F59" s="238">
        <f>SUM(F57:F58)</f>
        <v>0</v>
      </c>
      <c r="G59" s="238">
        <f>SUM(G57:G58)</f>
        <v>0</v>
      </c>
      <c r="H59" s="238">
        <f>SUM(H57:H58)</f>
        <v>0</v>
      </c>
      <c r="I59" s="238">
        <f>SUM(I57:I58)</f>
        <v>0</v>
      </c>
      <c r="J59" s="238">
        <f>SUM(J57:J58)</f>
        <v>0</v>
      </c>
      <c r="K59" s="238"/>
      <c r="L59" s="238">
        <f>SUM(L57:L58)</f>
        <v>0</v>
      </c>
      <c r="M59" s="240">
        <f>SUM(E59:L59)</f>
        <v>0</v>
      </c>
      <c r="N59" s="314">
        <f>SUM(N57:N58)</f>
        <v>0</v>
      </c>
      <c r="O59" s="314">
        <f>SUM(O57:O58)</f>
        <v>0</v>
      </c>
      <c r="P59" s="314">
        <f>SUM(P57:P58)</f>
        <v>0</v>
      </c>
      <c r="Q59" s="314">
        <f>SUM(Q57:Q58)</f>
        <v>0</v>
      </c>
      <c r="R59" s="314">
        <f>SUM(R57:R58)</f>
        <v>0</v>
      </c>
      <c r="S59" s="314">
        <f>SUM(S57:S58)</f>
        <v>0</v>
      </c>
      <c r="T59" s="314"/>
      <c r="U59" s="314">
        <f>SUM(U57:U58)</f>
        <v>0</v>
      </c>
      <c r="V59" s="240">
        <f>SUM(N59:U59)</f>
        <v>0</v>
      </c>
      <c r="W59" s="243">
        <f>SUM(V59,M59)</f>
        <v>0</v>
      </c>
      <c r="X59" s="244" t="b">
        <f>IF(V59&gt;0,V59/W59,)</f>
        <v>0</v>
      </c>
    </row>
    <row r="60" spans="1:24" customHeight="1" ht="18">
      <c r="A60" s="407" t="s">
        <v>180</v>
      </c>
      <c r="B60" s="408"/>
      <c r="C60" s="408"/>
      <c r="D60" s="408"/>
      <c r="E60" s="408"/>
      <c r="F60" s="408"/>
      <c r="G60" s="408"/>
      <c r="H60" s="408"/>
      <c r="I60" s="408"/>
      <c r="J60" s="408"/>
      <c r="K60" s="408"/>
      <c r="L60" s="408"/>
      <c r="M60" s="408"/>
      <c r="N60" s="408"/>
      <c r="O60" s="408"/>
      <c r="P60" s="408"/>
      <c r="Q60" s="408"/>
      <c r="R60" s="408"/>
      <c r="S60" s="408"/>
      <c r="T60" s="408"/>
      <c r="U60" s="408"/>
      <c r="V60" s="408"/>
      <c r="W60" s="408"/>
      <c r="X60" s="409"/>
    </row>
    <row r="61" spans="1:24">
      <c r="A61" s="271" t="s">
        <v>75</v>
      </c>
      <c r="B61" s="405" t="s">
        <v>76</v>
      </c>
      <c r="C61" s="405"/>
      <c r="D61" s="406"/>
      <c r="E61" s="251">
        <v>0</v>
      </c>
      <c r="F61" s="252">
        <v>0</v>
      </c>
      <c r="G61" s="252">
        <v>0</v>
      </c>
      <c r="H61" s="252">
        <v>2</v>
      </c>
      <c r="I61" s="252">
        <v>1</v>
      </c>
      <c r="J61" s="252">
        <v>0</v>
      </c>
      <c r="K61" s="252">
        <v>0</v>
      </c>
      <c r="L61" s="253">
        <v>6</v>
      </c>
      <c r="M61" s="221">
        <v>9</v>
      </c>
      <c r="N61" s="232">
        <v>0</v>
      </c>
      <c r="O61" s="233">
        <v>0</v>
      </c>
      <c r="P61" s="233">
        <v>1</v>
      </c>
      <c r="Q61" s="233">
        <v>0</v>
      </c>
      <c r="R61" s="233">
        <v>0</v>
      </c>
      <c r="S61" s="233">
        <v>0</v>
      </c>
      <c r="T61" s="233">
        <v>1</v>
      </c>
      <c r="U61" s="234">
        <v>1</v>
      </c>
      <c r="V61" s="221">
        <v>3</v>
      </c>
      <c r="W61" s="231">
        <v>12</v>
      </c>
      <c r="X61" s="227" t="s">
        <v>168</v>
      </c>
    </row>
    <row r="62" spans="1:24" customHeight="1" ht="15">
      <c r="A62" s="271"/>
      <c r="B62" s="405"/>
      <c r="C62" s="405"/>
      <c r="D62" s="406"/>
      <c r="E62" s="251"/>
      <c r="F62" s="252"/>
      <c r="G62" s="252"/>
      <c r="H62" s="252"/>
      <c r="I62" s="252"/>
      <c r="J62" s="252"/>
      <c r="K62" s="252"/>
      <c r="L62" s="253"/>
      <c r="M62" s="221">
        <f>SUM(E62:L62)</f>
        <v>0</v>
      </c>
      <c r="N62" s="232"/>
      <c r="O62" s="233"/>
      <c r="P62" s="233"/>
      <c r="Q62" s="233"/>
      <c r="R62" s="233"/>
      <c r="S62" s="233"/>
      <c r="T62" s="233"/>
      <c r="U62" s="234"/>
      <c r="V62" s="221">
        <f>SUM(N62:U62)</f>
        <v>0</v>
      </c>
      <c r="W62" s="231">
        <f>SUM(V62,M62)</f>
        <v>0</v>
      </c>
      <c r="X62" s="227" t="b">
        <f>IF(V62&gt;0,V62/W62,)</f>
        <v>0</v>
      </c>
    </row>
    <row r="63" spans="1:24" customHeight="1" ht="15">
      <c r="A63" s="236" t="s">
        <v>162</v>
      </c>
      <c r="B63" s="237"/>
      <c r="C63" s="237"/>
      <c r="D63" s="237"/>
      <c r="E63" s="238">
        <f>SUM(E61:E62)</f>
        <v>0</v>
      </c>
      <c r="F63" s="238">
        <f>SUM(F61:F62)</f>
        <v>0</v>
      </c>
      <c r="G63" s="238">
        <f>SUM(G61:G62)</f>
        <v>0</v>
      </c>
      <c r="H63" s="238">
        <f>SUM(H61:H62)</f>
        <v>2</v>
      </c>
      <c r="I63" s="238">
        <f>SUM(I61:I62)</f>
        <v>1</v>
      </c>
      <c r="J63" s="238">
        <f>SUM(J61:J62)</f>
        <v>0</v>
      </c>
      <c r="K63" s="238"/>
      <c r="L63" s="238">
        <f>SUM(L61:L62)</f>
        <v>6</v>
      </c>
      <c r="M63" s="240">
        <f>SUM(E63:L63)</f>
        <v>9</v>
      </c>
      <c r="N63" s="238">
        <f>SUM(N61:N62)</f>
        <v>0</v>
      </c>
      <c r="O63" s="238">
        <f>SUM(O61:O62)</f>
        <v>0</v>
      </c>
      <c r="P63" s="238">
        <f>SUM(P61:P62)</f>
        <v>1</v>
      </c>
      <c r="Q63" s="238">
        <f>SUM(Q61:Q62)</f>
        <v>0</v>
      </c>
      <c r="R63" s="238">
        <f>SUM(R61:R62)</f>
        <v>0</v>
      </c>
      <c r="S63" s="238">
        <f>SUM(S61:S62)</f>
        <v>0</v>
      </c>
      <c r="T63" s="238"/>
      <c r="U63" s="238">
        <f>SUM(U61:U62)</f>
        <v>1</v>
      </c>
      <c r="V63" s="240">
        <f>SUM(N63:U63)</f>
        <v>2</v>
      </c>
      <c r="W63" s="243">
        <f>SUM(V63,M63)</f>
        <v>11</v>
      </c>
      <c r="X63" s="244">
        <f>IF(V63&gt;0,V63/W63,)</f>
        <v>0.18181818181818</v>
      </c>
    </row>
    <row r="64" spans="1:24" customHeight="1" ht="18">
      <c r="A64" s="407" t="s">
        <v>181</v>
      </c>
      <c r="B64" s="408"/>
      <c r="C64" s="408"/>
      <c r="D64" s="408"/>
      <c r="E64" s="408"/>
      <c r="F64" s="408"/>
      <c r="G64" s="408"/>
      <c r="H64" s="408"/>
      <c r="I64" s="408"/>
      <c r="J64" s="408"/>
      <c r="K64" s="408"/>
      <c r="L64" s="408"/>
      <c r="M64" s="408"/>
      <c r="N64" s="408"/>
      <c r="O64" s="408"/>
      <c r="P64" s="408"/>
      <c r="Q64" s="408"/>
      <c r="R64" s="408"/>
      <c r="S64" s="408"/>
      <c r="T64" s="408"/>
      <c r="U64" s="408"/>
      <c r="V64" s="408"/>
      <c r="W64" s="408"/>
      <c r="X64" s="409"/>
    </row>
    <row r="65" spans="1:24">
      <c r="A65" s="264" t="s">
        <v>87</v>
      </c>
      <c r="B65" s="437" t="s">
        <v>88</v>
      </c>
      <c r="C65" s="437"/>
      <c r="D65" s="438"/>
      <c r="E65" s="251">
        <v>0</v>
      </c>
      <c r="F65" s="252">
        <v>0</v>
      </c>
      <c r="G65" s="252">
        <v>0</v>
      </c>
      <c r="H65" s="252">
        <v>0</v>
      </c>
      <c r="I65" s="252">
        <v>0</v>
      </c>
      <c r="J65" s="252">
        <v>1</v>
      </c>
      <c r="K65" s="252">
        <v>0</v>
      </c>
      <c r="L65" s="253">
        <v>3</v>
      </c>
      <c r="M65" s="248">
        <v>4</v>
      </c>
      <c r="N65" s="232">
        <v>0</v>
      </c>
      <c r="O65" s="233">
        <v>0</v>
      </c>
      <c r="P65" s="233">
        <v>0</v>
      </c>
      <c r="Q65" s="233">
        <v>0</v>
      </c>
      <c r="R65" s="233">
        <v>0</v>
      </c>
      <c r="S65" s="233">
        <v>0</v>
      </c>
      <c r="T65" s="233">
        <v>0</v>
      </c>
      <c r="U65" s="234">
        <v>0</v>
      </c>
      <c r="V65" s="248">
        <v>0</v>
      </c>
      <c r="W65" s="231">
        <v>4</v>
      </c>
      <c r="X65" s="227" t="s">
        <v>137</v>
      </c>
    </row>
    <row r="66" spans="1:24" customHeight="1" ht="15">
      <c r="A66" s="264"/>
      <c r="B66" s="437"/>
      <c r="C66" s="437"/>
      <c r="D66" s="438"/>
      <c r="E66" s="251"/>
      <c r="F66" s="252"/>
      <c r="G66" s="252"/>
      <c r="H66" s="252"/>
      <c r="I66" s="252"/>
      <c r="J66" s="252"/>
      <c r="K66" s="252"/>
      <c r="L66" s="253"/>
      <c r="M66" s="221">
        <f>SUM(E66:L66)</f>
        <v>0</v>
      </c>
      <c r="N66" s="232"/>
      <c r="O66" s="233"/>
      <c r="P66" s="233"/>
      <c r="Q66" s="233"/>
      <c r="R66" s="233"/>
      <c r="S66" s="233"/>
      <c r="T66" s="233"/>
      <c r="U66" s="234"/>
      <c r="V66" s="221">
        <f>SUM(N66:U66)</f>
        <v>0</v>
      </c>
      <c r="W66" s="231">
        <f>SUM(V66,M66)</f>
        <v>0</v>
      </c>
      <c r="X66" s="227" t="b">
        <f>IF(V66&gt;0,V66/W66,)</f>
        <v>0</v>
      </c>
    </row>
    <row r="67" spans="1:24" customHeight="1" ht="15">
      <c r="A67" s="236" t="s">
        <v>162</v>
      </c>
      <c r="B67" s="237"/>
      <c r="C67" s="237"/>
      <c r="D67" s="237"/>
      <c r="E67" s="238">
        <f>SUM(E65:E66)</f>
        <v>0</v>
      </c>
      <c r="F67" s="238">
        <f>SUM(F65:F66)</f>
        <v>0</v>
      </c>
      <c r="G67" s="238">
        <f>SUM(G65:G66)</f>
        <v>0</v>
      </c>
      <c r="H67" s="238">
        <f>SUM(H65:H66)</f>
        <v>0</v>
      </c>
      <c r="I67" s="238">
        <f>SUM(I65:I66)</f>
        <v>0</v>
      </c>
      <c r="J67" s="238">
        <f>SUM(J65:J66)</f>
        <v>1</v>
      </c>
      <c r="K67" s="238"/>
      <c r="L67" s="238">
        <f>SUM(L65:L66)</f>
        <v>3</v>
      </c>
      <c r="M67" s="240">
        <f>SUM(E67:L67)</f>
        <v>4</v>
      </c>
      <c r="N67" s="238">
        <f>SUM(N65:N66)</f>
        <v>0</v>
      </c>
      <c r="O67" s="238">
        <f>SUM(O65:O66)</f>
        <v>0</v>
      </c>
      <c r="P67" s="238">
        <f>SUM(P65:P66)</f>
        <v>0</v>
      </c>
      <c r="Q67" s="238">
        <f>SUM(Q65:Q66)</f>
        <v>0</v>
      </c>
      <c r="R67" s="238">
        <f>SUM(R65:R66)</f>
        <v>0</v>
      </c>
      <c r="S67" s="238">
        <f>SUM(S65:S66)</f>
        <v>0</v>
      </c>
      <c r="T67" s="238"/>
      <c r="U67" s="238">
        <f>SUM(U65:U66)</f>
        <v>0</v>
      </c>
      <c r="V67" s="240">
        <f>SUM(N67:U67)</f>
        <v>0</v>
      </c>
      <c r="W67" s="243">
        <f>SUM(V67,M67)</f>
        <v>4</v>
      </c>
      <c r="X67" s="244" t="b">
        <f>IF(V67&gt;0,V67/W67,)</f>
        <v>0</v>
      </c>
    </row>
    <row r="68" spans="1:24" customHeight="1" ht="18">
      <c r="A68" s="407" t="s">
        <v>182</v>
      </c>
      <c r="B68" s="408"/>
      <c r="C68" s="408"/>
      <c r="D68" s="408"/>
      <c r="E68" s="408"/>
      <c r="F68" s="408"/>
      <c r="G68" s="408"/>
      <c r="H68" s="408"/>
      <c r="I68" s="408"/>
      <c r="J68" s="408"/>
      <c r="K68" s="408"/>
      <c r="L68" s="408"/>
      <c r="M68" s="408"/>
      <c r="N68" s="408"/>
      <c r="O68" s="408"/>
      <c r="P68" s="408"/>
      <c r="Q68" s="408"/>
      <c r="R68" s="408"/>
      <c r="S68" s="408"/>
      <c r="T68" s="408"/>
      <c r="U68" s="408"/>
      <c r="V68" s="408"/>
      <c r="W68" s="408"/>
      <c r="X68" s="409"/>
    </row>
    <row r="69" spans="1:24">
      <c r="A69" s="250"/>
      <c r="B69" s="405"/>
      <c r="C69" s="405"/>
      <c r="D69" s="406"/>
      <c r="E69" s="251"/>
      <c r="F69" s="252"/>
      <c r="G69" s="252"/>
      <c r="H69" s="252"/>
      <c r="I69" s="252"/>
      <c r="J69" s="252"/>
      <c r="K69" s="252"/>
      <c r="L69" s="253"/>
      <c r="M69" s="248">
        <f>SUM(E69:L69)</f>
        <v>0</v>
      </c>
      <c r="N69" s="228"/>
      <c r="O69" s="229"/>
      <c r="P69" s="229"/>
      <c r="Q69" s="229"/>
      <c r="R69" s="229"/>
      <c r="S69" s="229"/>
      <c r="T69" s="229"/>
      <c r="U69" s="230"/>
      <c r="V69" s="248">
        <f>SUM(N69:U69)</f>
        <v>0</v>
      </c>
      <c r="W69" s="257">
        <f>SUM(V69,M69)</f>
        <v>0</v>
      </c>
      <c r="X69" s="258" t="b">
        <f>IF(V69&gt;0,V69/W69,)</f>
        <v>0</v>
      </c>
    </row>
    <row r="70" spans="1:24" customHeight="1" ht="15">
      <c r="A70" s="250"/>
      <c r="B70" s="405"/>
      <c r="C70" s="405"/>
      <c r="D70" s="406"/>
      <c r="E70" s="251"/>
      <c r="F70" s="252"/>
      <c r="G70" s="252"/>
      <c r="H70" s="252"/>
      <c r="I70" s="252"/>
      <c r="J70" s="252"/>
      <c r="K70" s="252"/>
      <c r="L70" s="253"/>
      <c r="M70" s="248">
        <f>SUM(E70:L70)</f>
        <v>0</v>
      </c>
      <c r="N70" s="228"/>
      <c r="O70" s="229"/>
      <c r="P70" s="229"/>
      <c r="Q70" s="229"/>
      <c r="R70" s="229"/>
      <c r="S70" s="229"/>
      <c r="T70" s="229"/>
      <c r="U70" s="230"/>
      <c r="V70" s="278">
        <f>SUM(N70:U70)</f>
        <v>0</v>
      </c>
      <c r="W70" s="257">
        <f>SUM(V70,M70)</f>
        <v>0</v>
      </c>
      <c r="X70" s="258" t="b">
        <f>IF(V70&gt;0,V70/W70,)</f>
        <v>0</v>
      </c>
    </row>
    <row r="71" spans="1:24" customHeight="1" ht="15">
      <c r="A71" s="236" t="s">
        <v>162</v>
      </c>
      <c r="B71" s="237"/>
      <c r="C71" s="237"/>
      <c r="D71" s="237"/>
      <c r="E71" s="238">
        <f>SUM(E69:E70)</f>
        <v>0</v>
      </c>
      <c r="F71" s="238">
        <f>SUM(F69:F70)</f>
        <v>0</v>
      </c>
      <c r="G71" s="238">
        <f>SUM(G69:G70)</f>
        <v>0</v>
      </c>
      <c r="H71" s="238">
        <f>SUM(H69:H70)</f>
        <v>0</v>
      </c>
      <c r="I71" s="238">
        <f>SUM(I69:I70)</f>
        <v>0</v>
      </c>
      <c r="J71" s="238">
        <f>SUM(J69:J70)</f>
        <v>0</v>
      </c>
      <c r="K71" s="238"/>
      <c r="L71" s="238">
        <f>SUM(L69:L70)</f>
        <v>0</v>
      </c>
      <c r="M71" s="240">
        <f>SUM(E71:L71)</f>
        <v>0</v>
      </c>
      <c r="N71" s="238">
        <f>SUM(N69:N70)</f>
        <v>0</v>
      </c>
      <c r="O71" s="238">
        <f>SUM(O69:O70)</f>
        <v>0</v>
      </c>
      <c r="P71" s="238">
        <f>SUM(P69:P70)</f>
        <v>0</v>
      </c>
      <c r="Q71" s="238">
        <f>SUM(Q69:Q70)</f>
        <v>0</v>
      </c>
      <c r="R71" s="238">
        <f>SUM(R69:R70)</f>
        <v>0</v>
      </c>
      <c r="S71" s="238">
        <f>SUM(S69:S70)</f>
        <v>0</v>
      </c>
      <c r="T71" s="238"/>
      <c r="U71" s="238">
        <f>SUM(U69:U70)</f>
        <v>0</v>
      </c>
      <c r="V71" s="240">
        <f>SUM(N71:U71)</f>
        <v>0</v>
      </c>
      <c r="W71" s="243">
        <f>SUM(V71,M71)</f>
        <v>0</v>
      </c>
      <c r="X71" s="244" t="b">
        <f>IF(V71&gt;0,V71/W71,)</f>
        <v>0</v>
      </c>
    </row>
    <row r="72" spans="1:24" customHeight="1" ht="18">
      <c r="A72" s="407" t="s">
        <v>183</v>
      </c>
      <c r="B72" s="408"/>
      <c r="C72" s="408"/>
      <c r="D72" s="408"/>
      <c r="E72" s="408"/>
      <c r="F72" s="408"/>
      <c r="G72" s="408"/>
      <c r="H72" s="408"/>
      <c r="I72" s="408"/>
      <c r="J72" s="408"/>
      <c r="K72" s="408"/>
      <c r="L72" s="408"/>
      <c r="M72" s="408"/>
      <c r="N72" s="408"/>
      <c r="O72" s="408"/>
      <c r="P72" s="408"/>
      <c r="Q72" s="408"/>
      <c r="R72" s="408"/>
      <c r="S72" s="408"/>
      <c r="T72" s="408"/>
      <c r="U72" s="408"/>
      <c r="V72" s="408"/>
      <c r="W72" s="408"/>
      <c r="X72" s="409"/>
    </row>
    <row r="73" spans="1:24">
      <c r="A73" s="95"/>
      <c r="B73" s="405"/>
      <c r="C73" s="405"/>
      <c r="D73" s="406"/>
      <c r="E73" s="251"/>
      <c r="F73" s="252"/>
      <c r="G73" s="252"/>
      <c r="H73" s="252"/>
      <c r="I73" s="252"/>
      <c r="J73" s="252"/>
      <c r="K73" s="252"/>
      <c r="L73" s="253"/>
      <c r="M73" s="221">
        <f>SUM(E73:L73)</f>
        <v>0</v>
      </c>
      <c r="N73" s="228"/>
      <c r="O73" s="229"/>
      <c r="P73" s="229"/>
      <c r="Q73" s="229"/>
      <c r="R73" s="229"/>
      <c r="S73" s="229"/>
      <c r="T73" s="229"/>
      <c r="U73" s="230"/>
      <c r="V73" s="221">
        <f>SUM(N73:U73)</f>
        <v>0</v>
      </c>
      <c r="W73" s="231">
        <f>SUM(V73,M73)</f>
        <v>0</v>
      </c>
      <c r="X73" s="227" t="b">
        <f>IF(V73&gt;0,V73/W73,)</f>
        <v>0</v>
      </c>
    </row>
    <row r="74" spans="1:24">
      <c r="A74" s="264"/>
      <c r="B74" s="432"/>
      <c r="C74" s="432"/>
      <c r="D74" s="433"/>
      <c r="E74" s="279"/>
      <c r="F74" s="275"/>
      <c r="G74" s="275"/>
      <c r="H74" s="275"/>
      <c r="I74" s="275"/>
      <c r="J74" s="275"/>
      <c r="K74" s="275"/>
      <c r="L74" s="277"/>
      <c r="M74" s="221">
        <f>SUM(E74:L74)</f>
        <v>0</v>
      </c>
      <c r="N74" s="232"/>
      <c r="O74" s="233"/>
      <c r="P74" s="233"/>
      <c r="Q74" s="233"/>
      <c r="R74" s="233"/>
      <c r="S74" s="233"/>
      <c r="T74" s="233"/>
      <c r="U74" s="234"/>
      <c r="V74" s="221">
        <f>SUM(N74:U74)</f>
        <v>0</v>
      </c>
      <c r="W74" s="231">
        <f>SUM(V74,M74)</f>
        <v>0</v>
      </c>
      <c r="X74" s="227" t="b">
        <f>IF(V74&gt;0,V74/W74,)</f>
        <v>0</v>
      </c>
    </row>
    <row r="75" spans="1:24" customHeight="1" ht="15">
      <c r="A75" s="434" t="s">
        <v>162</v>
      </c>
      <c r="B75" s="435"/>
      <c r="C75" s="435"/>
      <c r="D75" s="436"/>
      <c r="E75" s="238">
        <f>SUM(E73:E74)</f>
        <v>0</v>
      </c>
      <c r="F75" s="238">
        <f>SUM(F73:F74)</f>
        <v>0</v>
      </c>
      <c r="G75" s="238">
        <f>SUM(G73:G74)</f>
        <v>0</v>
      </c>
      <c r="H75" s="238">
        <f>SUM(H73:H74)</f>
        <v>0</v>
      </c>
      <c r="I75" s="238">
        <f>SUM(I73:I74)</f>
        <v>0</v>
      </c>
      <c r="J75" s="238">
        <f>SUM(J73:J74)</f>
        <v>0</v>
      </c>
      <c r="K75" s="238"/>
      <c r="L75" s="238">
        <f>SUM(L73:L74)</f>
        <v>0</v>
      </c>
      <c r="M75" s="240">
        <f>SUM(E75:L75)</f>
        <v>0</v>
      </c>
      <c r="N75" s="238">
        <f>SUM(N73:N74)</f>
        <v>0</v>
      </c>
      <c r="O75" s="238">
        <f>SUM(O73:O74)</f>
        <v>0</v>
      </c>
      <c r="P75" s="238">
        <f>SUM(P73:P74)</f>
        <v>0</v>
      </c>
      <c r="Q75" s="238">
        <f>SUM(Q73:Q74)</f>
        <v>0</v>
      </c>
      <c r="R75" s="238">
        <f>SUM(R73:R74)</f>
        <v>0</v>
      </c>
      <c r="S75" s="238">
        <f>SUM(S73:S74)</f>
        <v>0</v>
      </c>
      <c r="T75" s="238"/>
      <c r="U75" s="238">
        <f>SUM(U73:U74)</f>
        <v>0</v>
      </c>
      <c r="V75" s="240">
        <f>SUM(N75:U75)</f>
        <v>0</v>
      </c>
      <c r="W75" s="243">
        <f>SUM(V75,M75)</f>
        <v>0</v>
      </c>
      <c r="X75" s="244" t="b">
        <f>IF(V75&gt;0,V75/W75,)</f>
        <v>0</v>
      </c>
    </row>
    <row r="76" spans="1:24" customHeight="1" ht="18.5">
      <c r="A76" s="280" t="s">
        <v>184</v>
      </c>
      <c r="B76" s="281"/>
      <c r="C76" s="281"/>
      <c r="D76" s="282"/>
      <c r="E76" s="283">
        <f>SUM(E75,E71,E67,E63,E59,E55,E47,E51,E39,E43,E35,E31,E26,E22,E18)</f>
        <v>1</v>
      </c>
      <c r="F76" s="283">
        <f>SUM(F18,F22,F26,F31,F35,F39,F43,F47,F51,F55,F59,F63,F67,F71,F75)</f>
        <v>1</v>
      </c>
      <c r="G76" s="283">
        <f>SUM(G18,G22,G26,G31,G35,G39,G43,G47,G51,G55,G59,G63,G67,G71,G75)</f>
        <v>1</v>
      </c>
      <c r="H76" s="283">
        <f>SUM(H18,H22,H26,H31,H35,H39,H43,H47,H51,H55,H59,H63,H67,H71,H75)</f>
        <v>5</v>
      </c>
      <c r="I76" s="283">
        <f>SUM(I18,I22,I26,I31,I35,I39,I43,I47,I51,I55,I59,I63,I67,I71,I75)</f>
        <v>3</v>
      </c>
      <c r="J76" s="283">
        <f>SUM(J18,J22,J26,J31,J35,J39,J43,J47,J51,J55,J59,J63,J67,J71,J75)</f>
        <v>2</v>
      </c>
      <c r="K76" s="283"/>
      <c r="L76" s="283">
        <f>SUM(L18,L22,L26,L31,L35,L39,L43,L47,L51,L55,L59,L63,L67,L71,L75)</f>
        <v>20</v>
      </c>
      <c r="M76" s="240">
        <f>SUM(M18,M22,M26,M31,M35,M39,M43,M47,M51,M55,M59,M63,M67,M71,M75)</f>
        <v>33</v>
      </c>
      <c r="N76" s="283">
        <f>SUM(N75,N71,N67,N63,N59,N55,N51,N47,N43,N39,N35,N31,N26,N22,N18)</f>
        <v>0</v>
      </c>
      <c r="O76" s="283">
        <f>SUM(O75,O71,O67,O63,O59,O55,O51,O47,O43,O39,O35,O31,O26,O22,O18)</f>
        <v>2</v>
      </c>
      <c r="P76" s="283">
        <f>SUM(P75,P71,P67,P63,P59,P55,P51,P47,P43,P39,P35,P31,P26,P22,P18)</f>
        <v>1</v>
      </c>
      <c r="Q76" s="283">
        <f>SUM(Q75,Q71,Q67,Q63,Q59,Q55,Q51,Q47,Q43,Q39,Q35,Q31,Q26,Q22,Q18)</f>
        <v>0</v>
      </c>
      <c r="R76" s="283">
        <f>SUM(R75,R71,R67,R63,R59,R55,R51,R47,R43,R39,R35,R31,R26,R22,R18)</f>
        <v>0</v>
      </c>
      <c r="S76" s="283">
        <f>SUM(S75,S71,S67,S63,S59,S55,S51,S47,S43,S39,S35,S31,S26,S22,S18)</f>
        <v>0</v>
      </c>
      <c r="T76" s="283"/>
      <c r="U76" s="283">
        <f>SUM(U75,U71,U67,U63,U59,U55,U51,U47,U43,U39,U35,U31,U26,U22,U18)</f>
        <v>2</v>
      </c>
      <c r="V76" s="240">
        <f>SUM(N76:U76)</f>
        <v>5</v>
      </c>
      <c r="W76" s="243">
        <f>SUM(V76,M76)</f>
        <v>38</v>
      </c>
      <c r="X76" s="244">
        <f>IF(V76&gt;0,V76/W76,)</f>
        <v>0.13157894736842</v>
      </c>
    </row>
    <row r="77" spans="1:24">
      <c r="A77" s="204"/>
      <c r="B77" s="204"/>
      <c r="C77" s="204"/>
      <c r="D77" s="204"/>
      <c r="E77" s="204"/>
      <c r="F77" s="204"/>
      <c r="G77" s="204"/>
      <c r="H77" s="204"/>
      <c r="I77" s="204"/>
      <c r="J77" s="204"/>
      <c r="K77" s="204"/>
      <c r="L77" s="204"/>
      <c r="M77" s="284"/>
      <c r="N77" s="285"/>
      <c r="O77" s="285"/>
      <c r="P77" s="285"/>
      <c r="Q77" s="285"/>
      <c r="R77" s="285"/>
      <c r="S77" s="285"/>
      <c r="T77" s="285"/>
      <c r="U77" s="285"/>
      <c r="V77" s="284"/>
      <c r="W77" s="286"/>
      <c r="X77" s="287"/>
    </row>
    <row r="78" spans="1:24">
      <c r="A78" s="204"/>
      <c r="B78" s="204"/>
      <c r="C78" s="204"/>
      <c r="D78" s="204"/>
      <c r="E78" s="204"/>
      <c r="F78" s="204"/>
      <c r="G78" s="204"/>
      <c r="H78" s="204"/>
      <c r="I78" s="204"/>
      <c r="J78" s="204"/>
      <c r="K78" s="204"/>
      <c r="L78" s="204"/>
      <c r="M78" s="284"/>
      <c r="N78" s="285"/>
      <c r="O78" s="285"/>
      <c r="P78" s="285"/>
      <c r="Q78" s="285"/>
      <c r="R78" s="285"/>
      <c r="S78" s="285"/>
      <c r="T78" s="285"/>
      <c r="U78" s="285"/>
      <c r="V78" s="284"/>
      <c r="W78" s="286"/>
      <c r="X78" s="287"/>
    </row>
    <row r="79" spans="1:24">
      <c r="A79" s="204"/>
      <c r="B79" s="204"/>
      <c r="C79" s="204"/>
      <c r="D79" s="204"/>
      <c r="E79" s="204"/>
      <c r="F79" s="204"/>
      <c r="G79" s="204"/>
      <c r="H79" s="204"/>
      <c r="I79" s="204"/>
      <c r="J79" s="204"/>
      <c r="K79" s="204"/>
      <c r="L79" s="204"/>
      <c r="M79" s="284"/>
      <c r="N79" s="285"/>
      <c r="O79" s="285"/>
      <c r="P79" s="285"/>
      <c r="Q79" s="285"/>
      <c r="R79" s="285"/>
      <c r="S79" s="285"/>
      <c r="T79" s="285"/>
      <c r="U79" s="285"/>
      <c r="V79" s="284"/>
      <c r="W79" s="286"/>
      <c r="X79" s="287"/>
    </row>
    <row r="80" spans="1:24">
      <c r="A80" s="204"/>
      <c r="B80" s="204"/>
      <c r="C80" s="204"/>
      <c r="D80" s="204"/>
      <c r="E80" s="204"/>
      <c r="F80" s="204"/>
      <c r="G80" s="204"/>
      <c r="H80" s="204"/>
      <c r="I80" s="204"/>
      <c r="J80" s="204"/>
      <c r="K80" s="204"/>
      <c r="L80" s="204"/>
      <c r="M80" s="284"/>
      <c r="N80" s="285"/>
      <c r="O80" s="285"/>
      <c r="P80" s="285"/>
      <c r="Q80" s="285"/>
      <c r="R80" s="285"/>
      <c r="S80" s="285"/>
      <c r="T80" s="285"/>
      <c r="U80" s="285"/>
      <c r="V80" s="284"/>
      <c r="W80" s="286"/>
      <c r="X80" s="287"/>
    </row>
    <row r="81" spans="1:24" customHeight="1" ht="15">
      <c r="A81" s="204"/>
      <c r="B81" s="204"/>
      <c r="C81" s="204"/>
      <c r="D81" s="204"/>
      <c r="E81" s="204"/>
      <c r="F81" s="204"/>
      <c r="G81" s="204"/>
      <c r="H81" s="204"/>
      <c r="I81" s="204"/>
      <c r="J81" s="204"/>
      <c r="K81" s="204"/>
      <c r="L81" s="204"/>
      <c r="M81" s="284"/>
      <c r="N81" s="285"/>
      <c r="O81" s="285"/>
      <c r="P81" s="285"/>
      <c r="Q81" s="285"/>
      <c r="R81" s="285"/>
      <c r="S81" s="285"/>
      <c r="T81" s="285"/>
      <c r="U81" s="285"/>
      <c r="V81" s="284"/>
      <c r="W81" s="286"/>
      <c r="X81" s="287"/>
    </row>
    <row r="82" spans="1:24" customHeight="1" ht="20.5">
      <c r="A82" s="423" t="s">
        <v>185</v>
      </c>
      <c r="B82" s="424"/>
      <c r="C82" s="424"/>
      <c r="D82" s="424"/>
      <c r="E82" s="424"/>
      <c r="F82" s="424"/>
      <c r="G82" s="424"/>
      <c r="H82" s="424"/>
      <c r="I82" s="424"/>
      <c r="J82" s="424"/>
      <c r="K82" s="424"/>
      <c r="L82" s="424"/>
      <c r="M82" s="424"/>
      <c r="N82" s="424"/>
      <c r="O82" s="424"/>
      <c r="P82" s="424"/>
      <c r="Q82" s="424"/>
      <c r="R82" s="424"/>
      <c r="S82" s="424"/>
      <c r="T82" s="424"/>
      <c r="U82" s="424"/>
      <c r="V82" s="424"/>
      <c r="W82" s="424"/>
      <c r="X82" s="425"/>
    </row>
    <row r="83" spans="1:24">
      <c r="A83" s="288"/>
      <c r="B83" s="289"/>
      <c r="C83" s="289"/>
      <c r="D83" s="290"/>
      <c r="E83" s="426" t="s">
        <v>157</v>
      </c>
      <c r="F83" s="427"/>
      <c r="G83" s="427"/>
      <c r="H83" s="427"/>
      <c r="I83" s="427"/>
      <c r="J83" s="427"/>
      <c r="K83" s="427"/>
      <c r="L83" s="428"/>
      <c r="M83" s="291"/>
      <c r="N83" s="429" t="s">
        <v>157</v>
      </c>
      <c r="O83" s="430"/>
      <c r="P83" s="430"/>
      <c r="Q83" s="430"/>
      <c r="R83" s="430"/>
      <c r="S83" s="430"/>
      <c r="T83" s="430"/>
      <c r="U83" s="431"/>
      <c r="V83" s="292"/>
      <c r="W83" s="292"/>
      <c r="X83" s="292"/>
    </row>
    <row r="84" spans="1:24" customHeight="1" ht="15">
      <c r="A84" s="291"/>
      <c r="B84" s="293"/>
      <c r="C84" s="293"/>
      <c r="D84" s="294"/>
      <c r="E84" s="295">
        <v>1</v>
      </c>
      <c r="F84" s="296">
        <v>2</v>
      </c>
      <c r="G84" s="296">
        <v>3</v>
      </c>
      <c r="H84" s="296">
        <v>4</v>
      </c>
      <c r="I84" s="296">
        <v>5</v>
      </c>
      <c r="J84" s="296">
        <v>6</v>
      </c>
      <c r="K84" s="296"/>
      <c r="L84" s="296">
        <v>7</v>
      </c>
      <c r="M84" s="297"/>
      <c r="N84" s="298">
        <v>1</v>
      </c>
      <c r="O84" s="299">
        <v>2</v>
      </c>
      <c r="P84" s="299">
        <v>3</v>
      </c>
      <c r="Q84" s="299">
        <v>4</v>
      </c>
      <c r="R84" s="299">
        <v>5</v>
      </c>
      <c r="S84" s="299">
        <v>6</v>
      </c>
      <c r="T84" s="299"/>
      <c r="U84" s="299">
        <v>7</v>
      </c>
      <c r="V84" s="297"/>
      <c r="W84" s="297"/>
      <c r="X84" s="297"/>
    </row>
    <row r="85" spans="1:24" customHeight="1" ht="15">
      <c r="A85" s="464" t="s">
        <v>158</v>
      </c>
      <c r="B85" s="465"/>
      <c r="C85" s="465"/>
      <c r="D85" s="466"/>
      <c r="E85" s="467" t="s">
        <v>55</v>
      </c>
      <c r="F85" s="468"/>
      <c r="G85" s="468"/>
      <c r="H85" s="468"/>
      <c r="I85" s="468"/>
      <c r="J85" s="468"/>
      <c r="K85" s="468"/>
      <c r="L85" s="469"/>
      <c r="M85" s="211" t="s">
        <v>159</v>
      </c>
      <c r="N85" s="467" t="s">
        <v>57</v>
      </c>
      <c r="O85" s="470"/>
      <c r="P85" s="470"/>
      <c r="Q85" s="470"/>
      <c r="R85" s="470"/>
      <c r="S85" s="470"/>
      <c r="T85" s="470"/>
      <c r="U85" s="471"/>
      <c r="V85" s="211" t="s">
        <v>159</v>
      </c>
      <c r="W85" s="212" t="s">
        <v>160</v>
      </c>
      <c r="X85" s="212" t="s">
        <v>122</v>
      </c>
    </row>
    <row r="86" spans="1:24" customHeight="1" ht="18">
      <c r="A86" s="407" t="s">
        <v>161</v>
      </c>
      <c r="B86" s="408"/>
      <c r="C86" s="408"/>
      <c r="D86" s="408"/>
      <c r="E86" s="408"/>
      <c r="F86" s="408"/>
      <c r="G86" s="408"/>
      <c r="H86" s="408"/>
      <c r="I86" s="408"/>
      <c r="J86" s="408"/>
      <c r="K86" s="408"/>
      <c r="L86" s="408"/>
      <c r="M86" s="408"/>
      <c r="N86" s="408"/>
      <c r="O86" s="408"/>
      <c r="P86" s="408"/>
      <c r="Q86" s="408"/>
      <c r="R86" s="408"/>
      <c r="S86" s="408"/>
      <c r="T86" s="408"/>
      <c r="U86" s="408"/>
      <c r="V86" s="408"/>
      <c r="W86" s="408"/>
      <c r="X86" s="409"/>
    </row>
    <row r="87" spans="1:24">
      <c r="A87" s="217"/>
      <c r="B87" s="456"/>
      <c r="C87" s="456"/>
      <c r="D87" s="457"/>
      <c r="E87" s="218"/>
      <c r="F87" s="219"/>
      <c r="G87" s="219"/>
      <c r="H87" s="219"/>
      <c r="I87" s="219"/>
      <c r="J87" s="219"/>
      <c r="K87" s="219"/>
      <c r="L87" s="220"/>
      <c r="M87" s="221">
        <f>SUM(E87:L87)</f>
        <v>0</v>
      </c>
      <c r="N87" s="222"/>
      <c r="O87" s="223"/>
      <c r="P87" s="223"/>
      <c r="Q87" s="223"/>
      <c r="R87" s="223"/>
      <c r="S87" s="223"/>
      <c r="T87" s="223"/>
      <c r="U87" s="224"/>
      <c r="V87" s="225">
        <f>SUM(N87:U87)</f>
        <v>0</v>
      </c>
      <c r="W87" s="226">
        <f>SUM(V87,M87)</f>
        <v>0</v>
      </c>
      <c r="X87" s="227" t="b">
        <f>IF(V87&gt;0,V87/W87,)</f>
        <v>0</v>
      </c>
    </row>
    <row r="88" spans="1:24" customHeight="1" ht="15">
      <c r="A88" s="308"/>
      <c r="B88" s="454"/>
      <c r="C88" s="454"/>
      <c r="D88" s="455"/>
      <c r="E88" s="309"/>
      <c r="F88" s="310"/>
      <c r="G88" s="310"/>
      <c r="H88" s="310"/>
      <c r="I88" s="310"/>
      <c r="J88" s="310"/>
      <c r="K88" s="310"/>
      <c r="L88" s="311"/>
      <c r="M88" s="303">
        <f>SUM(E88:L88)</f>
        <v>0</v>
      </c>
      <c r="N88" s="254"/>
      <c r="O88" s="255"/>
      <c r="P88" s="255"/>
      <c r="Q88" s="255"/>
      <c r="R88" s="255"/>
      <c r="S88" s="255"/>
      <c r="T88" s="255"/>
      <c r="U88" s="302"/>
      <c r="V88" s="303">
        <f>SUM(N88:U88)</f>
        <v>0</v>
      </c>
      <c r="W88" s="312">
        <f>SUM(V88,M88)</f>
        <v>0</v>
      </c>
      <c r="X88" s="313" t="b">
        <f>IF(V88&gt;0,V88/W88,)</f>
        <v>0</v>
      </c>
    </row>
    <row r="89" spans="1:24" customHeight="1" ht="15">
      <c r="A89" s="236" t="s">
        <v>162</v>
      </c>
      <c r="B89" s="237"/>
      <c r="C89" s="237"/>
      <c r="D89" s="237"/>
      <c r="E89" s="238">
        <f>SUM(E87:E88)</f>
        <v>0</v>
      </c>
      <c r="F89" s="238">
        <f>SUM(F87:F88)</f>
        <v>0</v>
      </c>
      <c r="G89" s="238">
        <f>SUM(G87:G88)</f>
        <v>0</v>
      </c>
      <c r="H89" s="238">
        <f>SUM(H87:H88)</f>
        <v>0</v>
      </c>
      <c r="I89" s="238">
        <f>SUM(I87:I88)</f>
        <v>0</v>
      </c>
      <c r="J89" s="238">
        <f>SUM(J87:J88)</f>
        <v>0</v>
      </c>
      <c r="K89" s="238"/>
      <c r="L89" s="238">
        <f>SUM(L87:L88)</f>
        <v>0</v>
      </c>
      <c r="M89" s="240">
        <f>SUM(E89:L89)</f>
        <v>0</v>
      </c>
      <c r="N89" s="241">
        <f>SUM(N87:N88)</f>
        <v>0</v>
      </c>
      <c r="O89" s="241">
        <f>SUM(O87:O88)</f>
        <v>0</v>
      </c>
      <c r="P89" s="241">
        <f>SUM(P87:P88)</f>
        <v>0</v>
      </c>
      <c r="Q89" s="241">
        <f>SUM(Q87:Q88)</f>
        <v>0</v>
      </c>
      <c r="R89" s="241">
        <f>SUM(R87:R88)</f>
        <v>0</v>
      </c>
      <c r="S89" s="241">
        <f>SUM(S87:S88)</f>
        <v>0</v>
      </c>
      <c r="T89" s="241"/>
      <c r="U89" s="241">
        <f>SUM(U87:U88)</f>
        <v>0</v>
      </c>
      <c r="V89" s="240">
        <f>SUM(N89:U89)</f>
        <v>0</v>
      </c>
      <c r="W89" s="243">
        <f>SUM(V89,M89)</f>
        <v>0</v>
      </c>
      <c r="X89" s="244" t="b">
        <f>IF(V89&gt;0,V89/W89,)</f>
        <v>0</v>
      </c>
    </row>
    <row r="90" spans="1:24" customHeight="1" ht="18">
      <c r="A90" s="407" t="s">
        <v>163</v>
      </c>
      <c r="B90" s="408"/>
      <c r="C90" s="408"/>
      <c r="D90" s="408"/>
      <c r="E90" s="408"/>
      <c r="F90" s="408"/>
      <c r="G90" s="408"/>
      <c r="H90" s="408"/>
      <c r="I90" s="408"/>
      <c r="J90" s="408"/>
      <c r="K90" s="408"/>
      <c r="L90" s="408"/>
      <c r="M90" s="408"/>
      <c r="N90" s="408"/>
      <c r="O90" s="408"/>
      <c r="P90" s="408"/>
      <c r="Q90" s="408"/>
      <c r="R90" s="408"/>
      <c r="S90" s="408"/>
      <c r="T90" s="408"/>
      <c r="U90" s="408"/>
      <c r="V90" s="408"/>
      <c r="W90" s="408"/>
      <c r="X90" s="409"/>
    </row>
    <row r="91" spans="1:24">
      <c r="A91" s="217"/>
      <c r="B91" s="456"/>
      <c r="C91" s="456"/>
      <c r="D91" s="457"/>
      <c r="E91" s="219"/>
      <c r="F91" s="219"/>
      <c r="G91" s="219"/>
      <c r="H91" s="219"/>
      <c r="I91" s="219"/>
      <c r="J91" s="219"/>
      <c r="K91" s="219"/>
      <c r="L91" s="220"/>
      <c r="M91" s="221">
        <f>SUM(E91:L91)</f>
        <v>0</v>
      </c>
      <c r="N91" s="228"/>
      <c r="O91" s="229"/>
      <c r="P91" s="229"/>
      <c r="Q91" s="229"/>
      <c r="R91" s="229"/>
      <c r="S91" s="229"/>
      <c r="T91" s="229"/>
      <c r="U91" s="230"/>
      <c r="V91" s="221">
        <f>SUM(N91:U91)</f>
        <v>0</v>
      </c>
      <c r="W91" s="231">
        <f>SUM(V91,M91)</f>
        <v>0</v>
      </c>
      <c r="X91" s="227" t="b">
        <f>IF(V91&gt;0,V91/W91,)</f>
        <v>0</v>
      </c>
    </row>
    <row r="92" spans="1:24" customHeight="1" ht="15">
      <c r="A92" s="235"/>
      <c r="B92" s="458"/>
      <c r="C92" s="458"/>
      <c r="D92" s="459"/>
      <c r="E92" s="218"/>
      <c r="F92" s="219"/>
      <c r="G92" s="219"/>
      <c r="H92" s="219"/>
      <c r="I92" s="219"/>
      <c r="J92" s="219"/>
      <c r="K92" s="219"/>
      <c r="L92" s="220"/>
      <c r="M92" s="221">
        <f>SUM(E92:L92)</f>
        <v>0</v>
      </c>
      <c r="N92" s="232"/>
      <c r="O92" s="233"/>
      <c r="P92" s="233"/>
      <c r="Q92" s="233"/>
      <c r="R92" s="233"/>
      <c r="S92" s="233"/>
      <c r="T92" s="233"/>
      <c r="U92" s="234"/>
      <c r="V92" s="221">
        <f>SUM(N92:U92)</f>
        <v>0</v>
      </c>
      <c r="W92" s="231">
        <f>SUM(V92,M92)</f>
        <v>0</v>
      </c>
      <c r="X92" s="227" t="b">
        <f>IF(V92&gt;0,V92/W92,)</f>
        <v>0</v>
      </c>
    </row>
    <row r="93" spans="1:24" customHeight="1" ht="15">
      <c r="A93" s="439" t="s">
        <v>162</v>
      </c>
      <c r="B93" s="440"/>
      <c r="C93" s="440"/>
      <c r="D93" s="441"/>
      <c r="E93" s="238">
        <f>SUM(E91:E92)</f>
        <v>0</v>
      </c>
      <c r="F93" s="238">
        <f>SUM(F91:F92)</f>
        <v>0</v>
      </c>
      <c r="G93" s="238">
        <f>SUM(G91:G92)</f>
        <v>0</v>
      </c>
      <c r="H93" s="238">
        <f>SUM(H91:H92)</f>
        <v>0</v>
      </c>
      <c r="I93" s="238">
        <f>SUM(I91:I92)</f>
        <v>0</v>
      </c>
      <c r="J93" s="238">
        <f>SUM(J91:J92)</f>
        <v>0</v>
      </c>
      <c r="K93" s="238"/>
      <c r="L93" s="238">
        <f>SUM(L91:L92)</f>
        <v>0</v>
      </c>
      <c r="M93" s="240">
        <f>SUM(E93:L93)</f>
        <v>0</v>
      </c>
      <c r="N93" s="249">
        <f>SUM(N91:N92)</f>
        <v>0</v>
      </c>
      <c r="O93" s="249">
        <f>SUM(O91:O92)</f>
        <v>0</v>
      </c>
      <c r="P93" s="249">
        <f>SUM(P91:P92)</f>
        <v>0</v>
      </c>
      <c r="Q93" s="249">
        <f>SUM(Q91:Q92)</f>
        <v>0</v>
      </c>
      <c r="R93" s="249">
        <f>SUM(R91:R92)</f>
        <v>0</v>
      </c>
      <c r="S93" s="249">
        <f>SUM(S91:S92)</f>
        <v>0</v>
      </c>
      <c r="T93" s="249"/>
      <c r="U93" s="249">
        <f>SUM(U91:U92)</f>
        <v>0</v>
      </c>
      <c r="V93" s="240">
        <f>SUM(N93:U93)</f>
        <v>0</v>
      </c>
      <c r="W93" s="243">
        <f>SUM(V93,M93)</f>
        <v>0</v>
      </c>
      <c r="X93" s="244" t="b">
        <f>IF(V93&gt;0,V93/W93,)</f>
        <v>0</v>
      </c>
    </row>
    <row r="94" spans="1:24" customHeight="1" ht="18">
      <c r="A94" s="407" t="s">
        <v>164</v>
      </c>
      <c r="B94" s="408"/>
      <c r="C94" s="408"/>
      <c r="D94" s="408"/>
      <c r="E94" s="408"/>
      <c r="F94" s="408"/>
      <c r="G94" s="408"/>
      <c r="H94" s="408"/>
      <c r="I94" s="408"/>
      <c r="J94" s="408"/>
      <c r="K94" s="408"/>
      <c r="L94" s="408"/>
      <c r="M94" s="408"/>
      <c r="N94" s="408"/>
      <c r="O94" s="408"/>
      <c r="P94" s="408"/>
      <c r="Q94" s="408"/>
      <c r="R94" s="408"/>
      <c r="S94" s="408"/>
      <c r="T94" s="408"/>
      <c r="U94" s="408"/>
      <c r="V94" s="408"/>
      <c r="W94" s="408"/>
      <c r="X94" s="409"/>
    </row>
    <row r="95" spans="1:24">
      <c r="A95" s="246" t="s">
        <v>186</v>
      </c>
      <c r="B95" s="460" t="s">
        <v>187</v>
      </c>
      <c r="C95" s="460"/>
      <c r="D95" s="461"/>
      <c r="E95" s="218">
        <v>1</v>
      </c>
      <c r="F95" s="219">
        <v>0</v>
      </c>
      <c r="G95" s="219">
        <v>0</v>
      </c>
      <c r="H95" s="219">
        <v>0</v>
      </c>
      <c r="I95" s="219">
        <v>0</v>
      </c>
      <c r="J95" s="219">
        <v>0</v>
      </c>
      <c r="K95" s="219">
        <v>0</v>
      </c>
      <c r="L95" s="220">
        <v>0</v>
      </c>
      <c r="M95" s="247">
        <v>1</v>
      </c>
      <c r="N95" s="228">
        <v>0</v>
      </c>
      <c r="O95" s="229">
        <v>0</v>
      </c>
      <c r="P95" s="229">
        <v>0</v>
      </c>
      <c r="Q95" s="229">
        <v>0</v>
      </c>
      <c r="R95" s="229">
        <v>0</v>
      </c>
      <c r="S95" s="229">
        <v>0</v>
      </c>
      <c r="T95" s="229">
        <v>0</v>
      </c>
      <c r="U95" s="230">
        <v>0</v>
      </c>
      <c r="V95" s="221">
        <v>0</v>
      </c>
      <c r="W95" s="231">
        <v>1</v>
      </c>
      <c r="X95" s="227" t="s">
        <v>137</v>
      </c>
    </row>
    <row r="96" spans="1:24" customHeight="1" ht="15">
      <c r="A96" s="235"/>
      <c r="B96" s="462"/>
      <c r="C96" s="462"/>
      <c r="D96" s="463"/>
      <c r="E96" s="218"/>
      <c r="F96" s="219"/>
      <c r="G96" s="219"/>
      <c r="H96" s="219"/>
      <c r="I96" s="219"/>
      <c r="J96" s="219"/>
      <c r="K96" s="219"/>
      <c r="L96" s="220"/>
      <c r="M96" s="248">
        <f>SUM(E96:L96)</f>
        <v>0</v>
      </c>
      <c r="N96" s="232"/>
      <c r="O96" s="233"/>
      <c r="P96" s="233"/>
      <c r="Q96" s="233"/>
      <c r="R96" s="233"/>
      <c r="S96" s="233"/>
      <c r="T96" s="233"/>
      <c r="U96" s="234"/>
      <c r="V96" s="221">
        <f>SUM(N96:U96)</f>
        <v>0</v>
      </c>
      <c r="W96" s="231">
        <f>SUM(V96,M96)</f>
        <v>0</v>
      </c>
      <c r="X96" s="227" t="b">
        <f>IF(V96&gt;0,V96/W96,)</f>
        <v>0</v>
      </c>
    </row>
    <row r="97" spans="1:24" customHeight="1" ht="15">
      <c r="A97" s="439" t="s">
        <v>162</v>
      </c>
      <c r="B97" s="440"/>
      <c r="C97" s="440"/>
      <c r="D97" s="441"/>
      <c r="E97" s="238">
        <f>SUM(E95:E96)</f>
        <v>1</v>
      </c>
      <c r="F97" s="238">
        <f>SUM(F95:F96)</f>
        <v>0</v>
      </c>
      <c r="G97" s="238">
        <f>SUM(G95:G96)</f>
        <v>0</v>
      </c>
      <c r="H97" s="238">
        <f>SUM(H95:H96)</f>
        <v>0</v>
      </c>
      <c r="I97" s="238">
        <f>SUM(I95:I96)</f>
        <v>0</v>
      </c>
      <c r="J97" s="238">
        <f>SUM(J95:J96)</f>
        <v>0</v>
      </c>
      <c r="K97" s="238"/>
      <c r="L97" s="238">
        <f>SUM(L95:L96)</f>
        <v>0</v>
      </c>
      <c r="M97" s="240">
        <f>SUM(E97:L97)</f>
        <v>1</v>
      </c>
      <c r="N97" s="249">
        <f>SUM(N95:N96)</f>
        <v>0</v>
      </c>
      <c r="O97" s="249">
        <f>SUM(O95:O96)</f>
        <v>0</v>
      </c>
      <c r="P97" s="249">
        <f>SUM(P95:P96)</f>
        <v>0</v>
      </c>
      <c r="Q97" s="249">
        <f>SUM(Q95:Q96)</f>
        <v>0</v>
      </c>
      <c r="R97" s="249">
        <f>SUM(R95:R96)</f>
        <v>0</v>
      </c>
      <c r="S97" s="249">
        <f>SUM(S95:S96)</f>
        <v>0</v>
      </c>
      <c r="T97" s="249"/>
      <c r="U97" s="249">
        <f>SUM(U95:U96)</f>
        <v>0</v>
      </c>
      <c r="V97" s="240">
        <f>SUM(N97:U97)</f>
        <v>0</v>
      </c>
      <c r="W97" s="243">
        <f>SUM(V97,M97)</f>
        <v>1</v>
      </c>
      <c r="X97" s="244" t="b">
        <f>IF(V97&gt;0,V97/W97,)</f>
        <v>0</v>
      </c>
    </row>
    <row r="98" spans="1:24" customHeight="1" ht="18">
      <c r="A98" s="407" t="s">
        <v>165</v>
      </c>
      <c r="B98" s="408"/>
      <c r="C98" s="408"/>
      <c r="D98" s="408"/>
      <c r="E98" s="408"/>
      <c r="F98" s="408"/>
      <c r="G98" s="408"/>
      <c r="H98" s="408"/>
      <c r="I98" s="408"/>
      <c r="J98" s="408"/>
      <c r="K98" s="408"/>
      <c r="L98" s="408"/>
      <c r="M98" s="408"/>
      <c r="N98" s="408"/>
      <c r="O98" s="408"/>
      <c r="P98" s="408"/>
      <c r="Q98" s="408"/>
      <c r="R98" s="408"/>
      <c r="S98" s="408"/>
      <c r="T98" s="408"/>
      <c r="U98" s="408"/>
      <c r="V98" s="408"/>
      <c r="W98" s="408"/>
      <c r="X98" s="409"/>
    </row>
    <row r="99" spans="1:24">
      <c r="A99" s="259"/>
      <c r="B99" s="450"/>
      <c r="C99" s="450"/>
      <c r="D99" s="451"/>
      <c r="E99" s="251"/>
      <c r="F99" s="252"/>
      <c r="G99" s="252"/>
      <c r="H99" s="252"/>
      <c r="I99" s="252"/>
      <c r="J99" s="252"/>
      <c r="K99" s="252"/>
      <c r="L99" s="253"/>
      <c r="M99" s="248">
        <f>SUM(E99:L99)</f>
        <v>0</v>
      </c>
      <c r="N99" s="254"/>
      <c r="O99" s="255"/>
      <c r="P99" s="255"/>
      <c r="Q99" s="255"/>
      <c r="R99" s="255"/>
      <c r="S99" s="255"/>
      <c r="T99" s="255"/>
      <c r="U99" s="256"/>
      <c r="V99" s="248">
        <f>SUM(N99:U99)</f>
        <v>0</v>
      </c>
      <c r="W99" s="257">
        <f>SUM(V99,M99)</f>
        <v>0</v>
      </c>
      <c r="X99" s="258" t="b">
        <f>IF(V99&gt;0,V99/W99,)</f>
        <v>0</v>
      </c>
    </row>
    <row r="100" spans="1:24" customHeight="1" ht="15">
      <c r="A100" s="262"/>
      <c r="B100" s="452"/>
      <c r="C100" s="452"/>
      <c r="D100" s="453"/>
      <c r="E100" s="251"/>
      <c r="F100" s="252"/>
      <c r="G100" s="252"/>
      <c r="H100" s="252"/>
      <c r="I100" s="252"/>
      <c r="J100" s="252"/>
      <c r="K100" s="252"/>
      <c r="L100" s="253"/>
      <c r="M100" s="248">
        <f>SUM(E100:L100)</f>
        <v>0</v>
      </c>
      <c r="N100" s="228"/>
      <c r="O100" s="229"/>
      <c r="P100" s="229"/>
      <c r="Q100" s="229"/>
      <c r="R100" s="229"/>
      <c r="S100" s="229"/>
      <c r="T100" s="229"/>
      <c r="U100" s="263"/>
      <c r="V100" s="248">
        <f>SUM(N100:U100)</f>
        <v>0</v>
      </c>
      <c r="W100" s="257">
        <f>SUM(V100,M100)</f>
        <v>0</v>
      </c>
      <c r="X100" s="258" t="b">
        <f>IF(V100&gt;0,V100/W100,)</f>
        <v>0</v>
      </c>
    </row>
    <row r="101" spans="1:24" customHeight="1" ht="15">
      <c r="A101" s="236" t="s">
        <v>162</v>
      </c>
      <c r="B101" s="237"/>
      <c r="C101" s="237"/>
      <c r="D101" s="237"/>
      <c r="E101" s="238">
        <f>SUM(E99:E100)</f>
        <v>0</v>
      </c>
      <c r="F101" s="238">
        <f>SUM(F99:F100)</f>
        <v>0</v>
      </c>
      <c r="G101" s="238">
        <f>SUM(G99:G100)</f>
        <v>0</v>
      </c>
      <c r="H101" s="238">
        <f>SUM(H99:H100)</f>
        <v>0</v>
      </c>
      <c r="I101" s="238">
        <f>SUM(I99:I100)</f>
        <v>0</v>
      </c>
      <c r="J101" s="238">
        <f>SUM(J99:J100)</f>
        <v>0</v>
      </c>
      <c r="K101" s="238"/>
      <c r="L101" s="238">
        <f>SUM(L99:L100)</f>
        <v>0</v>
      </c>
      <c r="M101" s="240">
        <f>SUM(E101:L101)</f>
        <v>0</v>
      </c>
      <c r="N101" s="249">
        <f>SUM(N99:N100)</f>
        <v>0</v>
      </c>
      <c r="O101" s="249">
        <f>SUM(O99:O100)</f>
        <v>0</v>
      </c>
      <c r="P101" s="249">
        <f>SUM(P99:P100)</f>
        <v>0</v>
      </c>
      <c r="Q101" s="249">
        <f>SUM(Q99:Q100)</f>
        <v>0</v>
      </c>
      <c r="R101" s="249">
        <f>SUM(R99:R100)</f>
        <v>0</v>
      </c>
      <c r="S101" s="249">
        <f>SUM(S99:S100)</f>
        <v>0</v>
      </c>
      <c r="T101" s="249"/>
      <c r="U101" s="249">
        <f>SUM(U99:U100)</f>
        <v>0</v>
      </c>
      <c r="V101" s="240">
        <f>SUM(N101:U101)</f>
        <v>0</v>
      </c>
      <c r="W101" s="243">
        <f>SUM(V101,M101)</f>
        <v>0</v>
      </c>
      <c r="X101" s="244" t="b">
        <f>IF(V101&gt;0,V101/W101,)</f>
        <v>0</v>
      </c>
    </row>
    <row r="102" spans="1:24" customHeight="1" ht="18">
      <c r="A102" s="407" t="s">
        <v>169</v>
      </c>
      <c r="B102" s="408"/>
      <c r="C102" s="408"/>
      <c r="D102" s="408"/>
      <c r="E102" s="408"/>
      <c r="F102" s="408"/>
      <c r="G102" s="408"/>
      <c r="H102" s="408"/>
      <c r="I102" s="408"/>
      <c r="J102" s="408"/>
      <c r="K102" s="408"/>
      <c r="L102" s="408"/>
      <c r="M102" s="408"/>
      <c r="N102" s="408"/>
      <c r="O102" s="408"/>
      <c r="P102" s="408"/>
      <c r="Q102" s="408"/>
      <c r="R102" s="408"/>
      <c r="S102" s="408"/>
      <c r="T102" s="408"/>
      <c r="U102" s="408"/>
      <c r="V102" s="408"/>
      <c r="W102" s="408"/>
      <c r="X102" s="409"/>
    </row>
    <row r="103" spans="1:24">
      <c r="A103" s="265"/>
      <c r="B103" s="437"/>
      <c r="C103" s="437"/>
      <c r="D103" s="438"/>
      <c r="E103" s="266"/>
      <c r="F103" s="261"/>
      <c r="G103" s="261"/>
      <c r="H103" s="261"/>
      <c r="I103" s="261"/>
      <c r="J103" s="261"/>
      <c r="K103" s="261"/>
      <c r="L103" s="260"/>
      <c r="M103" s="221">
        <f>SUM(E103:L103)</f>
        <v>0</v>
      </c>
      <c r="N103" s="267"/>
      <c r="O103" s="268"/>
      <c r="P103" s="268"/>
      <c r="Q103" s="268"/>
      <c r="R103" s="268"/>
      <c r="S103" s="268"/>
      <c r="T103" s="268"/>
      <c r="U103" s="269"/>
      <c r="V103" s="221">
        <f>SUM(N103:U103)</f>
        <v>0</v>
      </c>
      <c r="W103" s="231">
        <f>SUM(V103,M103)</f>
        <v>0</v>
      </c>
      <c r="X103" s="227" t="b">
        <f>IF(V103&gt;0,V103/W103,)</f>
        <v>0</v>
      </c>
    </row>
    <row r="104" spans="1:24" customHeight="1" ht="15">
      <c r="A104" s="270"/>
      <c r="B104" s="448"/>
      <c r="C104" s="448"/>
      <c r="D104" s="449"/>
      <c r="E104" s="266"/>
      <c r="F104" s="261"/>
      <c r="G104" s="261"/>
      <c r="H104" s="261"/>
      <c r="I104" s="261"/>
      <c r="J104" s="261"/>
      <c r="K104" s="261"/>
      <c r="L104" s="260"/>
      <c r="M104" s="221">
        <f>SUM(E104:L104)</f>
        <v>0</v>
      </c>
      <c r="N104" s="267"/>
      <c r="O104" s="268"/>
      <c r="P104" s="268"/>
      <c r="Q104" s="268"/>
      <c r="R104" s="268"/>
      <c r="S104" s="268"/>
      <c r="T104" s="268"/>
      <c r="U104" s="269"/>
      <c r="V104" s="221">
        <f>SUM(N104:U104)</f>
        <v>0</v>
      </c>
      <c r="W104" s="231">
        <f>SUM(V104,M104)</f>
        <v>0</v>
      </c>
      <c r="X104" s="227" t="b">
        <f>IF(V104&gt;0,V104/W104,)</f>
        <v>0</v>
      </c>
    </row>
    <row r="105" spans="1:24" customHeight="1" ht="15">
      <c r="A105" s="439" t="s">
        <v>162</v>
      </c>
      <c r="B105" s="440"/>
      <c r="C105" s="440"/>
      <c r="D105" s="441"/>
      <c r="E105" s="238">
        <f>SUM(E103:E104)</f>
        <v>0</v>
      </c>
      <c r="F105" s="238">
        <f>SUM(F103:F104)</f>
        <v>0</v>
      </c>
      <c r="G105" s="238">
        <f>SUM(G103:G104)</f>
        <v>0</v>
      </c>
      <c r="H105" s="238">
        <f>SUM(H103:H104)</f>
        <v>0</v>
      </c>
      <c r="I105" s="238">
        <f>SUM(I103:I104)</f>
        <v>0</v>
      </c>
      <c r="J105" s="238">
        <f>SUM(J103:J104)</f>
        <v>0</v>
      </c>
      <c r="K105" s="238"/>
      <c r="L105" s="238">
        <f>SUM(L103:L104)</f>
        <v>0</v>
      </c>
      <c r="M105" s="240">
        <f>SUM(E105:L105)</f>
        <v>0</v>
      </c>
      <c r="N105" s="238">
        <f>SUM(N103:N104)</f>
        <v>0</v>
      </c>
      <c r="O105" s="238">
        <f>SUM(O103:O104)</f>
        <v>0</v>
      </c>
      <c r="P105" s="238">
        <f>SUM(P103:P104)</f>
        <v>0</v>
      </c>
      <c r="Q105" s="238">
        <f>SUM(Q103:Q104)</f>
        <v>0</v>
      </c>
      <c r="R105" s="238">
        <f>SUM(R103:R104)</f>
        <v>0</v>
      </c>
      <c r="S105" s="238">
        <f>SUM(S103:S104)</f>
        <v>0</v>
      </c>
      <c r="T105" s="238"/>
      <c r="U105" s="242">
        <f>SUM(U103:U104)</f>
        <v>0</v>
      </c>
      <c r="V105" s="240">
        <f>SUM(N105:U105)</f>
        <v>0</v>
      </c>
      <c r="W105" s="243">
        <f>SUM(V105,M105)</f>
        <v>0</v>
      </c>
      <c r="X105" s="244" t="b">
        <f>IF(V105&gt;0,V105/W105,)</f>
        <v>0</v>
      </c>
    </row>
    <row r="106" spans="1:24" customHeight="1" ht="18">
      <c r="A106" s="407" t="s">
        <v>172</v>
      </c>
      <c r="B106" s="408"/>
      <c r="C106" s="408"/>
      <c r="D106" s="408"/>
      <c r="E106" s="408"/>
      <c r="F106" s="408"/>
      <c r="G106" s="408"/>
      <c r="H106" s="408"/>
      <c r="I106" s="408"/>
      <c r="J106" s="408"/>
      <c r="K106" s="408"/>
      <c r="L106" s="408"/>
      <c r="M106" s="408"/>
      <c r="N106" s="408"/>
      <c r="O106" s="408"/>
      <c r="P106" s="408"/>
      <c r="Q106" s="408"/>
      <c r="R106" s="408"/>
      <c r="S106" s="408"/>
      <c r="T106" s="408"/>
      <c r="U106" s="408"/>
      <c r="V106" s="408"/>
      <c r="W106" s="408"/>
      <c r="X106" s="409"/>
    </row>
    <row r="107" spans="1:24">
      <c r="A107" s="272" t="s">
        <v>95</v>
      </c>
      <c r="B107" s="437" t="s">
        <v>96</v>
      </c>
      <c r="C107" s="437"/>
      <c r="D107" s="438"/>
      <c r="E107" s="266">
        <v>0</v>
      </c>
      <c r="F107" s="261">
        <v>0</v>
      </c>
      <c r="G107" s="261">
        <v>0</v>
      </c>
      <c r="H107" s="261">
        <v>0</v>
      </c>
      <c r="I107" s="261">
        <v>1</v>
      </c>
      <c r="J107" s="261">
        <v>0</v>
      </c>
      <c r="K107" s="261">
        <v>1</v>
      </c>
      <c r="L107" s="260">
        <v>1</v>
      </c>
      <c r="M107" s="221">
        <v>3</v>
      </c>
      <c r="N107" s="267">
        <v>0</v>
      </c>
      <c r="O107" s="268">
        <v>0</v>
      </c>
      <c r="P107" s="268">
        <v>1</v>
      </c>
      <c r="Q107" s="268">
        <v>0</v>
      </c>
      <c r="R107" s="268">
        <v>0</v>
      </c>
      <c r="S107" s="268">
        <v>1</v>
      </c>
      <c r="T107" s="268">
        <v>0</v>
      </c>
      <c r="U107" s="269">
        <v>1</v>
      </c>
      <c r="V107" s="221">
        <v>3</v>
      </c>
      <c r="W107" s="231">
        <v>6</v>
      </c>
      <c r="X107" s="227" t="s">
        <v>127</v>
      </c>
    </row>
    <row r="108" spans="1:24" customHeight="1" ht="15">
      <c r="A108" s="272"/>
      <c r="B108" s="446"/>
      <c r="C108" s="446"/>
      <c r="D108" s="447"/>
      <c r="E108" s="266"/>
      <c r="F108" s="261"/>
      <c r="G108" s="261"/>
      <c r="H108" s="261"/>
      <c r="I108" s="261"/>
      <c r="J108" s="261"/>
      <c r="K108" s="261"/>
      <c r="L108" s="260"/>
      <c r="M108" s="221">
        <f>SUM(E108:L108)</f>
        <v>0</v>
      </c>
      <c r="N108" s="267"/>
      <c r="O108" s="268"/>
      <c r="P108" s="268"/>
      <c r="Q108" s="268"/>
      <c r="R108" s="268"/>
      <c r="S108" s="268"/>
      <c r="T108" s="268"/>
      <c r="U108" s="269"/>
      <c r="V108" s="221">
        <f>SUM(N108:U108)</f>
        <v>0</v>
      </c>
      <c r="W108" s="231">
        <f>SUM(V108,M108)</f>
        <v>0</v>
      </c>
      <c r="X108" s="227" t="b">
        <f>IF(V108&gt;0,V108/W108,)</f>
        <v>0</v>
      </c>
    </row>
    <row r="109" spans="1:24" customHeight="1" ht="15">
      <c r="A109" s="412" t="s">
        <v>162</v>
      </c>
      <c r="B109" s="413"/>
      <c r="C109" s="413"/>
      <c r="D109" s="414"/>
      <c r="E109" s="238">
        <f>SUM(E107:E108)</f>
        <v>0</v>
      </c>
      <c r="F109" s="238">
        <f>SUM(F107:F108)</f>
        <v>0</v>
      </c>
      <c r="G109" s="238">
        <f>SUM(G107:G108)</f>
        <v>0</v>
      </c>
      <c r="H109" s="238">
        <f>SUM(H107:H108)</f>
        <v>0</v>
      </c>
      <c r="I109" s="238">
        <f>SUM(I107:I108)</f>
        <v>1</v>
      </c>
      <c r="J109" s="238">
        <f>SUM(J107:J108)</f>
        <v>0</v>
      </c>
      <c r="K109" s="238"/>
      <c r="L109" s="238">
        <f>SUM(L107:L108)</f>
        <v>1</v>
      </c>
      <c r="M109" s="240">
        <f>SUM(E109:L109)</f>
        <v>2</v>
      </c>
      <c r="N109" s="241">
        <f>SUM(N107:N108)</f>
        <v>0</v>
      </c>
      <c r="O109" s="238">
        <f>SUM(O107:O108)</f>
        <v>0</v>
      </c>
      <c r="P109" s="238">
        <f>SUM(P107:P108)</f>
        <v>1</v>
      </c>
      <c r="Q109" s="238">
        <f>SUM(Q107:Q108)</f>
        <v>0</v>
      </c>
      <c r="R109" s="238">
        <f>SUM(R107:R108)</f>
        <v>0</v>
      </c>
      <c r="S109" s="238">
        <f>SUM(S107:S108)</f>
        <v>1</v>
      </c>
      <c r="T109" s="238"/>
      <c r="U109" s="242">
        <f>SUM(U107:U108)</f>
        <v>1</v>
      </c>
      <c r="V109" s="240">
        <f>SUM(N109:U109)</f>
        <v>3</v>
      </c>
      <c r="W109" s="243">
        <f>SUM(V109,M109)</f>
        <v>5</v>
      </c>
      <c r="X109" s="244">
        <f>IF(V109&gt;0,V109/W109,)</f>
        <v>0.6</v>
      </c>
    </row>
    <row r="110" spans="1:24" customHeight="1" ht="18">
      <c r="A110" s="407" t="s">
        <v>173</v>
      </c>
      <c r="B110" s="408"/>
      <c r="C110" s="408"/>
      <c r="D110" s="408"/>
      <c r="E110" s="408"/>
      <c r="F110" s="408"/>
      <c r="G110" s="408"/>
      <c r="H110" s="408"/>
      <c r="I110" s="408"/>
      <c r="J110" s="408"/>
      <c r="K110" s="408"/>
      <c r="L110" s="408"/>
      <c r="M110" s="408"/>
      <c r="N110" s="408"/>
      <c r="O110" s="408"/>
      <c r="P110" s="408"/>
      <c r="Q110" s="408"/>
      <c r="R110" s="408"/>
      <c r="S110" s="408"/>
      <c r="T110" s="408"/>
      <c r="U110" s="408"/>
      <c r="V110" s="408"/>
      <c r="W110" s="408"/>
      <c r="X110" s="409"/>
    </row>
    <row r="111" spans="1:24">
      <c r="A111" s="259"/>
      <c r="B111" s="444"/>
      <c r="C111" s="444"/>
      <c r="D111" s="445"/>
      <c r="E111" s="273"/>
      <c r="F111" s="274"/>
      <c r="G111" s="275"/>
      <c r="H111" s="274"/>
      <c r="I111" s="274"/>
      <c r="J111" s="275"/>
      <c r="K111" s="275"/>
      <c r="L111" s="133"/>
      <c r="M111" s="225">
        <f>SUM(E111:L111)</f>
        <v>0</v>
      </c>
      <c r="N111" s="222"/>
      <c r="O111" s="223"/>
      <c r="P111" s="223"/>
      <c r="Q111" s="223"/>
      <c r="R111" s="223"/>
      <c r="S111" s="223"/>
      <c r="T111" s="223"/>
      <c r="U111" s="224"/>
      <c r="V111" s="225">
        <f>SUM(N111:U111)</f>
        <v>0</v>
      </c>
      <c r="W111" s="226">
        <f>SUM(V111,M111)</f>
        <v>0</v>
      </c>
      <c r="X111" s="245" t="b">
        <f>IF(V111&gt;0,V111/W111,)</f>
        <v>0</v>
      </c>
    </row>
    <row r="112" spans="1:24" customHeight="1" ht="15">
      <c r="A112" s="259"/>
      <c r="B112" s="442"/>
      <c r="C112" s="442"/>
      <c r="D112" s="443"/>
      <c r="E112" s="273"/>
      <c r="F112" s="274"/>
      <c r="G112" s="275"/>
      <c r="H112" s="274"/>
      <c r="I112" s="274"/>
      <c r="J112" s="275"/>
      <c r="K112" s="275"/>
      <c r="L112" s="133"/>
      <c r="M112" s="248">
        <f>SUM(E112:L112)</f>
        <v>0</v>
      </c>
      <c r="N112" s="228"/>
      <c r="O112" s="229"/>
      <c r="P112" s="229"/>
      <c r="Q112" s="229"/>
      <c r="R112" s="229"/>
      <c r="S112" s="229"/>
      <c r="T112" s="229"/>
      <c r="U112" s="230"/>
      <c r="V112" s="248">
        <f>SUM(N112:U112)</f>
        <v>0</v>
      </c>
      <c r="W112" s="257">
        <f>SUM(V112,M112)</f>
        <v>0</v>
      </c>
      <c r="X112" s="258" t="b">
        <f>IF(V112&gt;0,V112/W112,)</f>
        <v>0</v>
      </c>
    </row>
    <row r="113" spans="1:24" customHeight="1" ht="15">
      <c r="A113" s="236" t="s">
        <v>162</v>
      </c>
      <c r="B113" s="237"/>
      <c r="C113" s="237"/>
      <c r="D113" s="237"/>
      <c r="E113" s="238">
        <f>SUM(E111:E112)</f>
        <v>0</v>
      </c>
      <c r="F113" s="238">
        <f>SUM(F111:F112)</f>
        <v>0</v>
      </c>
      <c r="G113" s="238">
        <f>SUM(G111:G112)</f>
        <v>0</v>
      </c>
      <c r="H113" s="238">
        <f>SUM(H111:H112)</f>
        <v>0</v>
      </c>
      <c r="I113" s="238">
        <f>SUM(I111:I112)</f>
        <v>0</v>
      </c>
      <c r="J113" s="238">
        <f>SUM(J111:J112)</f>
        <v>0</v>
      </c>
      <c r="K113" s="238"/>
      <c r="L113" s="238">
        <f>SUM(L111:L112)</f>
        <v>0</v>
      </c>
      <c r="M113" s="240">
        <f>SUM(E113:L113)</f>
        <v>0</v>
      </c>
      <c r="N113" s="314">
        <f>SUM(N111:N112)</f>
        <v>0</v>
      </c>
      <c r="O113" s="314">
        <f>SUM(O111:O112)</f>
        <v>0</v>
      </c>
      <c r="P113" s="314">
        <f>SUM(P111:P112)</f>
        <v>0</v>
      </c>
      <c r="Q113" s="314">
        <f>SUM(Q111:Q112)</f>
        <v>0</v>
      </c>
      <c r="R113" s="314">
        <f>SUM(R111:R112)</f>
        <v>0</v>
      </c>
      <c r="S113" s="314">
        <f>SUM(S111:S112)</f>
        <v>0</v>
      </c>
      <c r="T113" s="314"/>
      <c r="U113" s="314">
        <f>SUM(U111:U112)</f>
        <v>0</v>
      </c>
      <c r="V113" s="240">
        <f>SUM(N113:U113)</f>
        <v>0</v>
      </c>
      <c r="W113" s="243">
        <f>SUM(V113,M113)</f>
        <v>0</v>
      </c>
      <c r="X113" s="244" t="b">
        <f>IF(V113&gt;0,V113/W113,)</f>
        <v>0</v>
      </c>
    </row>
    <row r="114" spans="1:24" customHeight="1" ht="18">
      <c r="A114" s="407" t="s">
        <v>174</v>
      </c>
      <c r="B114" s="408"/>
      <c r="C114" s="408"/>
      <c r="D114" s="408"/>
      <c r="E114" s="408"/>
      <c r="F114" s="408"/>
      <c r="G114" s="408"/>
      <c r="H114" s="408"/>
      <c r="I114" s="408"/>
      <c r="J114" s="408"/>
      <c r="K114" s="408"/>
      <c r="L114" s="408"/>
      <c r="M114" s="408"/>
      <c r="N114" s="408"/>
      <c r="O114" s="408"/>
      <c r="P114" s="408"/>
      <c r="Q114" s="408"/>
      <c r="R114" s="408"/>
      <c r="S114" s="408"/>
      <c r="T114" s="408"/>
      <c r="U114" s="408"/>
      <c r="V114" s="408"/>
      <c r="W114" s="408"/>
      <c r="X114" s="409"/>
    </row>
    <row r="115" spans="1:24">
      <c r="A115" s="276" t="s">
        <v>78</v>
      </c>
      <c r="B115" s="437" t="s">
        <v>79</v>
      </c>
      <c r="C115" s="437"/>
      <c r="D115" s="438"/>
      <c r="E115" s="251">
        <v>0</v>
      </c>
      <c r="F115" s="252">
        <v>1</v>
      </c>
      <c r="G115" s="252">
        <v>2</v>
      </c>
      <c r="H115" s="252">
        <v>0</v>
      </c>
      <c r="I115" s="252">
        <v>0</v>
      </c>
      <c r="J115" s="252">
        <v>0</v>
      </c>
      <c r="K115" s="252">
        <v>0</v>
      </c>
      <c r="L115" s="253">
        <v>2</v>
      </c>
      <c r="M115" s="221">
        <v>5</v>
      </c>
      <c r="N115" s="232">
        <v>0</v>
      </c>
      <c r="O115" s="233">
        <v>0</v>
      </c>
      <c r="P115" s="233">
        <v>0</v>
      </c>
      <c r="Q115" s="233">
        <v>0</v>
      </c>
      <c r="R115" s="233">
        <v>0</v>
      </c>
      <c r="S115" s="233">
        <v>0</v>
      </c>
      <c r="T115" s="233">
        <v>0</v>
      </c>
      <c r="U115" s="234">
        <v>1</v>
      </c>
      <c r="V115" s="221">
        <v>1</v>
      </c>
      <c r="W115" s="231">
        <v>6</v>
      </c>
      <c r="X115" s="227" t="s">
        <v>188</v>
      </c>
    </row>
    <row r="116" spans="1:24" customHeight="1" ht="15">
      <c r="A116" s="276"/>
      <c r="B116" s="437"/>
      <c r="C116" s="437"/>
      <c r="D116" s="438"/>
      <c r="E116" s="251"/>
      <c r="F116" s="252"/>
      <c r="G116" s="252"/>
      <c r="H116" s="252"/>
      <c r="I116" s="252"/>
      <c r="J116" s="252"/>
      <c r="K116" s="252"/>
      <c r="L116" s="253"/>
      <c r="M116" s="221">
        <f>SUM(E116:L116)</f>
        <v>0</v>
      </c>
      <c r="N116" s="232"/>
      <c r="O116" s="233"/>
      <c r="P116" s="233"/>
      <c r="Q116" s="233"/>
      <c r="R116" s="233"/>
      <c r="S116" s="233"/>
      <c r="T116" s="233"/>
      <c r="U116" s="234"/>
      <c r="V116" s="221">
        <f>SUM(N116:U116)</f>
        <v>0</v>
      </c>
      <c r="W116" s="231">
        <f>SUM(V116,M116)</f>
        <v>0</v>
      </c>
      <c r="X116" s="227" t="b">
        <f>IF(V116&gt;0,V116/W116,)</f>
        <v>0</v>
      </c>
    </row>
    <row r="117" spans="1:24" customHeight="1" ht="15">
      <c r="A117" s="439" t="s">
        <v>162</v>
      </c>
      <c r="B117" s="440"/>
      <c r="C117" s="440"/>
      <c r="D117" s="441"/>
      <c r="E117" s="238">
        <f>SUM(E115:E116)</f>
        <v>0</v>
      </c>
      <c r="F117" s="238">
        <f>SUM(F115:F116)</f>
        <v>1</v>
      </c>
      <c r="G117" s="238">
        <f>SUM(G115:G116)</f>
        <v>2</v>
      </c>
      <c r="H117" s="238">
        <f>SUM(H115:H116)</f>
        <v>0</v>
      </c>
      <c r="I117" s="238">
        <f>SUM(I115:I116)</f>
        <v>0</v>
      </c>
      <c r="J117" s="238">
        <f>SUM(J115:J116)</f>
        <v>0</v>
      </c>
      <c r="K117" s="238"/>
      <c r="L117" s="238">
        <f>SUM(L115:L116)</f>
        <v>2</v>
      </c>
      <c r="M117" s="240">
        <f>SUM(E117:L117)</f>
        <v>5</v>
      </c>
      <c r="N117" s="238">
        <f>SUM(N115:N116)</f>
        <v>0</v>
      </c>
      <c r="O117" s="238">
        <f>SUM(O115:O116)</f>
        <v>0</v>
      </c>
      <c r="P117" s="238">
        <f>SUM(P115:P116)</f>
        <v>0</v>
      </c>
      <c r="Q117" s="238">
        <f>SUM(Q115:Q116)</f>
        <v>0</v>
      </c>
      <c r="R117" s="238">
        <f>SUM(R115:R116)</f>
        <v>0</v>
      </c>
      <c r="S117" s="238">
        <f>SUM(S115:S116)</f>
        <v>0</v>
      </c>
      <c r="T117" s="238"/>
      <c r="U117" s="238">
        <f>SUM(U115:U116)</f>
        <v>1</v>
      </c>
      <c r="V117" s="240">
        <f>SUM(N117:U117)</f>
        <v>1</v>
      </c>
      <c r="W117" s="243">
        <f>SUM(V117,M117)</f>
        <v>6</v>
      </c>
      <c r="X117" s="244">
        <f>IF(V117&gt;0,V117/W117,)</f>
        <v>0.16666666666667</v>
      </c>
    </row>
    <row r="118" spans="1:24" customHeight="1" ht="18">
      <c r="A118" s="407" t="s">
        <v>175</v>
      </c>
      <c r="B118" s="408"/>
      <c r="C118" s="408"/>
      <c r="D118" s="408"/>
      <c r="E118" s="408"/>
      <c r="F118" s="408"/>
      <c r="G118" s="408"/>
      <c r="H118" s="408"/>
      <c r="I118" s="408"/>
      <c r="J118" s="408"/>
      <c r="K118" s="408"/>
      <c r="L118" s="408"/>
      <c r="M118" s="408"/>
      <c r="N118" s="408"/>
      <c r="O118" s="408"/>
      <c r="P118" s="408"/>
      <c r="Q118" s="408"/>
      <c r="R118" s="408"/>
      <c r="S118" s="408"/>
      <c r="T118" s="408"/>
      <c r="U118" s="408"/>
      <c r="V118" s="408"/>
      <c r="W118" s="408"/>
      <c r="X118" s="409"/>
    </row>
    <row r="119" spans="1:24">
      <c r="A119" s="276"/>
      <c r="B119" s="437"/>
      <c r="C119" s="437"/>
      <c r="D119" s="438"/>
      <c r="E119" s="251"/>
      <c r="F119" s="252"/>
      <c r="G119" s="252"/>
      <c r="H119" s="252"/>
      <c r="I119" s="252"/>
      <c r="J119" s="252"/>
      <c r="K119" s="252"/>
      <c r="L119" s="253"/>
      <c r="M119" s="221">
        <f>SUM(E119:L119)</f>
        <v>0</v>
      </c>
      <c r="N119" s="232"/>
      <c r="O119" s="233"/>
      <c r="P119" s="233"/>
      <c r="Q119" s="233"/>
      <c r="R119" s="233"/>
      <c r="S119" s="233"/>
      <c r="T119" s="233"/>
      <c r="U119" s="234"/>
      <c r="V119" s="221">
        <f>SUM(N119:U119)</f>
        <v>0</v>
      </c>
      <c r="W119" s="231">
        <f>SUM(V119,M119)</f>
        <v>0</v>
      </c>
      <c r="X119" s="227" t="b">
        <f>IF(V119&gt;0,V119/W119,)</f>
        <v>0</v>
      </c>
    </row>
    <row r="120" spans="1:24" customHeight="1" ht="15">
      <c r="A120" s="276"/>
      <c r="B120" s="437"/>
      <c r="C120" s="437"/>
      <c r="D120" s="438"/>
      <c r="E120" s="251"/>
      <c r="F120" s="252"/>
      <c r="G120" s="252"/>
      <c r="H120" s="252"/>
      <c r="I120" s="252"/>
      <c r="J120" s="252"/>
      <c r="K120" s="252"/>
      <c r="L120" s="253"/>
      <c r="M120" s="221">
        <f>SUM(E120:L120)</f>
        <v>0</v>
      </c>
      <c r="N120" s="232"/>
      <c r="O120" s="233"/>
      <c r="P120" s="233"/>
      <c r="Q120" s="233"/>
      <c r="R120" s="233"/>
      <c r="S120" s="233"/>
      <c r="T120" s="233"/>
      <c r="U120" s="234"/>
      <c r="V120" s="221">
        <f>SUM(N120:U120)</f>
        <v>0</v>
      </c>
      <c r="W120" s="231">
        <f>SUM(V120,M120)</f>
        <v>0</v>
      </c>
      <c r="X120" s="227" t="b">
        <f>IF(V120&gt;0,V120/W120,)</f>
        <v>0</v>
      </c>
    </row>
    <row r="121" spans="1:24" customHeight="1" ht="15">
      <c r="A121" s="236" t="s">
        <v>162</v>
      </c>
      <c r="B121" s="237"/>
      <c r="C121" s="237"/>
      <c r="D121" s="237"/>
      <c r="E121" s="238">
        <f>SUM(E119:E120)</f>
        <v>0</v>
      </c>
      <c r="F121" s="238">
        <f>SUM(F119:F120)</f>
        <v>0</v>
      </c>
      <c r="G121" s="238">
        <f>SUM(G119:G120)</f>
        <v>0</v>
      </c>
      <c r="H121" s="238">
        <f>SUM(H119:H120)</f>
        <v>0</v>
      </c>
      <c r="I121" s="238">
        <f>SUM(I119:I120)</f>
        <v>0</v>
      </c>
      <c r="J121" s="238">
        <f>SUM(J119:J120)</f>
        <v>0</v>
      </c>
      <c r="K121" s="238"/>
      <c r="L121" s="238">
        <f>SUM(L119:L120)</f>
        <v>0</v>
      </c>
      <c r="M121" s="240">
        <f>SUM(E121:L121)</f>
        <v>0</v>
      </c>
      <c r="N121" s="314">
        <f>SUM(N119:N120)</f>
        <v>0</v>
      </c>
      <c r="O121" s="314">
        <f>SUM(O119:O120)</f>
        <v>0</v>
      </c>
      <c r="P121" s="314">
        <f>SUM(P119:P120)</f>
        <v>0</v>
      </c>
      <c r="Q121" s="314">
        <f>SUM(Q119:Q120)</f>
        <v>0</v>
      </c>
      <c r="R121" s="314">
        <f>SUM(R119:R120)</f>
        <v>0</v>
      </c>
      <c r="S121" s="314">
        <f>SUM(S119:S120)</f>
        <v>0</v>
      </c>
      <c r="T121" s="314"/>
      <c r="U121" s="314">
        <f>SUM(U119:U120)</f>
        <v>0</v>
      </c>
      <c r="V121" s="240">
        <f>SUM(N121:U121)</f>
        <v>0</v>
      </c>
      <c r="W121" s="243">
        <f>SUM(V121,M121)</f>
        <v>0</v>
      </c>
      <c r="X121" s="244" t="b">
        <f>IF(V121&gt;0,V121/W121,)</f>
        <v>0</v>
      </c>
    </row>
    <row r="122" spans="1:24" customHeight="1" ht="18">
      <c r="A122" s="407" t="s">
        <v>176</v>
      </c>
      <c r="B122" s="408"/>
      <c r="C122" s="408"/>
      <c r="D122" s="408"/>
      <c r="E122" s="408"/>
      <c r="F122" s="408"/>
      <c r="G122" s="408"/>
      <c r="H122" s="408"/>
      <c r="I122" s="408"/>
      <c r="J122" s="408"/>
      <c r="K122" s="408"/>
      <c r="L122" s="408"/>
      <c r="M122" s="408"/>
      <c r="N122" s="408"/>
      <c r="O122" s="408"/>
      <c r="P122" s="408"/>
      <c r="Q122" s="408"/>
      <c r="R122" s="408"/>
      <c r="S122" s="408"/>
      <c r="T122" s="408"/>
      <c r="U122" s="408"/>
      <c r="V122" s="408"/>
      <c r="W122" s="408"/>
      <c r="X122" s="409"/>
    </row>
    <row r="123" spans="1:24">
      <c r="A123" s="276"/>
      <c r="B123" s="437"/>
      <c r="C123" s="437"/>
      <c r="D123" s="438"/>
      <c r="E123" s="251"/>
      <c r="F123" s="252"/>
      <c r="G123" s="252"/>
      <c r="H123" s="252"/>
      <c r="I123" s="252"/>
      <c r="J123" s="252"/>
      <c r="K123" s="252"/>
      <c r="L123" s="253"/>
      <c r="M123" s="221">
        <f>SUM(E123:L123)</f>
        <v>0</v>
      </c>
      <c r="N123" s="232"/>
      <c r="O123" s="233"/>
      <c r="P123" s="233"/>
      <c r="Q123" s="233"/>
      <c r="R123" s="233"/>
      <c r="S123" s="233"/>
      <c r="T123" s="233"/>
      <c r="U123" s="234"/>
      <c r="V123" s="221">
        <f>SUM(N123:U123)</f>
        <v>0</v>
      </c>
      <c r="W123" s="231">
        <f>SUM(V123,M123)</f>
        <v>0</v>
      </c>
      <c r="X123" s="227" t="b">
        <f>IF(V123&gt;0,V123/W123,)</f>
        <v>0</v>
      </c>
    </row>
    <row r="124" spans="1:24" customHeight="1" ht="15">
      <c r="A124" s="276"/>
      <c r="B124" s="437"/>
      <c r="C124" s="437"/>
      <c r="D124" s="438"/>
      <c r="E124" s="251"/>
      <c r="F124" s="252"/>
      <c r="G124" s="252"/>
      <c r="H124" s="252"/>
      <c r="I124" s="252"/>
      <c r="J124" s="252"/>
      <c r="K124" s="252"/>
      <c r="L124" s="253"/>
      <c r="M124" s="221">
        <f>SUM(E124:L124)</f>
        <v>0</v>
      </c>
      <c r="N124" s="232"/>
      <c r="O124" s="233"/>
      <c r="P124" s="233"/>
      <c r="Q124" s="233"/>
      <c r="R124" s="233"/>
      <c r="S124" s="233"/>
      <c r="T124" s="233"/>
      <c r="U124" s="234"/>
      <c r="V124" s="221">
        <f>SUM(N124:U124)</f>
        <v>0</v>
      </c>
      <c r="W124" s="231">
        <f>SUM(V124,M124)</f>
        <v>0</v>
      </c>
      <c r="X124" s="227" t="b">
        <f>IF(V124&gt;0,V124/W124,)</f>
        <v>0</v>
      </c>
    </row>
    <row r="125" spans="1:24" customHeight="1" ht="15">
      <c r="A125" s="236" t="s">
        <v>162</v>
      </c>
      <c r="B125" s="237"/>
      <c r="C125" s="237"/>
      <c r="D125" s="237"/>
      <c r="E125" s="238">
        <f>SUM(E123:E124)</f>
        <v>0</v>
      </c>
      <c r="F125" s="238">
        <f>SUM(F123:F124)</f>
        <v>0</v>
      </c>
      <c r="G125" s="238">
        <f>SUM(G123:G124)</f>
        <v>0</v>
      </c>
      <c r="H125" s="238">
        <f>SUM(H123:H124)</f>
        <v>0</v>
      </c>
      <c r="I125" s="238">
        <f>SUM(I123:I124)</f>
        <v>0</v>
      </c>
      <c r="J125" s="238">
        <f>SUM(J123:J124)</f>
        <v>0</v>
      </c>
      <c r="K125" s="238"/>
      <c r="L125" s="238">
        <f>SUM(L123:L124)</f>
        <v>0</v>
      </c>
      <c r="M125" s="240">
        <f>SUM(E125:L125)</f>
        <v>0</v>
      </c>
      <c r="N125" s="314">
        <f>SUM(N123:N124)</f>
        <v>0</v>
      </c>
      <c r="O125" s="314">
        <f>SUM(O123:O124)</f>
        <v>0</v>
      </c>
      <c r="P125" s="314">
        <f>SUM(P123:P124)</f>
        <v>0</v>
      </c>
      <c r="Q125" s="314">
        <f>SUM(Q123:Q124)</f>
        <v>0</v>
      </c>
      <c r="R125" s="314">
        <f>SUM(R123:R124)</f>
        <v>0</v>
      </c>
      <c r="S125" s="314">
        <f>SUM(S123:S124)</f>
        <v>0</v>
      </c>
      <c r="T125" s="314"/>
      <c r="U125" s="314">
        <f>SUM(U123:U124)</f>
        <v>0</v>
      </c>
      <c r="V125" s="240">
        <f>SUM(N125:U125)</f>
        <v>0</v>
      </c>
      <c r="W125" s="243">
        <f>SUM(V125,M125)</f>
        <v>0</v>
      </c>
      <c r="X125" s="244" t="b">
        <f>IF(V125&gt;0,V125/W125,)</f>
        <v>0</v>
      </c>
    </row>
    <row r="126" spans="1:24" customHeight="1" ht="18">
      <c r="A126" s="407" t="s">
        <v>179</v>
      </c>
      <c r="B126" s="408"/>
      <c r="C126" s="408"/>
      <c r="D126" s="408"/>
      <c r="E126" s="408"/>
      <c r="F126" s="408"/>
      <c r="G126" s="408"/>
      <c r="H126" s="408"/>
      <c r="I126" s="408"/>
      <c r="J126" s="408"/>
      <c r="K126" s="408"/>
      <c r="L126" s="408"/>
      <c r="M126" s="408"/>
      <c r="N126" s="408"/>
      <c r="O126" s="408"/>
      <c r="P126" s="408"/>
      <c r="Q126" s="408"/>
      <c r="R126" s="408"/>
      <c r="S126" s="408"/>
      <c r="T126" s="408"/>
      <c r="U126" s="408"/>
      <c r="V126" s="408"/>
      <c r="W126" s="408"/>
      <c r="X126" s="409"/>
    </row>
    <row r="127" spans="1:24">
      <c r="A127" s="276"/>
      <c r="B127" s="437"/>
      <c r="C127" s="437"/>
      <c r="D127" s="438"/>
      <c r="E127" s="251"/>
      <c r="F127" s="252"/>
      <c r="G127" s="252"/>
      <c r="H127" s="252"/>
      <c r="I127" s="252"/>
      <c r="J127" s="252"/>
      <c r="K127" s="252"/>
      <c r="L127" s="253"/>
      <c r="M127" s="221">
        <f>SUM(E127:L127)</f>
        <v>0</v>
      </c>
      <c r="N127" s="232"/>
      <c r="O127" s="233"/>
      <c r="P127" s="233"/>
      <c r="Q127" s="233"/>
      <c r="R127" s="233"/>
      <c r="S127" s="233"/>
      <c r="T127" s="233"/>
      <c r="U127" s="234"/>
      <c r="V127" s="221">
        <f>SUM(N127:U127)</f>
        <v>0</v>
      </c>
      <c r="W127" s="231">
        <f>SUM(V127,M127)</f>
        <v>0</v>
      </c>
      <c r="X127" s="227" t="b">
        <f>IF(V127&gt;0,V127/W127,)</f>
        <v>0</v>
      </c>
    </row>
    <row r="128" spans="1:24" customHeight="1" ht="15">
      <c r="A128" s="276"/>
      <c r="B128" s="437"/>
      <c r="C128" s="437"/>
      <c r="D128" s="438"/>
      <c r="E128" s="251"/>
      <c r="F128" s="252"/>
      <c r="G128" s="252"/>
      <c r="H128" s="252"/>
      <c r="I128" s="252"/>
      <c r="J128" s="252"/>
      <c r="K128" s="252"/>
      <c r="L128" s="253"/>
      <c r="M128" s="221">
        <f>SUM(E128:L128)</f>
        <v>0</v>
      </c>
      <c r="N128" s="232"/>
      <c r="O128" s="233"/>
      <c r="P128" s="233"/>
      <c r="Q128" s="233"/>
      <c r="R128" s="233"/>
      <c r="S128" s="233"/>
      <c r="T128" s="233"/>
      <c r="U128" s="234"/>
      <c r="V128" s="221">
        <f>SUM(N128:U128)</f>
        <v>0</v>
      </c>
      <c r="W128" s="231">
        <f>SUM(V128,M128)</f>
        <v>0</v>
      </c>
      <c r="X128" s="227" t="b">
        <f>IF(V128&gt;0,V128/W128,)</f>
        <v>0</v>
      </c>
    </row>
    <row r="129" spans="1:24" customHeight="1" ht="15">
      <c r="A129" s="236" t="s">
        <v>162</v>
      </c>
      <c r="B129" s="237"/>
      <c r="C129" s="237"/>
      <c r="D129" s="237"/>
      <c r="E129" s="238">
        <f>SUM(E127:E128)</f>
        <v>0</v>
      </c>
      <c r="F129" s="238">
        <f>SUM(F127:F128)</f>
        <v>0</v>
      </c>
      <c r="G129" s="238">
        <f>SUM(G127:G128)</f>
        <v>0</v>
      </c>
      <c r="H129" s="238">
        <f>SUM(H127:H128)</f>
        <v>0</v>
      </c>
      <c r="I129" s="238">
        <f>SUM(I127:I128)</f>
        <v>0</v>
      </c>
      <c r="J129" s="238">
        <f>SUM(J127:J128)</f>
        <v>0</v>
      </c>
      <c r="K129" s="238"/>
      <c r="L129" s="238">
        <f>SUM(L127:L128)</f>
        <v>0</v>
      </c>
      <c r="M129" s="240">
        <f>SUM(E129:L129)</f>
        <v>0</v>
      </c>
      <c r="N129" s="314">
        <f>SUM(N127:N128)</f>
        <v>0</v>
      </c>
      <c r="O129" s="314">
        <f>SUM(O127:O128)</f>
        <v>0</v>
      </c>
      <c r="P129" s="314">
        <f>SUM(P127:P128)</f>
        <v>0</v>
      </c>
      <c r="Q129" s="314">
        <f>SUM(Q127:Q128)</f>
        <v>0</v>
      </c>
      <c r="R129" s="314">
        <f>SUM(R127:R128)</f>
        <v>0</v>
      </c>
      <c r="S129" s="314">
        <f>SUM(S127:S128)</f>
        <v>0</v>
      </c>
      <c r="T129" s="314"/>
      <c r="U129" s="314">
        <f>SUM(U127:U128)</f>
        <v>0</v>
      </c>
      <c r="V129" s="240">
        <f>SUM(N129:U129)</f>
        <v>0</v>
      </c>
      <c r="W129" s="243">
        <f>SUM(V129,M129)</f>
        <v>0</v>
      </c>
      <c r="X129" s="244" t="b">
        <f>IF(V129&gt;0,V129/W129,)</f>
        <v>0</v>
      </c>
    </row>
    <row r="130" spans="1:24" customHeight="1" ht="18">
      <c r="A130" s="407" t="s">
        <v>180</v>
      </c>
      <c r="B130" s="408"/>
      <c r="C130" s="408"/>
      <c r="D130" s="408"/>
      <c r="E130" s="408"/>
      <c r="F130" s="408"/>
      <c r="G130" s="408"/>
      <c r="H130" s="408"/>
      <c r="I130" s="408"/>
      <c r="J130" s="408"/>
      <c r="K130" s="408"/>
      <c r="L130" s="408"/>
      <c r="M130" s="408"/>
      <c r="N130" s="408"/>
      <c r="O130" s="408"/>
      <c r="P130" s="408"/>
      <c r="Q130" s="408"/>
      <c r="R130" s="408"/>
      <c r="S130" s="408"/>
      <c r="T130" s="408"/>
      <c r="U130" s="408"/>
      <c r="V130" s="408"/>
      <c r="W130" s="408"/>
      <c r="X130" s="409"/>
    </row>
    <row r="131" spans="1:24">
      <c r="A131" s="271"/>
      <c r="B131" s="405"/>
      <c r="C131" s="405"/>
      <c r="D131" s="406"/>
      <c r="E131" s="251"/>
      <c r="F131" s="252"/>
      <c r="G131" s="252"/>
      <c r="H131" s="252"/>
      <c r="I131" s="252"/>
      <c r="J131" s="252"/>
      <c r="K131" s="252"/>
      <c r="L131" s="253"/>
      <c r="M131" s="221">
        <f>SUM(E131:L131)</f>
        <v>0</v>
      </c>
      <c r="N131" s="232"/>
      <c r="O131" s="233"/>
      <c r="P131" s="233"/>
      <c r="Q131" s="233"/>
      <c r="R131" s="233"/>
      <c r="S131" s="233"/>
      <c r="T131" s="233"/>
      <c r="U131" s="234"/>
      <c r="V131" s="221">
        <f>SUM(N131:U131)</f>
        <v>0</v>
      </c>
      <c r="W131" s="231">
        <f>SUM(V131,M131)</f>
        <v>0</v>
      </c>
      <c r="X131" s="227" t="b">
        <f>IF(V131&gt;0,V131/W131,)</f>
        <v>0</v>
      </c>
    </row>
    <row r="132" spans="1:24" customHeight="1" ht="15">
      <c r="A132" s="271"/>
      <c r="B132" s="405"/>
      <c r="C132" s="405"/>
      <c r="D132" s="406"/>
      <c r="E132" s="251"/>
      <c r="F132" s="252"/>
      <c r="G132" s="252"/>
      <c r="H132" s="252"/>
      <c r="I132" s="252"/>
      <c r="J132" s="252"/>
      <c r="K132" s="252"/>
      <c r="L132" s="253"/>
      <c r="M132" s="221">
        <f>SUM(E132:L132)</f>
        <v>0</v>
      </c>
      <c r="N132" s="232"/>
      <c r="O132" s="233"/>
      <c r="P132" s="233"/>
      <c r="Q132" s="233"/>
      <c r="R132" s="233"/>
      <c r="S132" s="233"/>
      <c r="T132" s="233"/>
      <c r="U132" s="234"/>
      <c r="V132" s="221">
        <f>SUM(N132:U132)</f>
        <v>0</v>
      </c>
      <c r="W132" s="231">
        <f>SUM(V132,M132)</f>
        <v>0</v>
      </c>
      <c r="X132" s="227" t="b">
        <f>IF(V132&gt;0,V132/W132,)</f>
        <v>0</v>
      </c>
    </row>
    <row r="133" spans="1:24" customHeight="1" ht="15">
      <c r="A133" s="236" t="s">
        <v>162</v>
      </c>
      <c r="B133" s="237"/>
      <c r="C133" s="237"/>
      <c r="D133" s="237"/>
      <c r="E133" s="238">
        <f>SUM(E131:E132)</f>
        <v>0</v>
      </c>
      <c r="F133" s="238">
        <f>SUM(F131:F132)</f>
        <v>0</v>
      </c>
      <c r="G133" s="238">
        <f>SUM(G131:G132)</f>
        <v>0</v>
      </c>
      <c r="H133" s="238">
        <f>SUM(H131:H132)</f>
        <v>0</v>
      </c>
      <c r="I133" s="238">
        <f>SUM(I131:I132)</f>
        <v>0</v>
      </c>
      <c r="J133" s="238">
        <f>SUM(J131:J132)</f>
        <v>0</v>
      </c>
      <c r="K133" s="238"/>
      <c r="L133" s="238">
        <f>SUM(L131:L132)</f>
        <v>0</v>
      </c>
      <c r="M133" s="240">
        <f>SUM(E133:L133)</f>
        <v>0</v>
      </c>
      <c r="N133" s="238">
        <f>SUM(N131:N132)</f>
        <v>0</v>
      </c>
      <c r="O133" s="238">
        <f>SUM(O131:O132)</f>
        <v>0</v>
      </c>
      <c r="P133" s="238">
        <f>SUM(P131:P132)</f>
        <v>0</v>
      </c>
      <c r="Q133" s="238">
        <f>SUM(Q131:Q132)</f>
        <v>0</v>
      </c>
      <c r="R133" s="238">
        <f>SUM(R131:R132)</f>
        <v>0</v>
      </c>
      <c r="S133" s="238">
        <f>SUM(S131:S132)</f>
        <v>0</v>
      </c>
      <c r="T133" s="238"/>
      <c r="U133" s="238">
        <f>SUM(U131:U132)</f>
        <v>0</v>
      </c>
      <c r="V133" s="240">
        <f>SUM(N133:U133)</f>
        <v>0</v>
      </c>
      <c r="W133" s="243">
        <f>SUM(V133,M133)</f>
        <v>0</v>
      </c>
      <c r="X133" s="244" t="b">
        <f>IF(V133&gt;0,V133/W133,)</f>
        <v>0</v>
      </c>
    </row>
    <row r="134" spans="1:24" customHeight="1" ht="18">
      <c r="A134" s="407" t="s">
        <v>181</v>
      </c>
      <c r="B134" s="408"/>
      <c r="C134" s="408"/>
      <c r="D134" s="408"/>
      <c r="E134" s="408"/>
      <c r="F134" s="408"/>
      <c r="G134" s="408"/>
      <c r="H134" s="408"/>
      <c r="I134" s="408"/>
      <c r="J134" s="408"/>
      <c r="K134" s="408"/>
      <c r="L134" s="408"/>
      <c r="M134" s="408"/>
      <c r="N134" s="408"/>
      <c r="O134" s="408"/>
      <c r="P134" s="408"/>
      <c r="Q134" s="408"/>
      <c r="R134" s="408"/>
      <c r="S134" s="408"/>
      <c r="T134" s="408"/>
      <c r="U134" s="408"/>
      <c r="V134" s="408"/>
      <c r="W134" s="408"/>
      <c r="X134" s="409"/>
    </row>
    <row r="135" spans="1:24">
      <c r="A135" s="264"/>
      <c r="B135" s="437"/>
      <c r="C135" s="437"/>
      <c r="D135" s="438"/>
      <c r="E135" s="251"/>
      <c r="F135" s="252"/>
      <c r="G135" s="252"/>
      <c r="H135" s="252"/>
      <c r="I135" s="252"/>
      <c r="J135" s="252"/>
      <c r="K135" s="252"/>
      <c r="L135" s="253"/>
      <c r="M135" s="248">
        <f>SUM(E135:L135)</f>
        <v>0</v>
      </c>
      <c r="N135" s="232"/>
      <c r="O135" s="233"/>
      <c r="P135" s="233"/>
      <c r="Q135" s="233"/>
      <c r="R135" s="233"/>
      <c r="S135" s="233"/>
      <c r="T135" s="233"/>
      <c r="U135" s="234"/>
      <c r="V135" s="248">
        <f>SUM(N135:U135)</f>
        <v>0</v>
      </c>
      <c r="W135" s="231">
        <f>SUM(V135,M135)</f>
        <v>0</v>
      </c>
      <c r="X135" s="227" t="b">
        <f>IF(V135&gt;0,V135/W135,)</f>
        <v>0</v>
      </c>
    </row>
    <row r="136" spans="1:24" customHeight="1" ht="15">
      <c r="A136" s="264"/>
      <c r="B136" s="437"/>
      <c r="C136" s="437"/>
      <c r="D136" s="438"/>
      <c r="E136" s="251"/>
      <c r="F136" s="252"/>
      <c r="G136" s="252"/>
      <c r="H136" s="252"/>
      <c r="I136" s="252"/>
      <c r="J136" s="252"/>
      <c r="K136" s="252"/>
      <c r="L136" s="253"/>
      <c r="M136" s="221">
        <f>SUM(E136:L136)</f>
        <v>0</v>
      </c>
      <c r="N136" s="232"/>
      <c r="O136" s="233"/>
      <c r="P136" s="233"/>
      <c r="Q136" s="233"/>
      <c r="R136" s="233"/>
      <c r="S136" s="233"/>
      <c r="T136" s="233"/>
      <c r="U136" s="234"/>
      <c r="V136" s="221">
        <f>SUM(N136:U136)</f>
        <v>0</v>
      </c>
      <c r="W136" s="231">
        <f>SUM(V136,M136)</f>
        <v>0</v>
      </c>
      <c r="X136" s="227" t="b">
        <f>IF(V136&gt;0,V136/W136,)</f>
        <v>0</v>
      </c>
    </row>
    <row r="137" spans="1:24" customHeight="1" ht="15">
      <c r="A137" s="236" t="s">
        <v>162</v>
      </c>
      <c r="B137" s="237"/>
      <c r="C137" s="237"/>
      <c r="D137" s="237"/>
      <c r="E137" s="238">
        <f>SUM(E135:E136)</f>
        <v>0</v>
      </c>
      <c r="F137" s="238">
        <f>SUM(F135:F136)</f>
        <v>0</v>
      </c>
      <c r="G137" s="238">
        <f>SUM(G135:G136)</f>
        <v>0</v>
      </c>
      <c r="H137" s="238">
        <f>SUM(H135:H136)</f>
        <v>0</v>
      </c>
      <c r="I137" s="238">
        <f>SUM(I135:I136)</f>
        <v>0</v>
      </c>
      <c r="J137" s="238">
        <f>SUM(J135:J136)</f>
        <v>0</v>
      </c>
      <c r="K137" s="238"/>
      <c r="L137" s="238">
        <f>SUM(L135:L136)</f>
        <v>0</v>
      </c>
      <c r="M137" s="240">
        <f>SUM(E137:L137)</f>
        <v>0</v>
      </c>
      <c r="N137" s="238">
        <f>SUM(N135:N136)</f>
        <v>0</v>
      </c>
      <c r="O137" s="238">
        <f>SUM(O135:O136)</f>
        <v>0</v>
      </c>
      <c r="P137" s="238">
        <f>SUM(P135:P136)</f>
        <v>0</v>
      </c>
      <c r="Q137" s="238">
        <f>SUM(Q135:Q136)</f>
        <v>0</v>
      </c>
      <c r="R137" s="238">
        <f>SUM(R135:R136)</f>
        <v>0</v>
      </c>
      <c r="S137" s="238">
        <f>SUM(S135:S136)</f>
        <v>0</v>
      </c>
      <c r="T137" s="238"/>
      <c r="U137" s="238">
        <f>SUM(U135:U136)</f>
        <v>0</v>
      </c>
      <c r="V137" s="240">
        <f>SUM(N137:U137)</f>
        <v>0</v>
      </c>
      <c r="W137" s="243">
        <f>SUM(V137,M137)</f>
        <v>0</v>
      </c>
      <c r="X137" s="244" t="b">
        <f>IF(V137&gt;0,V137/W137,)</f>
        <v>0</v>
      </c>
    </row>
    <row r="138" spans="1:24" customHeight="1" ht="18">
      <c r="A138" s="407" t="s">
        <v>182</v>
      </c>
      <c r="B138" s="408"/>
      <c r="C138" s="408"/>
      <c r="D138" s="408"/>
      <c r="E138" s="408"/>
      <c r="F138" s="408"/>
      <c r="G138" s="408"/>
      <c r="H138" s="408"/>
      <c r="I138" s="408"/>
      <c r="J138" s="408"/>
      <c r="K138" s="408"/>
      <c r="L138" s="408"/>
      <c r="M138" s="408"/>
      <c r="N138" s="408"/>
      <c r="O138" s="408"/>
      <c r="P138" s="408"/>
      <c r="Q138" s="408"/>
      <c r="R138" s="408"/>
      <c r="S138" s="408"/>
      <c r="T138" s="408"/>
      <c r="U138" s="408"/>
      <c r="V138" s="408"/>
      <c r="W138" s="408"/>
      <c r="X138" s="409"/>
    </row>
    <row r="139" spans="1:24">
      <c r="A139" s="250"/>
      <c r="B139" s="405"/>
      <c r="C139" s="405"/>
      <c r="D139" s="406"/>
      <c r="E139" s="251"/>
      <c r="F139" s="252"/>
      <c r="G139" s="252"/>
      <c r="H139" s="252"/>
      <c r="I139" s="252"/>
      <c r="J139" s="252"/>
      <c r="K139" s="252"/>
      <c r="L139" s="253"/>
      <c r="M139" s="248">
        <f>SUM(E139:L139)</f>
        <v>0</v>
      </c>
      <c r="N139" s="228"/>
      <c r="O139" s="229"/>
      <c r="P139" s="229"/>
      <c r="Q139" s="229"/>
      <c r="R139" s="229"/>
      <c r="S139" s="229"/>
      <c r="T139" s="229"/>
      <c r="U139" s="230"/>
      <c r="V139" s="248">
        <f>SUM(N139:U139)</f>
        <v>0</v>
      </c>
      <c r="W139" s="257">
        <f>SUM(V139,M139)</f>
        <v>0</v>
      </c>
      <c r="X139" s="258" t="b">
        <f>IF(V139&gt;0,V139/W139,)</f>
        <v>0</v>
      </c>
    </row>
    <row r="140" spans="1:24" customHeight="1" ht="15">
      <c r="A140" s="250"/>
      <c r="B140" s="405"/>
      <c r="C140" s="405"/>
      <c r="D140" s="406"/>
      <c r="E140" s="251"/>
      <c r="F140" s="252"/>
      <c r="G140" s="252"/>
      <c r="H140" s="252"/>
      <c r="I140" s="252"/>
      <c r="J140" s="252"/>
      <c r="K140" s="252"/>
      <c r="L140" s="253"/>
      <c r="M140" s="248">
        <f>SUM(E140:L140)</f>
        <v>0</v>
      </c>
      <c r="N140" s="228"/>
      <c r="O140" s="229"/>
      <c r="P140" s="229"/>
      <c r="Q140" s="229"/>
      <c r="R140" s="229"/>
      <c r="S140" s="229"/>
      <c r="T140" s="229"/>
      <c r="U140" s="230"/>
      <c r="V140" s="278">
        <f>SUM(N140:U140)</f>
        <v>0</v>
      </c>
      <c r="W140" s="257">
        <f>SUM(V140,M140)</f>
        <v>0</v>
      </c>
      <c r="X140" s="258" t="b">
        <f>IF(V140&gt;0,V140/W140,)</f>
        <v>0</v>
      </c>
    </row>
    <row r="141" spans="1:24" customHeight="1" ht="15">
      <c r="A141" s="236" t="s">
        <v>162</v>
      </c>
      <c r="B141" s="237"/>
      <c r="C141" s="237"/>
      <c r="D141" s="237"/>
      <c r="E141" s="238">
        <f>SUM(E139:E140)</f>
        <v>0</v>
      </c>
      <c r="F141" s="238">
        <f>SUM(F139:F140)</f>
        <v>0</v>
      </c>
      <c r="G141" s="238">
        <f>SUM(G139:G140)</f>
        <v>0</v>
      </c>
      <c r="H141" s="238">
        <f>SUM(H139:H140)</f>
        <v>0</v>
      </c>
      <c r="I141" s="238">
        <f>SUM(I139:I140)</f>
        <v>0</v>
      </c>
      <c r="J141" s="238">
        <f>SUM(J139:J140)</f>
        <v>0</v>
      </c>
      <c r="K141" s="238"/>
      <c r="L141" s="238">
        <f>SUM(L139:L140)</f>
        <v>0</v>
      </c>
      <c r="M141" s="240">
        <f>SUM(E141:L141)</f>
        <v>0</v>
      </c>
      <c r="N141" s="238">
        <f>SUM(N139:N140)</f>
        <v>0</v>
      </c>
      <c r="O141" s="238">
        <f>SUM(O139:O140)</f>
        <v>0</v>
      </c>
      <c r="P141" s="238">
        <f>SUM(P139:P140)</f>
        <v>0</v>
      </c>
      <c r="Q141" s="238">
        <f>SUM(Q139:Q140)</f>
        <v>0</v>
      </c>
      <c r="R141" s="238">
        <f>SUM(R139:R140)</f>
        <v>0</v>
      </c>
      <c r="S141" s="238">
        <f>SUM(S139:S140)</f>
        <v>0</v>
      </c>
      <c r="T141" s="238"/>
      <c r="U141" s="238">
        <f>SUM(U139:U140)</f>
        <v>0</v>
      </c>
      <c r="V141" s="240">
        <f>SUM(N141:U141)</f>
        <v>0</v>
      </c>
      <c r="W141" s="243">
        <f>SUM(V141,M141)</f>
        <v>0</v>
      </c>
      <c r="X141" s="244" t="b">
        <f>IF(V141&gt;0,V141/W141,)</f>
        <v>0</v>
      </c>
    </row>
    <row r="142" spans="1:24" customHeight="1" ht="18">
      <c r="A142" s="407" t="s">
        <v>183</v>
      </c>
      <c r="B142" s="408"/>
      <c r="C142" s="408"/>
      <c r="D142" s="408"/>
      <c r="E142" s="408"/>
      <c r="F142" s="408"/>
      <c r="G142" s="408"/>
      <c r="H142" s="408"/>
      <c r="I142" s="408"/>
      <c r="J142" s="408"/>
      <c r="K142" s="408"/>
      <c r="L142" s="408"/>
      <c r="M142" s="408"/>
      <c r="N142" s="408"/>
      <c r="O142" s="408"/>
      <c r="P142" s="408"/>
      <c r="Q142" s="408"/>
      <c r="R142" s="408"/>
      <c r="S142" s="408"/>
      <c r="T142" s="408"/>
      <c r="U142" s="408"/>
      <c r="V142" s="408"/>
      <c r="W142" s="408"/>
      <c r="X142" s="409"/>
    </row>
    <row r="143" spans="1:24">
      <c r="A143" s="95"/>
      <c r="B143" s="405"/>
      <c r="C143" s="405"/>
      <c r="D143" s="406"/>
      <c r="E143" s="251"/>
      <c r="F143" s="252"/>
      <c r="G143" s="252"/>
      <c r="H143" s="252"/>
      <c r="I143" s="252"/>
      <c r="J143" s="252"/>
      <c r="K143" s="252"/>
      <c r="L143" s="253"/>
      <c r="M143" s="221">
        <f>SUM(E143:L143)</f>
        <v>0</v>
      </c>
      <c r="N143" s="228"/>
      <c r="O143" s="229"/>
      <c r="P143" s="229"/>
      <c r="Q143" s="229"/>
      <c r="R143" s="229"/>
      <c r="S143" s="229"/>
      <c r="T143" s="229"/>
      <c r="U143" s="230"/>
      <c r="V143" s="221">
        <f>SUM(N143:U143)</f>
        <v>0</v>
      </c>
      <c r="W143" s="231">
        <f>SUM(V143,M143)</f>
        <v>0</v>
      </c>
      <c r="X143" s="227" t="b">
        <f>IF(V143&gt;0,V143/W143,)</f>
        <v>0</v>
      </c>
    </row>
    <row r="144" spans="1:24" customHeight="1" ht="15">
      <c r="A144" s="264"/>
      <c r="B144" s="432"/>
      <c r="C144" s="432"/>
      <c r="D144" s="433"/>
      <c r="E144" s="279"/>
      <c r="F144" s="275"/>
      <c r="G144" s="275"/>
      <c r="H144" s="275"/>
      <c r="I144" s="275"/>
      <c r="J144" s="275"/>
      <c r="K144" s="275"/>
      <c r="L144" s="277"/>
      <c r="M144" s="221">
        <f>SUM(E144:L144)</f>
        <v>0</v>
      </c>
      <c r="N144" s="232"/>
      <c r="O144" s="233"/>
      <c r="P144" s="233"/>
      <c r="Q144" s="233"/>
      <c r="R144" s="233"/>
      <c r="S144" s="233"/>
      <c r="T144" s="233"/>
      <c r="U144" s="234"/>
      <c r="V144" s="221">
        <f>SUM(N144:U144)</f>
        <v>0</v>
      </c>
      <c r="W144" s="231">
        <f>SUM(V144,M144)</f>
        <v>0</v>
      </c>
      <c r="X144" s="227" t="b">
        <f>IF(V144&gt;0,V144/W144,)</f>
        <v>0</v>
      </c>
    </row>
    <row r="145" spans="1:24" customHeight="1" ht="15">
      <c r="A145" s="434" t="s">
        <v>162</v>
      </c>
      <c r="B145" s="435"/>
      <c r="C145" s="435"/>
      <c r="D145" s="436"/>
      <c r="E145" s="238">
        <f>SUM(E143:E144)</f>
        <v>0</v>
      </c>
      <c r="F145" s="238">
        <f>SUM(F143:F144)</f>
        <v>0</v>
      </c>
      <c r="G145" s="238">
        <f>SUM(G143:G144)</f>
        <v>0</v>
      </c>
      <c r="H145" s="238">
        <f>SUM(H143:H144)</f>
        <v>0</v>
      </c>
      <c r="I145" s="238">
        <f>SUM(I143:I144)</f>
        <v>0</v>
      </c>
      <c r="J145" s="238">
        <f>SUM(J143:J144)</f>
        <v>0</v>
      </c>
      <c r="K145" s="238"/>
      <c r="L145" s="238">
        <f>SUM(L143:L144)</f>
        <v>0</v>
      </c>
      <c r="M145" s="240">
        <f>SUM(E145:L145)</f>
        <v>0</v>
      </c>
      <c r="N145" s="238">
        <f>SUM(N143:N144)</f>
        <v>0</v>
      </c>
      <c r="O145" s="238">
        <f>SUM(O143:O144)</f>
        <v>0</v>
      </c>
      <c r="P145" s="238">
        <f>SUM(P143:P144)</f>
        <v>0</v>
      </c>
      <c r="Q145" s="238">
        <f>SUM(Q143:Q144)</f>
        <v>0</v>
      </c>
      <c r="R145" s="238">
        <f>SUM(R143:R144)</f>
        <v>0</v>
      </c>
      <c r="S145" s="238">
        <f>SUM(S143:S144)</f>
        <v>0</v>
      </c>
      <c r="T145" s="238"/>
      <c r="U145" s="238">
        <f>SUM(U143:U144)</f>
        <v>0</v>
      </c>
      <c r="V145" s="240">
        <f>SUM(N145:U145)</f>
        <v>0</v>
      </c>
      <c r="W145" s="243">
        <f>SUM(V145,M145)</f>
        <v>0</v>
      </c>
      <c r="X145" s="244" t="b">
        <f>IF(V145&gt;0,V145/W145,)</f>
        <v>0</v>
      </c>
    </row>
    <row r="146" spans="1:24" customHeight="1" ht="18.5">
      <c r="A146" s="280" t="s">
        <v>184</v>
      </c>
      <c r="B146" s="281"/>
      <c r="C146" s="281"/>
      <c r="D146" s="282"/>
      <c r="E146" s="283">
        <f>SUM(E145,E141,E137,E133,E129,E125,E117,E121,E109,E113,E105,E101,E97,E93,E89)</f>
        <v>1</v>
      </c>
      <c r="F146" s="283">
        <f>SUM(F89,F93,F97,F101,F105,F109,F113,F117,F121,F125,F129,F133,F137,F141,F145)</f>
        <v>1</v>
      </c>
      <c r="G146" s="283">
        <f>SUM(G89,G93,G97,G101,G105,G109,G113,G117,G121,G125,G129,G133,G137,G141,G145)</f>
        <v>2</v>
      </c>
      <c r="H146" s="283">
        <f>SUM(H89,H93,H97,H101,H105,H109,H113,H117,H121,H125,H129,H133,H137,H141,H145)</f>
        <v>0</v>
      </c>
      <c r="I146" s="283">
        <f>SUM(I89,I93,I97,I101,I105,I109,I113,I117,I121,I125,I129,I133,I137,I141,I145)</f>
        <v>1</v>
      </c>
      <c r="J146" s="283">
        <f>SUM(J89,J93,J97,J101,J105,J109,J113,J117,J121,J125,J129,J133,J137,J141,J145)</f>
        <v>0</v>
      </c>
      <c r="K146" s="283"/>
      <c r="L146" s="283">
        <f>SUM(L89,L93,L97,L101,L105,L109,L113,L117,L121,L125,L129,L133,L137,L141,L145)</f>
        <v>3</v>
      </c>
      <c r="M146" s="240">
        <f>SUM(M89,M93,M97,M101,M105,M109,M113,M117,M121,M125,M129,M133,M137,M141,M145)</f>
        <v>8</v>
      </c>
      <c r="N146" s="283">
        <f>SUM(N145,N141,N137,N133,N129,N125,N121,N117,N113,N109,N105,N101,N97,N93,N89)</f>
        <v>0</v>
      </c>
      <c r="O146" s="283">
        <f>SUM(O145,O141,O137,O133,O129,O125,O121,O117,O113,O109,O105,O101,O97,O93,O89)</f>
        <v>0</v>
      </c>
      <c r="P146" s="283">
        <f>SUM(P145,P141,P137,P133,P129,P125,P121,P117,P113,P109,P105,P101,P97,P93,P89)</f>
        <v>1</v>
      </c>
      <c r="Q146" s="283">
        <f>SUM(Q145,Q141,Q137,Q133,Q129,Q125,Q121,Q117,Q113,Q109,Q105,Q101,Q97,Q93,Q89)</f>
        <v>0</v>
      </c>
      <c r="R146" s="283">
        <f>SUM(R145,R141,R137,R133,R129,R125,R121,R117,R113,R109,R105,R101,R97,R93,R89)</f>
        <v>0</v>
      </c>
      <c r="S146" s="283">
        <f>SUM(S145,S141,S137,S133,S129,S125,S121,S117,S113,S109,S105,S101,S97,S93,S89)</f>
        <v>1</v>
      </c>
      <c r="T146" s="283"/>
      <c r="U146" s="283">
        <f>SUM(U145,U141,U137,U133,U129,U125,U121,U117,U113,U109,U105,U101,U97,U93,U89)</f>
        <v>2</v>
      </c>
      <c r="V146" s="240">
        <f>SUM(N146:U146)</f>
        <v>4</v>
      </c>
      <c r="W146" s="243">
        <f>SUM(V146,M146)</f>
        <v>12</v>
      </c>
      <c r="X146" s="244">
        <f>IF(V146&gt;0,V146/W146,)</f>
        <v>0.33333333333333</v>
      </c>
    </row>
    <row r="147" spans="1:24">
      <c r="A147" s="216"/>
      <c r="B147" s="216"/>
      <c r="C147" s="216"/>
      <c r="D147" s="216"/>
      <c r="E147" s="216"/>
      <c r="F147" s="216"/>
      <c r="G147" s="216"/>
      <c r="H147" s="216"/>
      <c r="I147" s="216"/>
      <c r="J147" s="216"/>
      <c r="K147" s="216"/>
      <c r="L147" s="216"/>
      <c r="M147" s="216"/>
      <c r="N147" s="216"/>
      <c r="O147" s="216"/>
      <c r="P147" s="216"/>
      <c r="Q147" s="216"/>
      <c r="R147" s="216"/>
      <c r="S147" s="216"/>
      <c r="T147" s="216"/>
      <c r="U147" s="216"/>
      <c r="V147" s="216"/>
      <c r="W147" s="216"/>
      <c r="X147" s="216"/>
    </row>
    <row r="148" spans="1:24">
      <c r="A148" s="216"/>
      <c r="B148" s="216"/>
      <c r="C148" s="216"/>
      <c r="D148" s="216"/>
      <c r="E148" s="216"/>
      <c r="F148" s="216"/>
      <c r="G148" s="216"/>
      <c r="H148" s="216"/>
      <c r="I148" s="216"/>
      <c r="J148" s="216"/>
      <c r="K148" s="216"/>
      <c r="L148" s="216"/>
      <c r="M148" s="216"/>
      <c r="N148" s="216"/>
      <c r="O148" s="216"/>
      <c r="P148" s="216"/>
      <c r="Q148" s="216"/>
      <c r="R148" s="216"/>
      <c r="S148" s="216"/>
      <c r="T148" s="216"/>
      <c r="U148" s="216"/>
      <c r="V148" s="216"/>
      <c r="W148" s="216"/>
      <c r="X148" s="216"/>
    </row>
    <row r="149" spans="1:24">
      <c r="A149" s="216"/>
      <c r="B149" s="216"/>
      <c r="C149" s="216"/>
      <c r="D149" s="216"/>
      <c r="E149" s="216"/>
      <c r="F149" s="216"/>
      <c r="G149" s="216"/>
      <c r="H149" s="216"/>
      <c r="I149" s="216"/>
      <c r="J149" s="216"/>
      <c r="K149" s="216"/>
      <c r="L149" s="216"/>
      <c r="M149" s="216"/>
      <c r="N149" s="216"/>
      <c r="O149" s="216"/>
      <c r="P149" s="216"/>
      <c r="Q149" s="216"/>
      <c r="R149" s="216"/>
      <c r="S149" s="216"/>
      <c r="T149" s="216"/>
      <c r="U149" s="216"/>
      <c r="V149" s="216"/>
      <c r="W149" s="216"/>
      <c r="X149" s="216"/>
    </row>
    <row r="150" spans="1:24">
      <c r="A150" s="216"/>
      <c r="B150" s="216"/>
      <c r="C150" s="216"/>
      <c r="D150" s="216"/>
      <c r="E150" s="216"/>
      <c r="F150" s="216"/>
      <c r="G150" s="216"/>
      <c r="H150" s="216"/>
      <c r="I150" s="216"/>
      <c r="J150" s="216"/>
      <c r="K150" s="216"/>
      <c r="L150" s="216"/>
      <c r="M150" s="216"/>
      <c r="N150" s="216"/>
      <c r="O150" s="216"/>
      <c r="P150" s="216"/>
      <c r="Q150" s="216"/>
      <c r="R150" s="216"/>
      <c r="S150" s="216"/>
      <c r="T150" s="216"/>
      <c r="U150" s="216"/>
      <c r="V150" s="216"/>
      <c r="W150" s="216"/>
      <c r="X150" s="216"/>
    </row>
    <row r="151" spans="1:24" customHeight="1" ht="15">
      <c r="A151" s="216"/>
      <c r="B151" s="216"/>
      <c r="C151" s="216"/>
      <c r="D151" s="216"/>
      <c r="E151" s="216"/>
      <c r="F151" s="216"/>
      <c r="G151" s="216"/>
      <c r="H151" s="216"/>
      <c r="I151" s="216"/>
      <c r="J151" s="216"/>
      <c r="K151" s="216"/>
      <c r="L151" s="216"/>
      <c r="M151" s="216"/>
      <c r="N151" s="216"/>
      <c r="O151" s="216"/>
      <c r="P151" s="216"/>
      <c r="Q151" s="216"/>
      <c r="R151" s="216"/>
      <c r="S151" s="216"/>
      <c r="T151" s="216"/>
      <c r="U151" s="216"/>
      <c r="V151" s="216"/>
      <c r="W151" s="216"/>
      <c r="X151" s="216"/>
    </row>
    <row r="152" spans="1:24" customHeight="1" ht="20.5">
      <c r="A152" s="423" t="s">
        <v>189</v>
      </c>
      <c r="B152" s="424"/>
      <c r="C152" s="424"/>
      <c r="D152" s="424"/>
      <c r="E152" s="424"/>
      <c r="F152" s="424"/>
      <c r="G152" s="424"/>
      <c r="H152" s="424"/>
      <c r="I152" s="424"/>
      <c r="J152" s="424"/>
      <c r="K152" s="424"/>
      <c r="L152" s="424"/>
      <c r="M152" s="424"/>
      <c r="N152" s="424"/>
      <c r="O152" s="424"/>
      <c r="P152" s="424"/>
      <c r="Q152" s="424"/>
      <c r="R152" s="424"/>
      <c r="S152" s="424"/>
      <c r="T152" s="424"/>
      <c r="U152" s="424"/>
      <c r="V152" s="424"/>
      <c r="W152" s="424"/>
      <c r="X152" s="425"/>
    </row>
    <row r="153" spans="1:24" customHeight="1" ht="15">
      <c r="A153" s="288"/>
      <c r="B153" s="289"/>
      <c r="C153" s="289"/>
      <c r="D153" s="290"/>
      <c r="E153" s="426" t="s">
        <v>157</v>
      </c>
      <c r="F153" s="427"/>
      <c r="G153" s="427"/>
      <c r="H153" s="427"/>
      <c r="I153" s="427"/>
      <c r="J153" s="427"/>
      <c r="K153" s="427"/>
      <c r="L153" s="428"/>
      <c r="M153" s="291"/>
      <c r="N153" s="429" t="s">
        <v>157</v>
      </c>
      <c r="O153" s="430"/>
      <c r="P153" s="430"/>
      <c r="Q153" s="430"/>
      <c r="R153" s="430"/>
      <c r="S153" s="430"/>
      <c r="T153" s="430"/>
      <c r="U153" s="431"/>
      <c r="V153" s="292"/>
      <c r="W153" s="292"/>
      <c r="X153" s="292"/>
    </row>
    <row r="154" spans="1:24" customHeight="1" ht="15">
      <c r="A154" s="291"/>
      <c r="B154" s="293"/>
      <c r="C154" s="293"/>
      <c r="D154" s="294"/>
      <c r="E154" s="295">
        <v>1</v>
      </c>
      <c r="F154" s="296">
        <v>2</v>
      </c>
      <c r="G154" s="296">
        <v>3</v>
      </c>
      <c r="H154" s="296">
        <v>4</v>
      </c>
      <c r="I154" s="296">
        <v>5</v>
      </c>
      <c r="J154" s="296">
        <v>6</v>
      </c>
      <c r="K154" s="296"/>
      <c r="L154" s="296">
        <v>7</v>
      </c>
      <c r="M154" s="297"/>
      <c r="N154" s="298">
        <v>1</v>
      </c>
      <c r="O154" s="299">
        <v>2</v>
      </c>
      <c r="P154" s="299">
        <v>3</v>
      </c>
      <c r="Q154" s="299">
        <v>4</v>
      </c>
      <c r="R154" s="299">
        <v>5</v>
      </c>
      <c r="S154" s="299">
        <v>6</v>
      </c>
      <c r="T154" s="299"/>
      <c r="U154" s="299">
        <v>7</v>
      </c>
      <c r="V154" s="297"/>
      <c r="W154" s="297"/>
      <c r="X154" s="297"/>
    </row>
    <row r="155" spans="1:24" customHeight="1" ht="15">
      <c r="A155" s="415" t="s">
        <v>190</v>
      </c>
      <c r="B155" s="416"/>
      <c r="C155" s="416"/>
      <c r="D155" s="417"/>
      <c r="E155" s="418" t="s">
        <v>55</v>
      </c>
      <c r="F155" s="419"/>
      <c r="G155" s="419"/>
      <c r="H155" s="419"/>
      <c r="I155" s="419"/>
      <c r="J155" s="419"/>
      <c r="K155" s="419"/>
      <c r="L155" s="420"/>
      <c r="M155" s="300" t="s">
        <v>159</v>
      </c>
      <c r="N155" s="418" t="s">
        <v>57</v>
      </c>
      <c r="O155" s="421"/>
      <c r="P155" s="421"/>
      <c r="Q155" s="421"/>
      <c r="R155" s="421"/>
      <c r="S155" s="421"/>
      <c r="T155" s="421"/>
      <c r="U155" s="422"/>
      <c r="V155" s="300" t="s">
        <v>159</v>
      </c>
      <c r="W155" s="301" t="s">
        <v>160</v>
      </c>
      <c r="X155" s="301" t="s">
        <v>122</v>
      </c>
    </row>
    <row r="156" spans="1:24" customHeight="1" ht="18">
      <c r="A156" s="407" t="s">
        <v>191</v>
      </c>
      <c r="B156" s="408"/>
      <c r="C156" s="408"/>
      <c r="D156" s="408"/>
      <c r="E156" s="408"/>
      <c r="F156" s="408"/>
      <c r="G156" s="408"/>
      <c r="H156" s="408"/>
      <c r="I156" s="408"/>
      <c r="J156" s="408"/>
      <c r="K156" s="408"/>
      <c r="L156" s="408"/>
      <c r="M156" s="408"/>
      <c r="N156" s="408"/>
      <c r="O156" s="408"/>
      <c r="P156" s="408"/>
      <c r="Q156" s="408"/>
      <c r="R156" s="408"/>
      <c r="S156" s="408"/>
      <c r="T156" s="408"/>
      <c r="U156" s="408"/>
      <c r="V156" s="408"/>
      <c r="W156" s="408"/>
      <c r="X156" s="409"/>
    </row>
    <row r="157" spans="1:24">
      <c r="A157" s="264" t="s">
        <v>192</v>
      </c>
      <c r="B157" s="410" t="s">
        <v>193</v>
      </c>
      <c r="C157" s="410"/>
      <c r="D157" s="411"/>
      <c r="E157" s="251">
        <v>1</v>
      </c>
      <c r="F157" s="252">
        <v>0</v>
      </c>
      <c r="G157" s="252">
        <v>0</v>
      </c>
      <c r="H157" s="252">
        <v>0</v>
      </c>
      <c r="I157" s="252">
        <v>0</v>
      </c>
      <c r="J157" s="252">
        <v>0</v>
      </c>
      <c r="K157" s="252">
        <v>0</v>
      </c>
      <c r="L157" s="253">
        <v>0</v>
      </c>
      <c r="M157" s="248">
        <v>1</v>
      </c>
      <c r="N157" s="228">
        <v>0</v>
      </c>
      <c r="O157" s="229">
        <v>0</v>
      </c>
      <c r="P157" s="229">
        <v>0</v>
      </c>
      <c r="Q157" s="229">
        <v>0</v>
      </c>
      <c r="R157" s="229">
        <v>0</v>
      </c>
      <c r="S157" s="229">
        <v>0</v>
      </c>
      <c r="T157" s="229">
        <v>0</v>
      </c>
      <c r="U157" s="230">
        <v>0</v>
      </c>
      <c r="V157" s="248">
        <v>0</v>
      </c>
      <c r="W157" s="257">
        <v>1</v>
      </c>
      <c r="X157" s="258" t="s">
        <v>137</v>
      </c>
    </row>
    <row r="158" spans="1:24" customHeight="1" ht="15">
      <c r="A158" s="264"/>
      <c r="B158" s="405"/>
      <c r="C158" s="405"/>
      <c r="D158" s="406"/>
      <c r="E158" s="251"/>
      <c r="F158" s="252"/>
      <c r="G158" s="252"/>
      <c r="H158" s="252"/>
      <c r="I158" s="252"/>
      <c r="J158" s="252"/>
      <c r="K158" s="252"/>
      <c r="L158" s="253"/>
      <c r="M158" s="221">
        <f>SUM(E158:L158)</f>
        <v>0</v>
      </c>
      <c r="N158" s="232"/>
      <c r="O158" s="233"/>
      <c r="P158" s="233"/>
      <c r="Q158" s="233"/>
      <c r="R158" s="233"/>
      <c r="S158" s="233"/>
      <c r="T158" s="233"/>
      <c r="U158" s="234"/>
      <c r="V158" s="221">
        <f>SUM(N158:U158)</f>
        <v>0</v>
      </c>
      <c r="W158" s="231">
        <f>SUM(V158,M158)</f>
        <v>0</v>
      </c>
      <c r="X158" s="227" t="b">
        <f>IF(V158&gt;0,V158/W158,)</f>
        <v>0</v>
      </c>
    </row>
    <row r="159" spans="1:24" customHeight="1" ht="15">
      <c r="A159" s="236" t="s">
        <v>162</v>
      </c>
      <c r="B159" s="237"/>
      <c r="C159" s="237"/>
      <c r="D159" s="237"/>
      <c r="E159" s="238">
        <f>SUM(E157:E158)</f>
        <v>1</v>
      </c>
      <c r="F159" s="238">
        <f>SUM(F157:F158)</f>
        <v>0</v>
      </c>
      <c r="G159" s="239">
        <f>SUM(G157:G158)</f>
        <v>0</v>
      </c>
      <c r="H159" s="238">
        <f>SUM(H157:H158)</f>
        <v>0</v>
      </c>
      <c r="I159" s="238">
        <f>SUM(I157:I158)</f>
        <v>0</v>
      </c>
      <c r="J159" s="239">
        <f>SUM(H159:I159)</f>
        <v>0</v>
      </c>
      <c r="K159" s="239"/>
      <c r="L159" s="239">
        <f>SUM(I159:J159)</f>
        <v>0</v>
      </c>
      <c r="M159" s="240">
        <f>SUM(E159:L159)</f>
        <v>1</v>
      </c>
      <c r="N159" s="241">
        <f>SUM(N157:N158)</f>
        <v>0</v>
      </c>
      <c r="O159" s="238">
        <f>SUM(O157:O158)</f>
        <v>0</v>
      </c>
      <c r="P159" s="238">
        <f>SUM(P157:P158)</f>
        <v>0</v>
      </c>
      <c r="Q159" s="238">
        <f>SUM(Q157:Q158)</f>
        <v>0</v>
      </c>
      <c r="R159" s="238">
        <f>SUM(R157:R158)</f>
        <v>0</v>
      </c>
      <c r="S159" s="238">
        <f>SUM(S157:S158)</f>
        <v>0</v>
      </c>
      <c r="T159" s="238"/>
      <c r="U159" s="242">
        <f>SUM(U157:U158)</f>
        <v>0</v>
      </c>
      <c r="V159" s="240">
        <f>SUM(N159:U159)</f>
        <v>0</v>
      </c>
      <c r="W159" s="243">
        <f>SUM(V159,M159)</f>
        <v>1</v>
      </c>
      <c r="X159" s="244" t="b">
        <f>IF(V159&gt;0,V159/W159,)</f>
        <v>0</v>
      </c>
    </row>
    <row r="160" spans="1:24" customHeight="1" ht="18">
      <c r="A160" s="407" t="s">
        <v>194</v>
      </c>
      <c r="B160" s="408"/>
      <c r="C160" s="408"/>
      <c r="D160" s="408"/>
      <c r="E160" s="408"/>
      <c r="F160" s="408"/>
      <c r="G160" s="408"/>
      <c r="H160" s="408"/>
      <c r="I160" s="408"/>
      <c r="J160" s="408"/>
      <c r="K160" s="408"/>
      <c r="L160" s="408"/>
      <c r="M160" s="408"/>
      <c r="N160" s="408"/>
      <c r="O160" s="408"/>
      <c r="P160" s="408"/>
      <c r="Q160" s="408"/>
      <c r="R160" s="408"/>
      <c r="S160" s="408"/>
      <c r="T160" s="408"/>
      <c r="U160" s="408"/>
      <c r="V160" s="408"/>
      <c r="W160" s="408"/>
      <c r="X160" s="409"/>
    </row>
    <row r="161" spans="1:24">
      <c r="A161" s="264" t="s">
        <v>71</v>
      </c>
      <c r="B161" s="410" t="s">
        <v>72</v>
      </c>
      <c r="C161" s="410"/>
      <c r="D161" s="411"/>
      <c r="E161" s="251">
        <v>0</v>
      </c>
      <c r="F161" s="252">
        <v>0</v>
      </c>
      <c r="G161" s="252">
        <v>0</v>
      </c>
      <c r="H161" s="252">
        <v>0</v>
      </c>
      <c r="I161" s="252">
        <v>1</v>
      </c>
      <c r="J161" s="252">
        <v>0</v>
      </c>
      <c r="K161" s="252">
        <v>0</v>
      </c>
      <c r="L161" s="253">
        <v>1</v>
      </c>
      <c r="M161" s="248">
        <v>2</v>
      </c>
      <c r="N161" s="228">
        <v>0</v>
      </c>
      <c r="O161" s="229">
        <v>0</v>
      </c>
      <c r="P161" s="229">
        <v>0</v>
      </c>
      <c r="Q161" s="229">
        <v>0</v>
      </c>
      <c r="R161" s="229">
        <v>0</v>
      </c>
      <c r="S161" s="229">
        <v>0</v>
      </c>
      <c r="T161" s="229">
        <v>0</v>
      </c>
      <c r="U161" s="230">
        <v>0</v>
      </c>
      <c r="V161" s="248">
        <v>0</v>
      </c>
      <c r="W161" s="257">
        <v>2</v>
      </c>
      <c r="X161" s="258" t="s">
        <v>137</v>
      </c>
    </row>
    <row r="162" spans="1:24" customHeight="1" ht="15">
      <c r="A162" s="264"/>
      <c r="B162" s="405"/>
      <c r="C162" s="405"/>
      <c r="D162" s="406"/>
      <c r="E162" s="251"/>
      <c r="F162" s="252"/>
      <c r="G162" s="252"/>
      <c r="H162" s="252"/>
      <c r="I162" s="252"/>
      <c r="J162" s="252"/>
      <c r="K162" s="252"/>
      <c r="L162" s="253"/>
      <c r="M162" s="221">
        <f>SUM(E162:L162)</f>
        <v>0</v>
      </c>
      <c r="N162" s="232"/>
      <c r="O162" s="233"/>
      <c r="P162" s="233"/>
      <c r="Q162" s="233"/>
      <c r="R162" s="233"/>
      <c r="S162" s="233"/>
      <c r="T162" s="233"/>
      <c r="U162" s="234"/>
      <c r="V162" s="221">
        <f>SUM(N162:U162)</f>
        <v>0</v>
      </c>
      <c r="W162" s="231">
        <f>SUM(V162,M162)</f>
        <v>0</v>
      </c>
      <c r="X162" s="227" t="b">
        <f>IF(V162&gt;0,V162/W162,)</f>
        <v>0</v>
      </c>
    </row>
    <row r="163" spans="1:24" customHeight="1" ht="15">
      <c r="A163" s="236" t="s">
        <v>162</v>
      </c>
      <c r="B163" s="237"/>
      <c r="C163" s="237"/>
      <c r="D163" s="237"/>
      <c r="E163" s="238">
        <f>SUM(E161:E162)</f>
        <v>0</v>
      </c>
      <c r="F163" s="238">
        <f>SUM(F161:F162)</f>
        <v>0</v>
      </c>
      <c r="G163" s="239">
        <f>SUM(G161:G162)</f>
        <v>0</v>
      </c>
      <c r="H163" s="238">
        <f>SUM(H161:H162)</f>
        <v>0</v>
      </c>
      <c r="I163" s="238">
        <f>SUM(I161:I162)</f>
        <v>1</v>
      </c>
      <c r="J163" s="239">
        <f>SUM(H163:I163)</f>
        <v>1</v>
      </c>
      <c r="K163" s="239"/>
      <c r="L163" s="239">
        <f>SUM(I163:J163)</f>
        <v>2</v>
      </c>
      <c r="M163" s="240">
        <f>SUM(E163:L163)</f>
        <v>4</v>
      </c>
      <c r="N163" s="241">
        <f>SUM(N161:N162)</f>
        <v>0</v>
      </c>
      <c r="O163" s="238">
        <f>SUM(O161:O162)</f>
        <v>0</v>
      </c>
      <c r="P163" s="238">
        <f>SUM(P161:P162)</f>
        <v>0</v>
      </c>
      <c r="Q163" s="238">
        <f>SUM(Q161:Q162)</f>
        <v>0</v>
      </c>
      <c r="R163" s="238">
        <f>SUM(R161:R162)</f>
        <v>0</v>
      </c>
      <c r="S163" s="238">
        <f>SUM(S161:S162)</f>
        <v>0</v>
      </c>
      <c r="T163" s="238"/>
      <c r="U163" s="242">
        <f>SUM(U161:U162)</f>
        <v>0</v>
      </c>
      <c r="V163" s="240">
        <f>SUM(N163:U163)</f>
        <v>0</v>
      </c>
      <c r="W163" s="243">
        <f>SUM(V163,M163)</f>
        <v>4</v>
      </c>
      <c r="X163" s="244" t="b">
        <f>IF(V163&gt;0,V163/W163,)</f>
        <v>0</v>
      </c>
    </row>
    <row r="164" spans="1:24" customHeight="1" ht="18">
      <c r="A164" s="407" t="s">
        <v>195</v>
      </c>
      <c r="B164" s="408"/>
      <c r="C164" s="408"/>
      <c r="D164" s="408"/>
      <c r="E164" s="408"/>
      <c r="F164" s="408"/>
      <c r="G164" s="408"/>
      <c r="H164" s="408"/>
      <c r="I164" s="408"/>
      <c r="J164" s="408"/>
      <c r="K164" s="408"/>
      <c r="L164" s="408"/>
      <c r="M164" s="408"/>
      <c r="N164" s="408"/>
      <c r="O164" s="408"/>
      <c r="P164" s="408"/>
      <c r="Q164" s="408"/>
      <c r="R164" s="408"/>
      <c r="S164" s="408"/>
      <c r="T164" s="408"/>
      <c r="U164" s="408"/>
      <c r="V164" s="408"/>
      <c r="W164" s="408"/>
      <c r="X164" s="409"/>
    </row>
    <row r="165" spans="1:24">
      <c r="A165" s="264" t="s">
        <v>196</v>
      </c>
      <c r="B165" s="410" t="s">
        <v>197</v>
      </c>
      <c r="C165" s="410"/>
      <c r="D165" s="411"/>
      <c r="E165" s="251">
        <v>2</v>
      </c>
      <c r="F165" s="252">
        <v>1</v>
      </c>
      <c r="G165" s="252">
        <v>0</v>
      </c>
      <c r="H165" s="252">
        <v>0</v>
      </c>
      <c r="I165" s="252">
        <v>0</v>
      </c>
      <c r="J165" s="252">
        <v>0</v>
      </c>
      <c r="K165" s="252">
        <v>0</v>
      </c>
      <c r="L165" s="253">
        <v>0</v>
      </c>
      <c r="M165" s="248">
        <v>3</v>
      </c>
      <c r="N165" s="228">
        <v>0</v>
      </c>
      <c r="O165" s="229">
        <v>0</v>
      </c>
      <c r="P165" s="229">
        <v>0</v>
      </c>
      <c r="Q165" s="229">
        <v>0</v>
      </c>
      <c r="R165" s="229">
        <v>0</v>
      </c>
      <c r="S165" s="229">
        <v>0</v>
      </c>
      <c r="T165" s="229">
        <v>0</v>
      </c>
      <c r="U165" s="230">
        <v>0</v>
      </c>
      <c r="V165" s="248">
        <v>0</v>
      </c>
      <c r="W165" s="257">
        <v>3</v>
      </c>
      <c r="X165" s="258" t="s">
        <v>137</v>
      </c>
    </row>
    <row r="166" spans="1:24" customHeight="1" ht="15">
      <c r="A166" s="264"/>
      <c r="B166" s="405"/>
      <c r="C166" s="405"/>
      <c r="D166" s="406"/>
      <c r="E166" s="251"/>
      <c r="F166" s="252"/>
      <c r="G166" s="252"/>
      <c r="H166" s="252"/>
      <c r="I166" s="252"/>
      <c r="J166" s="252"/>
      <c r="K166" s="252"/>
      <c r="L166" s="253"/>
      <c r="M166" s="221">
        <f>SUM(E166:L166)</f>
        <v>0</v>
      </c>
      <c r="N166" s="232"/>
      <c r="O166" s="233"/>
      <c r="P166" s="233"/>
      <c r="Q166" s="233"/>
      <c r="R166" s="233"/>
      <c r="S166" s="233"/>
      <c r="T166" s="233"/>
      <c r="U166" s="234"/>
      <c r="V166" s="221">
        <f>SUM(N166:U166)</f>
        <v>0</v>
      </c>
      <c r="W166" s="231">
        <f>SUM(V166,M166)</f>
        <v>0</v>
      </c>
      <c r="X166" s="227" t="b">
        <f>IF(V166&gt;0,V166/W166,)</f>
        <v>0</v>
      </c>
    </row>
    <row r="167" spans="1:24" customHeight="1" ht="15">
      <c r="A167" s="236" t="s">
        <v>162</v>
      </c>
      <c r="B167" s="237"/>
      <c r="C167" s="237"/>
      <c r="D167" s="237"/>
      <c r="E167" s="238">
        <f>SUM(E165:E166)</f>
        <v>2</v>
      </c>
      <c r="F167" s="238">
        <f>SUM(F165:F166)</f>
        <v>1</v>
      </c>
      <c r="G167" s="239">
        <f>SUM(G165:G166)</f>
        <v>0</v>
      </c>
      <c r="H167" s="238">
        <f>SUM(H165:H166)</f>
        <v>0</v>
      </c>
      <c r="I167" s="238">
        <f>SUM(I165:I166)</f>
        <v>0</v>
      </c>
      <c r="J167" s="239">
        <f>SUM(H167:I167)</f>
        <v>0</v>
      </c>
      <c r="K167" s="239"/>
      <c r="L167" s="239">
        <f>SUM(I167:J167)</f>
        <v>0</v>
      </c>
      <c r="M167" s="240">
        <f>SUM(E167:L167)</f>
        <v>3</v>
      </c>
      <c r="N167" s="241">
        <f>SUM(N165:N166)</f>
        <v>0</v>
      </c>
      <c r="O167" s="238">
        <f>SUM(O165:O166)</f>
        <v>0</v>
      </c>
      <c r="P167" s="238">
        <f>SUM(P165:P166)</f>
        <v>0</v>
      </c>
      <c r="Q167" s="238">
        <f>SUM(Q165:Q166)</f>
        <v>0</v>
      </c>
      <c r="R167" s="238">
        <f>SUM(R165:R166)</f>
        <v>0</v>
      </c>
      <c r="S167" s="238">
        <f>SUM(S165:S166)</f>
        <v>0</v>
      </c>
      <c r="T167" s="238"/>
      <c r="U167" s="242">
        <f>SUM(U165:U166)</f>
        <v>0</v>
      </c>
      <c r="V167" s="240">
        <f>SUM(N167:U167)</f>
        <v>0</v>
      </c>
      <c r="W167" s="243">
        <f>SUM(V167,M167)</f>
        <v>3</v>
      </c>
      <c r="X167" s="244" t="b">
        <f>IF(V167&gt;0,V167/W167,)</f>
        <v>0</v>
      </c>
    </row>
    <row r="168" spans="1:24" customHeight="1" ht="18">
      <c r="A168" s="407" t="s">
        <v>198</v>
      </c>
      <c r="B168" s="408"/>
      <c r="C168" s="408"/>
      <c r="D168" s="408"/>
      <c r="E168" s="408"/>
      <c r="F168" s="408"/>
      <c r="G168" s="408"/>
      <c r="H168" s="408"/>
      <c r="I168" s="408"/>
      <c r="J168" s="408"/>
      <c r="K168" s="408"/>
      <c r="L168" s="408"/>
      <c r="M168" s="408"/>
      <c r="N168" s="408"/>
      <c r="O168" s="408"/>
      <c r="P168" s="408"/>
      <c r="Q168" s="408"/>
      <c r="R168" s="408"/>
      <c r="S168" s="408"/>
      <c r="T168" s="408"/>
      <c r="U168" s="408"/>
      <c r="V168" s="408"/>
      <c r="W168" s="408"/>
      <c r="X168" s="409"/>
    </row>
    <row r="169" spans="1:24">
      <c r="A169" s="264" t="s">
        <v>84</v>
      </c>
      <c r="B169" s="410" t="s">
        <v>85</v>
      </c>
      <c r="C169" s="410"/>
      <c r="D169" s="411"/>
      <c r="E169" s="251">
        <v>0</v>
      </c>
      <c r="F169" s="252">
        <v>0</v>
      </c>
      <c r="G169" s="252">
        <v>0</v>
      </c>
      <c r="H169" s="252">
        <v>0</v>
      </c>
      <c r="I169" s="252">
        <v>0</v>
      </c>
      <c r="J169" s="252">
        <v>2</v>
      </c>
      <c r="K169" s="252">
        <v>1</v>
      </c>
      <c r="L169" s="253">
        <v>2</v>
      </c>
      <c r="M169" s="248">
        <v>5</v>
      </c>
      <c r="N169" s="228">
        <v>0</v>
      </c>
      <c r="O169" s="229">
        <v>0</v>
      </c>
      <c r="P169" s="229">
        <v>0</v>
      </c>
      <c r="Q169" s="229">
        <v>0</v>
      </c>
      <c r="R169" s="229">
        <v>0</v>
      </c>
      <c r="S169" s="229">
        <v>0</v>
      </c>
      <c r="T169" s="229">
        <v>0</v>
      </c>
      <c r="U169" s="230">
        <v>0</v>
      </c>
      <c r="V169" s="248">
        <v>0</v>
      </c>
      <c r="W169" s="257">
        <v>5</v>
      </c>
      <c r="X169" s="258" t="s">
        <v>137</v>
      </c>
    </row>
    <row r="170" spans="1:24" customHeight="1" ht="15">
      <c r="A170" s="264"/>
      <c r="B170" s="405"/>
      <c r="C170" s="405"/>
      <c r="D170" s="406"/>
      <c r="E170" s="251"/>
      <c r="F170" s="252"/>
      <c r="G170" s="252"/>
      <c r="H170" s="252"/>
      <c r="I170" s="252"/>
      <c r="J170" s="252"/>
      <c r="K170" s="252"/>
      <c r="L170" s="253"/>
      <c r="M170" s="221">
        <f>SUM(E170:L170)</f>
        <v>0</v>
      </c>
      <c r="N170" s="232"/>
      <c r="O170" s="233"/>
      <c r="P170" s="233"/>
      <c r="Q170" s="233"/>
      <c r="R170" s="233"/>
      <c r="S170" s="233"/>
      <c r="T170" s="233"/>
      <c r="U170" s="234"/>
      <c r="V170" s="221">
        <f>SUM(N170:U170)</f>
        <v>0</v>
      </c>
      <c r="W170" s="231">
        <f>SUM(V170,M170)</f>
        <v>0</v>
      </c>
      <c r="X170" s="227" t="b">
        <f>IF(V170&gt;0,V170/W170,)</f>
        <v>0</v>
      </c>
    </row>
    <row r="171" spans="1:24" customHeight="1" ht="15">
      <c r="A171" s="236" t="s">
        <v>162</v>
      </c>
      <c r="B171" s="237"/>
      <c r="C171" s="237"/>
      <c r="D171" s="237"/>
      <c r="E171" s="238">
        <f>SUM(E169:E170)</f>
        <v>0</v>
      </c>
      <c r="F171" s="238">
        <f>SUM(F169:F170)</f>
        <v>0</v>
      </c>
      <c r="G171" s="239">
        <f>SUM(G169:G170)</f>
        <v>0</v>
      </c>
      <c r="H171" s="238">
        <f>SUM(H169:H170)</f>
        <v>0</v>
      </c>
      <c r="I171" s="238">
        <f>SUM(I169:I170)</f>
        <v>0</v>
      </c>
      <c r="J171" s="239">
        <f>SUM(H171:I171)</f>
        <v>0</v>
      </c>
      <c r="K171" s="239"/>
      <c r="L171" s="239">
        <f>SUM(I171:J171)</f>
        <v>0</v>
      </c>
      <c r="M171" s="240">
        <f>SUM(E171:L171)</f>
        <v>0</v>
      </c>
      <c r="N171" s="241">
        <f>SUM(N169:N170)</f>
        <v>0</v>
      </c>
      <c r="O171" s="238">
        <f>SUM(O169:O170)</f>
        <v>0</v>
      </c>
      <c r="P171" s="238">
        <f>SUM(P169:P170)</f>
        <v>0</v>
      </c>
      <c r="Q171" s="238">
        <f>SUM(Q169:Q170)</f>
        <v>0</v>
      </c>
      <c r="R171" s="238">
        <f>SUM(R169:R170)</f>
        <v>0</v>
      </c>
      <c r="S171" s="238">
        <f>SUM(S169:S170)</f>
        <v>0</v>
      </c>
      <c r="T171" s="238"/>
      <c r="U171" s="242">
        <f>SUM(U169:U170)</f>
        <v>0</v>
      </c>
      <c r="V171" s="240">
        <f>SUM(N171:U171)</f>
        <v>0</v>
      </c>
      <c r="W171" s="243">
        <f>SUM(V171,M171)</f>
        <v>0</v>
      </c>
      <c r="X171" s="244" t="b">
        <f>IF(V171&gt;0,V171/W171,)</f>
        <v>0</v>
      </c>
    </row>
    <row r="172" spans="1:24" customHeight="1" ht="18">
      <c r="A172" s="407" t="s">
        <v>199</v>
      </c>
      <c r="B172" s="408"/>
      <c r="C172" s="408"/>
      <c r="D172" s="408"/>
      <c r="E172" s="408"/>
      <c r="F172" s="408"/>
      <c r="G172" s="408"/>
      <c r="H172" s="408"/>
      <c r="I172" s="408"/>
      <c r="J172" s="408"/>
      <c r="K172" s="408"/>
      <c r="L172" s="408"/>
      <c r="M172" s="408"/>
      <c r="N172" s="408"/>
      <c r="O172" s="408"/>
      <c r="P172" s="408"/>
      <c r="Q172" s="408"/>
      <c r="R172" s="408"/>
      <c r="S172" s="408"/>
      <c r="T172" s="408"/>
      <c r="U172" s="408"/>
      <c r="V172" s="408"/>
      <c r="W172" s="408"/>
      <c r="X172" s="409"/>
    </row>
    <row r="173" spans="1:24">
      <c r="A173" s="264"/>
      <c r="B173" s="410"/>
      <c r="C173" s="410"/>
      <c r="D173" s="411"/>
      <c r="E173" s="251"/>
      <c r="F173" s="252"/>
      <c r="G173" s="252"/>
      <c r="H173" s="252"/>
      <c r="I173" s="252"/>
      <c r="J173" s="252"/>
      <c r="K173" s="252"/>
      <c r="L173" s="253"/>
      <c r="M173" s="248">
        <f>SUM(E173:L173)</f>
        <v>0</v>
      </c>
      <c r="N173" s="228"/>
      <c r="O173" s="229"/>
      <c r="P173" s="229"/>
      <c r="Q173" s="229"/>
      <c r="R173" s="229"/>
      <c r="S173" s="229"/>
      <c r="T173" s="229"/>
      <c r="U173" s="230"/>
      <c r="V173" s="248">
        <f>SUM(N173:U173)</f>
        <v>0</v>
      </c>
      <c r="W173" s="257">
        <f>SUM(V173,M173)</f>
        <v>0</v>
      </c>
      <c r="X173" s="258" t="b">
        <f>IF(V173&gt;0,V173/W173,)</f>
        <v>0</v>
      </c>
    </row>
    <row r="174" spans="1:24" customHeight="1" ht="15">
      <c r="A174" s="264"/>
      <c r="B174" s="405"/>
      <c r="C174" s="405"/>
      <c r="D174" s="406"/>
      <c r="E174" s="251"/>
      <c r="F174" s="252"/>
      <c r="G174" s="252"/>
      <c r="H174" s="252"/>
      <c r="I174" s="252"/>
      <c r="J174" s="252"/>
      <c r="K174" s="252"/>
      <c r="L174" s="253"/>
      <c r="M174" s="221">
        <f>SUM(E174:L174)</f>
        <v>0</v>
      </c>
      <c r="N174" s="232"/>
      <c r="O174" s="233"/>
      <c r="P174" s="233"/>
      <c r="Q174" s="233"/>
      <c r="R174" s="233"/>
      <c r="S174" s="233"/>
      <c r="T174" s="233"/>
      <c r="U174" s="234"/>
      <c r="V174" s="221">
        <f>SUM(N174:U174)</f>
        <v>0</v>
      </c>
      <c r="W174" s="231">
        <f>SUM(V174,M174)</f>
        <v>0</v>
      </c>
      <c r="X174" s="227" t="b">
        <f>IF(V174&gt;0,V174/W174,)</f>
        <v>0</v>
      </c>
    </row>
    <row r="175" spans="1:24" customHeight="1" ht="15">
      <c r="A175" s="236" t="s">
        <v>162</v>
      </c>
      <c r="B175" s="237"/>
      <c r="C175" s="237"/>
      <c r="D175" s="237"/>
      <c r="E175" s="238">
        <f>SUM(E173:E174)</f>
        <v>0</v>
      </c>
      <c r="F175" s="238">
        <f>SUM(F173:F174)</f>
        <v>0</v>
      </c>
      <c r="G175" s="239">
        <f>SUM(G173:G174)</f>
        <v>0</v>
      </c>
      <c r="H175" s="238">
        <f>SUM(H173:H174)</f>
        <v>0</v>
      </c>
      <c r="I175" s="238">
        <f>SUM(I173:I174)</f>
        <v>0</v>
      </c>
      <c r="J175" s="239">
        <f>SUM(H175:I175)</f>
        <v>0</v>
      </c>
      <c r="K175" s="239"/>
      <c r="L175" s="239">
        <f>SUM(I175:J175)</f>
        <v>0</v>
      </c>
      <c r="M175" s="240">
        <f>SUM(E175:L175)</f>
        <v>0</v>
      </c>
      <c r="N175" s="241">
        <f>SUM(N173:N174)</f>
        <v>0</v>
      </c>
      <c r="O175" s="238">
        <f>SUM(O173:O174)</f>
        <v>0</v>
      </c>
      <c r="P175" s="238">
        <f>SUM(P173:P174)</f>
        <v>0</v>
      </c>
      <c r="Q175" s="238">
        <f>SUM(Q173:Q174)</f>
        <v>0</v>
      </c>
      <c r="R175" s="238">
        <f>SUM(R173:R174)</f>
        <v>0</v>
      </c>
      <c r="S175" s="238">
        <f>SUM(S173:S174)</f>
        <v>0</v>
      </c>
      <c r="T175" s="238"/>
      <c r="U175" s="242">
        <f>SUM(U173:U174)</f>
        <v>0</v>
      </c>
      <c r="V175" s="240">
        <f>SUM(N175:U175)</f>
        <v>0</v>
      </c>
      <c r="W175" s="243">
        <f>SUM(V175,M175)</f>
        <v>0</v>
      </c>
      <c r="X175" s="244" t="b">
        <f>IF(V175&gt;0,V175/W175,)</f>
        <v>0</v>
      </c>
    </row>
    <row r="176" spans="1:24" customHeight="1" ht="18">
      <c r="A176" s="407" t="s">
        <v>200</v>
      </c>
      <c r="B176" s="408"/>
      <c r="C176" s="408"/>
      <c r="D176" s="408"/>
      <c r="E176" s="408"/>
      <c r="F176" s="408"/>
      <c r="G176" s="408"/>
      <c r="H176" s="408"/>
      <c r="I176" s="408"/>
      <c r="J176" s="408"/>
      <c r="K176" s="408"/>
      <c r="L176" s="408"/>
      <c r="M176" s="408"/>
      <c r="N176" s="408"/>
      <c r="O176" s="408"/>
      <c r="P176" s="408"/>
      <c r="Q176" s="408"/>
      <c r="R176" s="408"/>
      <c r="S176" s="408"/>
      <c r="T176" s="408"/>
      <c r="U176" s="408"/>
      <c r="V176" s="408"/>
      <c r="W176" s="408"/>
      <c r="X176" s="409"/>
    </row>
    <row r="177" spans="1:24">
      <c r="A177" s="264"/>
      <c r="B177" s="410"/>
      <c r="C177" s="410"/>
      <c r="D177" s="411"/>
      <c r="E177" s="251"/>
      <c r="F177" s="252"/>
      <c r="G177" s="252"/>
      <c r="H177" s="252"/>
      <c r="I177" s="252"/>
      <c r="J177" s="252"/>
      <c r="K177" s="252"/>
      <c r="L177" s="253"/>
      <c r="M177" s="248">
        <f>SUM(E177:L177)</f>
        <v>0</v>
      </c>
      <c r="N177" s="228"/>
      <c r="O177" s="229"/>
      <c r="P177" s="229"/>
      <c r="Q177" s="229"/>
      <c r="R177" s="229"/>
      <c r="S177" s="229"/>
      <c r="T177" s="229"/>
      <c r="U177" s="230"/>
      <c r="V177" s="248">
        <f>SUM(N177:U177)</f>
        <v>0</v>
      </c>
      <c r="W177" s="257">
        <f>SUM(V177,M177)</f>
        <v>0</v>
      </c>
      <c r="X177" s="258" t="b">
        <f>IF(V177&gt;0,V177/W177,)</f>
        <v>0</v>
      </c>
    </row>
    <row r="178" spans="1:24" customHeight="1" ht="15">
      <c r="A178" s="264"/>
      <c r="B178" s="405"/>
      <c r="C178" s="405"/>
      <c r="D178" s="406"/>
      <c r="E178" s="251"/>
      <c r="F178" s="252"/>
      <c r="G178" s="252"/>
      <c r="H178" s="252"/>
      <c r="I178" s="252"/>
      <c r="J178" s="252"/>
      <c r="K178" s="252"/>
      <c r="L178" s="253"/>
      <c r="M178" s="221">
        <f>SUM(E178:L178)</f>
        <v>0</v>
      </c>
      <c r="N178" s="232"/>
      <c r="O178" s="233"/>
      <c r="P178" s="233"/>
      <c r="Q178" s="233"/>
      <c r="R178" s="233"/>
      <c r="S178" s="233"/>
      <c r="T178" s="233"/>
      <c r="U178" s="234"/>
      <c r="V178" s="221">
        <f>SUM(N178:U178)</f>
        <v>0</v>
      </c>
      <c r="W178" s="231">
        <f>SUM(V178,M178)</f>
        <v>0</v>
      </c>
      <c r="X178" s="227" t="b">
        <f>IF(V178&gt;0,V178/W178,)</f>
        <v>0</v>
      </c>
    </row>
    <row r="179" spans="1:24" customHeight="1" ht="15">
      <c r="A179" s="236" t="s">
        <v>162</v>
      </c>
      <c r="B179" s="237"/>
      <c r="C179" s="237"/>
      <c r="D179" s="237"/>
      <c r="E179" s="238">
        <f>SUM(E177:E178)</f>
        <v>0</v>
      </c>
      <c r="F179" s="238">
        <f>SUM(F177:F178)</f>
        <v>0</v>
      </c>
      <c r="G179" s="239">
        <f>SUM(G177:G178)</f>
        <v>0</v>
      </c>
      <c r="H179" s="238">
        <f>SUM(H177:H178)</f>
        <v>0</v>
      </c>
      <c r="I179" s="238">
        <f>SUM(I177:I178)</f>
        <v>0</v>
      </c>
      <c r="J179" s="239">
        <f>SUM(H179:I179)</f>
        <v>0</v>
      </c>
      <c r="K179" s="239"/>
      <c r="L179" s="239">
        <f>SUM(I179:J179)</f>
        <v>0</v>
      </c>
      <c r="M179" s="240">
        <f>SUM(E179:L179)</f>
        <v>0</v>
      </c>
      <c r="N179" s="241">
        <f>SUM(N177:N178)</f>
        <v>0</v>
      </c>
      <c r="O179" s="238">
        <f>SUM(O177:O178)</f>
        <v>0</v>
      </c>
      <c r="P179" s="238">
        <f>SUM(P177:P178)</f>
        <v>0</v>
      </c>
      <c r="Q179" s="238">
        <f>SUM(Q177:Q178)</f>
        <v>0</v>
      </c>
      <c r="R179" s="238">
        <f>SUM(R177:R178)</f>
        <v>0</v>
      </c>
      <c r="S179" s="238">
        <f>SUM(S177:S178)</f>
        <v>0</v>
      </c>
      <c r="T179" s="238"/>
      <c r="U179" s="242">
        <f>SUM(U177:U178)</f>
        <v>0</v>
      </c>
      <c r="V179" s="240">
        <f>SUM(N179:U179)</f>
        <v>0</v>
      </c>
      <c r="W179" s="243">
        <f>SUM(V179,M179)</f>
        <v>0</v>
      </c>
      <c r="X179" s="244" t="b">
        <f>IF(V179&gt;0,V179/W179,)</f>
        <v>0</v>
      </c>
    </row>
    <row r="180" spans="1:24" customHeight="1" ht="18">
      <c r="A180" s="407" t="s">
        <v>201</v>
      </c>
      <c r="B180" s="408"/>
      <c r="C180" s="408"/>
      <c r="D180" s="408"/>
      <c r="E180" s="408"/>
      <c r="F180" s="408"/>
      <c r="G180" s="408"/>
      <c r="H180" s="408"/>
      <c r="I180" s="408"/>
      <c r="J180" s="408"/>
      <c r="K180" s="408"/>
      <c r="L180" s="408"/>
      <c r="M180" s="408"/>
      <c r="N180" s="408"/>
      <c r="O180" s="408"/>
      <c r="P180" s="408"/>
      <c r="Q180" s="408"/>
      <c r="R180" s="408"/>
      <c r="S180" s="408"/>
      <c r="T180" s="408"/>
      <c r="U180" s="408"/>
      <c r="V180" s="408"/>
      <c r="W180" s="408"/>
      <c r="X180" s="409"/>
    </row>
    <row r="181" spans="1:24">
      <c r="A181" s="264"/>
      <c r="B181" s="410"/>
      <c r="C181" s="410"/>
      <c r="D181" s="411"/>
      <c r="E181" s="251"/>
      <c r="F181" s="252"/>
      <c r="G181" s="252"/>
      <c r="H181" s="252"/>
      <c r="I181" s="252"/>
      <c r="J181" s="252"/>
      <c r="K181" s="252"/>
      <c r="L181" s="253"/>
      <c r="M181" s="248">
        <f>SUM(E181:L181)</f>
        <v>0</v>
      </c>
      <c r="N181" s="228"/>
      <c r="O181" s="229"/>
      <c r="P181" s="229"/>
      <c r="Q181" s="229"/>
      <c r="R181" s="229"/>
      <c r="S181" s="229"/>
      <c r="T181" s="229"/>
      <c r="U181" s="230"/>
      <c r="V181" s="248">
        <f>SUM(N181:U181)</f>
        <v>0</v>
      </c>
      <c r="W181" s="257">
        <f>SUM(V181,M181)</f>
        <v>0</v>
      </c>
      <c r="X181" s="258" t="b">
        <f>IF(V181&gt;0,V181/W181,)</f>
        <v>0</v>
      </c>
    </row>
    <row r="182" spans="1:24" customHeight="1" ht="15">
      <c r="A182" s="264"/>
      <c r="B182" s="405"/>
      <c r="C182" s="405"/>
      <c r="D182" s="406"/>
      <c r="E182" s="251"/>
      <c r="F182" s="252"/>
      <c r="G182" s="252"/>
      <c r="H182" s="252"/>
      <c r="I182" s="252"/>
      <c r="J182" s="252"/>
      <c r="K182" s="252"/>
      <c r="L182" s="253"/>
      <c r="M182" s="221">
        <f>SUM(E182:L182)</f>
        <v>0</v>
      </c>
      <c r="N182" s="232"/>
      <c r="O182" s="233"/>
      <c r="P182" s="233"/>
      <c r="Q182" s="233"/>
      <c r="R182" s="233"/>
      <c r="S182" s="233"/>
      <c r="T182" s="233"/>
      <c r="U182" s="234"/>
      <c r="V182" s="221">
        <f>SUM(N182:U182)</f>
        <v>0</v>
      </c>
      <c r="W182" s="231">
        <f>SUM(V182,M182)</f>
        <v>0</v>
      </c>
      <c r="X182" s="227" t="b">
        <f>IF(V182&gt;0,V182/W182,)</f>
        <v>0</v>
      </c>
    </row>
    <row r="183" spans="1:24" customHeight="1" ht="15">
      <c r="A183" s="236" t="s">
        <v>162</v>
      </c>
      <c r="B183" s="237"/>
      <c r="C183" s="237"/>
      <c r="D183" s="237"/>
      <c r="E183" s="238">
        <f>SUM(E181:E182)</f>
        <v>0</v>
      </c>
      <c r="F183" s="238">
        <f>SUM(F181:F182)</f>
        <v>0</v>
      </c>
      <c r="G183" s="239">
        <f>SUM(G181:G182)</f>
        <v>0</v>
      </c>
      <c r="H183" s="238">
        <f>SUM(H181:H182)</f>
        <v>0</v>
      </c>
      <c r="I183" s="238">
        <f>SUM(I181:I182)</f>
        <v>0</v>
      </c>
      <c r="J183" s="239">
        <f>SUM(H183:I183)</f>
        <v>0</v>
      </c>
      <c r="K183" s="239"/>
      <c r="L183" s="239">
        <f>SUM(I183:J183)</f>
        <v>0</v>
      </c>
      <c r="M183" s="240">
        <f>SUM(E183:L183)</f>
        <v>0</v>
      </c>
      <c r="N183" s="241">
        <f>SUM(N181:N182)</f>
        <v>0</v>
      </c>
      <c r="O183" s="238">
        <f>SUM(O181:O182)</f>
        <v>0</v>
      </c>
      <c r="P183" s="238">
        <f>SUM(P181:P182)</f>
        <v>0</v>
      </c>
      <c r="Q183" s="238">
        <f>SUM(Q181:Q182)</f>
        <v>0</v>
      </c>
      <c r="R183" s="238">
        <f>SUM(R181:R182)</f>
        <v>0</v>
      </c>
      <c r="S183" s="238">
        <f>SUM(S181:S182)</f>
        <v>0</v>
      </c>
      <c r="T183" s="238"/>
      <c r="U183" s="242">
        <f>SUM(U181:U182)</f>
        <v>0</v>
      </c>
      <c r="V183" s="240">
        <f>SUM(N183:U183)</f>
        <v>0</v>
      </c>
      <c r="W183" s="243">
        <f>SUM(V183,M183)</f>
        <v>0</v>
      </c>
      <c r="X183" s="244" t="b">
        <f>IF(V183&gt;0,V183/W183,)</f>
        <v>0</v>
      </c>
    </row>
    <row r="184" spans="1:24" customHeight="1" ht="18">
      <c r="A184" s="407" t="s">
        <v>202</v>
      </c>
      <c r="B184" s="408"/>
      <c r="C184" s="408"/>
      <c r="D184" s="408"/>
      <c r="E184" s="408"/>
      <c r="F184" s="408"/>
      <c r="G184" s="408"/>
      <c r="H184" s="408"/>
      <c r="I184" s="408"/>
      <c r="J184" s="408"/>
      <c r="K184" s="408"/>
      <c r="L184" s="408"/>
      <c r="M184" s="408"/>
      <c r="N184" s="408"/>
      <c r="O184" s="408"/>
      <c r="P184" s="408"/>
      <c r="Q184" s="408"/>
      <c r="R184" s="408"/>
      <c r="S184" s="408"/>
      <c r="T184" s="408"/>
      <c r="U184" s="408"/>
      <c r="V184" s="408"/>
      <c r="W184" s="408"/>
      <c r="X184" s="409"/>
    </row>
    <row r="185" spans="1:24">
      <c r="A185" s="264"/>
      <c r="B185" s="410"/>
      <c r="C185" s="410"/>
      <c r="D185" s="411"/>
      <c r="E185" s="251"/>
      <c r="F185" s="252"/>
      <c r="G185" s="252"/>
      <c r="H185" s="252"/>
      <c r="I185" s="252"/>
      <c r="J185" s="252"/>
      <c r="K185" s="252"/>
      <c r="L185" s="253"/>
      <c r="M185" s="248">
        <f>SUM(E185:L185)</f>
        <v>0</v>
      </c>
      <c r="N185" s="228"/>
      <c r="O185" s="229"/>
      <c r="P185" s="229"/>
      <c r="Q185" s="229"/>
      <c r="R185" s="229"/>
      <c r="S185" s="229"/>
      <c r="T185" s="229"/>
      <c r="U185" s="230"/>
      <c r="V185" s="248">
        <f>SUM(N185:U185)</f>
        <v>0</v>
      </c>
      <c r="W185" s="257">
        <f>SUM(V185,M185)</f>
        <v>0</v>
      </c>
      <c r="X185" s="258" t="b">
        <f>IF(V185&gt;0,V185/W185,)</f>
        <v>0</v>
      </c>
    </row>
    <row r="186" spans="1:24" customHeight="1" ht="15">
      <c r="A186" s="264"/>
      <c r="B186" s="405"/>
      <c r="C186" s="405"/>
      <c r="D186" s="406"/>
      <c r="E186" s="251"/>
      <c r="F186" s="252"/>
      <c r="G186" s="252"/>
      <c r="H186" s="252"/>
      <c r="I186" s="252"/>
      <c r="J186" s="252"/>
      <c r="K186" s="252"/>
      <c r="L186" s="253"/>
      <c r="M186" s="221">
        <f>SUM(E186:L186)</f>
        <v>0</v>
      </c>
      <c r="N186" s="232"/>
      <c r="O186" s="233"/>
      <c r="P186" s="233"/>
      <c r="Q186" s="233"/>
      <c r="R186" s="233"/>
      <c r="S186" s="233"/>
      <c r="T186" s="233"/>
      <c r="U186" s="234"/>
      <c r="V186" s="221">
        <f>SUM(N186:U186)</f>
        <v>0</v>
      </c>
      <c r="W186" s="231">
        <f>SUM(V186,M186)</f>
        <v>0</v>
      </c>
      <c r="X186" s="227" t="b">
        <f>IF(V186&gt;0,V186/W186,)</f>
        <v>0</v>
      </c>
    </row>
    <row r="187" spans="1:24" customHeight="1" ht="15">
      <c r="A187" s="236" t="s">
        <v>162</v>
      </c>
      <c r="B187" s="237"/>
      <c r="C187" s="237"/>
      <c r="D187" s="237"/>
      <c r="E187" s="238">
        <f>SUM(E185:E186)</f>
        <v>0</v>
      </c>
      <c r="F187" s="238">
        <f>SUM(F185:F186)</f>
        <v>0</v>
      </c>
      <c r="G187" s="239">
        <f>SUM(G185:G186)</f>
        <v>0</v>
      </c>
      <c r="H187" s="238">
        <f>SUM(H185:H186)</f>
        <v>0</v>
      </c>
      <c r="I187" s="238">
        <f>SUM(I185:I186)</f>
        <v>0</v>
      </c>
      <c r="J187" s="239">
        <f>SUM(H187:I187)</f>
        <v>0</v>
      </c>
      <c r="K187" s="239"/>
      <c r="L187" s="239">
        <f>SUM(I187:J187)</f>
        <v>0</v>
      </c>
      <c r="M187" s="240">
        <f>SUM(E187:L187)</f>
        <v>0</v>
      </c>
      <c r="N187" s="241">
        <f>SUM(N185:N186)</f>
        <v>0</v>
      </c>
      <c r="O187" s="238">
        <f>SUM(O185:O186)</f>
        <v>0</v>
      </c>
      <c r="P187" s="238">
        <f>SUM(P185:P186)</f>
        <v>0</v>
      </c>
      <c r="Q187" s="238">
        <f>SUM(Q185:Q186)</f>
        <v>0</v>
      </c>
      <c r="R187" s="238">
        <f>SUM(R185:R186)</f>
        <v>0</v>
      </c>
      <c r="S187" s="238">
        <f>SUM(S185:S186)</f>
        <v>0</v>
      </c>
      <c r="T187" s="238"/>
      <c r="U187" s="242">
        <f>SUM(U185:U186)</f>
        <v>0</v>
      </c>
      <c r="V187" s="240">
        <f>SUM(N187:U187)</f>
        <v>0</v>
      </c>
      <c r="W187" s="243">
        <f>SUM(V187,M187)</f>
        <v>0</v>
      </c>
      <c r="X187" s="244" t="b">
        <f>IF(V187&gt;0,V187/W187,)</f>
        <v>0</v>
      </c>
    </row>
    <row r="188" spans="1:24" customHeight="1" ht="18.5">
      <c r="A188" s="280" t="s">
        <v>184</v>
      </c>
      <c r="B188" s="304"/>
      <c r="C188" s="304"/>
      <c r="D188" s="305"/>
      <c r="E188" s="306">
        <f>SUM(E159,E163,E171,E175,E179,E183,E187)</f>
        <v>1</v>
      </c>
      <c r="F188" s="306">
        <f>SUM(F171,F163,F159,F175,F179,F187)</f>
        <v>0</v>
      </c>
      <c r="G188" s="306">
        <f>SUM(G159,G163,G167,G171,G175,G179,G183,G187)</f>
        <v>0</v>
      </c>
      <c r="H188" s="306">
        <f>SUM(H159,H163,H167,H171,H179,H183,H187)</f>
        <v>0</v>
      </c>
      <c r="I188" s="306">
        <f>SUM(I159,I163,I171,I167,I175,I179,I183,I187)</f>
        <v>1</v>
      </c>
      <c r="J188" s="306">
        <f>SUM(J159,J163,J167,J171,J179,J183,J187)</f>
        <v>1</v>
      </c>
      <c r="K188" s="306"/>
      <c r="L188" s="306">
        <f>SUM(L159,L163,L167,L171,L179,L183,L187)</f>
        <v>2</v>
      </c>
      <c r="M188" s="240">
        <f>SUM(M159,M163,M167,M171,M175,M179,M183,M187)</f>
        <v>8</v>
      </c>
      <c r="N188" s="307">
        <f>SUM(N159,N163,N167,N171,N175,N179,N183,N187)</f>
        <v>0</v>
      </c>
      <c r="O188" s="307">
        <f>SUM(O159,O163,O167,O171,O175,O179,O183,O187)</f>
        <v>0</v>
      </c>
      <c r="P188" s="307">
        <f>SUM(P159,P163,P167,P171,P175,P179,P183,P187)</f>
        <v>0</v>
      </c>
      <c r="Q188" s="307">
        <f>SUM(Q159,Q163,Q167,Q171,Q175,Q179,Q183,Q187)</f>
        <v>0</v>
      </c>
      <c r="R188" s="307">
        <f>SUM(R159,R163,R167,R171,R175,R179,R183,R187)</f>
        <v>0</v>
      </c>
      <c r="S188" s="307">
        <f>SUM(S159,S163,S167,S171,S175,S179,S183,S187)</f>
        <v>0</v>
      </c>
      <c r="T188" s="307"/>
      <c r="U188" s="307">
        <f>SUM(U159,U163,U167,U171,U175,U179,U183,U187)</f>
        <v>0</v>
      </c>
      <c r="V188" s="240">
        <f>SUM(V159,V163,V167,V171,V175,V179,V183,V187)</f>
        <v>0</v>
      </c>
      <c r="W188" s="243">
        <f>SUM(V188,M188)</f>
        <v>8</v>
      </c>
      <c r="X188" s="244" t="b">
        <f>IF(V188&gt;0,V188/W188,)</f>
        <v>0</v>
      </c>
    </row>
    <row r="189" spans="1:24">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row>
    <row r="190" spans="1:24">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row>
    <row r="191" spans="1:24">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row>
    <row r="192" spans="1:24">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row>
    <row r="193" spans="1:24">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row>
    <row r="194" spans="1:2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row>
    <row r="195" spans="1:24">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row>
    <row r="196" spans="1:24">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row>
    <row r="197" spans="1:24">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row>
    <row r="198" spans="1:24">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row>
    <row r="199" spans="1:24">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row>
    <row r="200" spans="1:24">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row>
    <row r="201" spans="1:24">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row>
    <row r="202" spans="1:24">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row>
    <row r="203" spans="1:24">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row>
    <row r="204" spans="1:2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row>
    <row r="205" spans="1:24">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row>
    <row r="206" spans="1:24">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row>
    <row r="207" spans="1:24">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row>
    <row r="208" spans="1:24">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row>
    <row r="209" spans="1:24">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row>
    <row r="210" spans="1:24">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row>
    <row r="211" spans="1:24">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row>
    <row r="212" spans="1:24">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row>
    <row r="213" spans="1:24">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row>
    <row r="214" spans="1:2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row>
    <row r="215" spans="1:24">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row>
    <row r="216" spans="1:24">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row>
    <row r="217" spans="1:24">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row>
    <row r="218" spans="1:24">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row>
    <row r="219" spans="1:24">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row>
    <row r="220" spans="1:24">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row>
    <row r="221" spans="1:24">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row>
    <row r="222" spans="1:24">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row>
    <row r="223" spans="1:24">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row>
    <row r="224" spans="1: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row>
    <row r="225" spans="1:24">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row>
    <row r="226" spans="1:24">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row>
    <row r="227" spans="1:24">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row>
    <row r="228" spans="1:24">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row>
    <row r="229" spans="1:24">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row>
    <row r="230" spans="1:24">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row>
    <row r="231" spans="1:24">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row>
    <row r="232" spans="1:24">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row>
    <row r="233" spans="1:24">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row>
    <row r="234" spans="1:2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row>
    <row r="235" spans="1:24">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row>
    <row r="236" spans="1:24">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row>
    <row r="237" spans="1:24">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row>
    <row r="238" spans="1:24">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row>
    <row r="239" spans="1:24">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row>
    <row r="240" spans="1:24">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row>
    <row r="241" spans="1:24">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row>
    <row r="242" spans="1:24">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row>
    <row r="243" spans="1:24">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row>
    <row r="244" spans="1:2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row>
    <row r="245" spans="1:24">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row>
    <row r="246" spans="1:24">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row>
    <row r="247" spans="1:24">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row>
    <row r="248" spans="1:24">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row>
    <row r="249" spans="1:24">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row>
    <row r="250" spans="1:24">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row>
    <row r="251" spans="1:24">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row>
    <row r="252" spans="1:24">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row>
    <row r="253" spans="1:24">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row>
    <row r="254" spans="1:2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row>
    <row r="255" spans="1:24">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row>
    <row r="256" spans="1:24">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row>
    <row r="257" spans="1:24">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row>
    <row r="258" spans="1:24">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row>
    <row r="259" spans="1:24">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row>
    <row r="260" spans="1:24">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row>
    <row r="261" spans="1:24">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row>
    <row r="262" spans="1:24">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row>
    <row r="263" spans="1:24">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row>
    <row r="264" spans="1:2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row>
    <row r="265" spans="1:24">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row>
    <row r="266" spans="1:24">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row>
    <row r="267" spans="1:24">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row>
    <row r="268" spans="1:24">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row>
    <row r="269" spans="1:24">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row>
    <row r="270" spans="1:24">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row>
    <row r="271" spans="1:24">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row>
    <row r="272" spans="1:24">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row>
    <row r="273" spans="1:24">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row>
    <row r="274" spans="1:2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row>
    <row r="275" spans="1:24">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row>
    <row r="276" spans="1:24">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row>
    <row r="277" spans="1:24">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row>
    <row r="278" spans="1:24">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row>
    <row r="279" spans="1:24">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row>
    <row r="280" spans="1:24">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row>
    <row r="281" spans="1:24">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row>
    <row r="282" spans="1:24">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row>
    <row r="283" spans="1:24">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row>
    <row r="284" spans="1:2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row>
    <row r="285" spans="1:24">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row>
    <row r="286" spans="1:24">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row>
    <row r="287" spans="1:24">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row>
    <row r="288" spans="1:24">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row>
    <row r="289" spans="1:24">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row>
    <row r="290" spans="1:24">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row>
    <row r="291" spans="1:24">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row>
    <row r="292" spans="1:24">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row>
    <row r="293" spans="1:24">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row>
    <row r="294" spans="1:2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row>
    <row r="295" spans="1:24">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row>
    <row r="296" spans="1:24">
      <c r="A296" s="58"/>
      <c r="B296" s="58"/>
      <c r="C296" s="58"/>
      <c r="D296" s="58"/>
      <c r="E296" s="58"/>
      <c r="F296" s="58"/>
      <c r="G296" s="58"/>
      <c r="H296" s="58"/>
      <c r="I296" s="58"/>
      <c r="J296" s="58"/>
      <c r="L296" s="58"/>
      <c r="M296" s="58"/>
      <c r="N296" s="58"/>
      <c r="O296" s="58"/>
      <c r="P296" s="58"/>
      <c r="Q296" s="58"/>
      <c r="R296" s="58"/>
      <c r="S296" s="58"/>
      <c r="U296" s="58"/>
      <c r="V296" s="58"/>
      <c r="W296" s="58"/>
      <c r="X296" s="58"/>
    </row>
  </sheetData>
  <mergeCells>
    <mergeCell ref="A1:X1"/>
    <mergeCell ref="A3:F3"/>
    <mergeCell ref="G3:V3"/>
    <mergeCell ref="E4:V4"/>
    <mergeCell ref="E5:V5"/>
    <mergeCell ref="A4:D4"/>
    <mergeCell ref="A5:D5"/>
    <mergeCell ref="W3:X3"/>
    <mergeCell ref="W4:X4"/>
    <mergeCell ref="W5:X5"/>
    <mergeCell ref="A2:X2"/>
    <mergeCell ref="A6:D6"/>
    <mergeCell ref="E12:L12"/>
    <mergeCell ref="E7:N7"/>
    <mergeCell ref="M6:X6"/>
    <mergeCell ref="A7:D7"/>
    <mergeCell ref="O7:X7"/>
    <mergeCell ref="A10:X10"/>
    <mergeCell ref="N12:U12"/>
    <mergeCell ref="A18:D18"/>
    <mergeCell ref="A15:X15"/>
    <mergeCell ref="B16:D16"/>
    <mergeCell ref="B17:D17"/>
    <mergeCell ref="A14:D14"/>
    <mergeCell ref="E14:L14"/>
    <mergeCell ref="N14:U14"/>
    <mergeCell ref="B37:D37"/>
    <mergeCell ref="B33:D33"/>
    <mergeCell ref="B34:D34"/>
    <mergeCell ref="A35:D35"/>
    <mergeCell ref="A36:X36"/>
    <mergeCell ref="B24:D24"/>
    <mergeCell ref="B25:D25"/>
    <mergeCell ref="A19:X19"/>
    <mergeCell ref="B21:D21"/>
    <mergeCell ref="A23:X23"/>
    <mergeCell ref="A22:D22"/>
    <mergeCell ref="B20:D20"/>
    <mergeCell ref="B28:D28"/>
    <mergeCell ref="B30:D30"/>
    <mergeCell ref="A32:X32"/>
    <mergeCell ref="A26:D26"/>
    <mergeCell ref="A27:X27"/>
    <mergeCell ref="B54:D54"/>
    <mergeCell ref="A56:X56"/>
    <mergeCell ref="B58:D58"/>
    <mergeCell ref="A60:X60"/>
    <mergeCell ref="B57:D57"/>
    <mergeCell ref="B46:D46"/>
    <mergeCell ref="A47:D47"/>
    <mergeCell ref="A48:X48"/>
    <mergeCell ref="B50:D50"/>
    <mergeCell ref="A52:X52"/>
    <mergeCell ref="B53:D53"/>
    <mergeCell ref="B49:D49"/>
    <mergeCell ref="A44:X44"/>
    <mergeCell ref="B45:D45"/>
    <mergeCell ref="B38:D38"/>
    <mergeCell ref="A39:D39"/>
    <mergeCell ref="A40:X40"/>
    <mergeCell ref="B41:D41"/>
    <mergeCell ref="B42:D42"/>
    <mergeCell ref="B73:D73"/>
    <mergeCell ref="B69:D69"/>
    <mergeCell ref="B70:D70"/>
    <mergeCell ref="A72:X72"/>
    <mergeCell ref="A68:X68"/>
    <mergeCell ref="B65:D65"/>
    <mergeCell ref="B66:D66"/>
    <mergeCell ref="B61:D61"/>
    <mergeCell ref="B62:D62"/>
    <mergeCell ref="A64:X64"/>
    <mergeCell ref="A85:D85"/>
    <mergeCell ref="E85:L85"/>
    <mergeCell ref="N85:U85"/>
    <mergeCell ref="A86:X86"/>
    <mergeCell ref="B87:D87"/>
    <mergeCell ref="B74:D74"/>
    <mergeCell ref="A75:D75"/>
    <mergeCell ref="A82:X82"/>
    <mergeCell ref="E83:L83"/>
    <mergeCell ref="N83:U83"/>
    <mergeCell ref="A94:X94"/>
    <mergeCell ref="A97:D97"/>
    <mergeCell ref="A98:X98"/>
    <mergeCell ref="B99:D99"/>
    <mergeCell ref="B100:D100"/>
    <mergeCell ref="B88:D88"/>
    <mergeCell ref="B91:D91"/>
    <mergeCell ref="B92:D92"/>
    <mergeCell ref="A90:X90"/>
    <mergeCell ref="A93:D93"/>
    <mergeCell ref="B95:D95"/>
    <mergeCell ref="B96:D96"/>
    <mergeCell ref="B111:D111"/>
    <mergeCell ref="A114:X114"/>
    <mergeCell ref="A106:X106"/>
    <mergeCell ref="B107:D107"/>
    <mergeCell ref="B108:D108"/>
    <mergeCell ref="A110:X110"/>
    <mergeCell ref="B103:D103"/>
    <mergeCell ref="B104:D104"/>
    <mergeCell ref="A105:D105"/>
    <mergeCell ref="B123:D123"/>
    <mergeCell ref="A122:X122"/>
    <mergeCell ref="B124:D124"/>
    <mergeCell ref="B116:D116"/>
    <mergeCell ref="B119:D119"/>
    <mergeCell ref="B120:D120"/>
    <mergeCell ref="A117:D117"/>
    <mergeCell ref="A118:X118"/>
    <mergeCell ref="B112:D112"/>
    <mergeCell ref="B115:D115"/>
    <mergeCell ref="A138:X138"/>
    <mergeCell ref="B139:D139"/>
    <mergeCell ref="B140:D140"/>
    <mergeCell ref="B132:D132"/>
    <mergeCell ref="B131:D131"/>
    <mergeCell ref="A134:X134"/>
    <mergeCell ref="B135:D135"/>
    <mergeCell ref="A126:X126"/>
    <mergeCell ref="B127:D127"/>
    <mergeCell ref="B128:D128"/>
    <mergeCell ref="A130:X130"/>
    <mergeCell ref="A102:X102"/>
    <mergeCell ref="A109:D109"/>
    <mergeCell ref="B165:D165"/>
    <mergeCell ref="B166:D166"/>
    <mergeCell ref="B170:D170"/>
    <mergeCell ref="B161:D161"/>
    <mergeCell ref="B162:D162"/>
    <mergeCell ref="B169:D169"/>
    <mergeCell ref="A168:X168"/>
    <mergeCell ref="B158:D158"/>
    <mergeCell ref="A160:X160"/>
    <mergeCell ref="A155:D155"/>
    <mergeCell ref="E155:L155"/>
    <mergeCell ref="N155:U155"/>
    <mergeCell ref="A156:X156"/>
    <mergeCell ref="B157:D157"/>
    <mergeCell ref="A152:X152"/>
    <mergeCell ref="E153:L153"/>
    <mergeCell ref="N153:U153"/>
    <mergeCell ref="A142:X142"/>
    <mergeCell ref="B143:D143"/>
    <mergeCell ref="B144:D144"/>
    <mergeCell ref="A145:D145"/>
    <mergeCell ref="B136:D136"/>
    <mergeCell ref="B182:D182"/>
    <mergeCell ref="A184:X184"/>
    <mergeCell ref="B185:D185"/>
    <mergeCell ref="B186:D186"/>
    <mergeCell ref="A164:X164"/>
    <mergeCell ref="A172:X172"/>
    <mergeCell ref="B173:D173"/>
    <mergeCell ref="B174:D174"/>
    <mergeCell ref="A176:X176"/>
    <mergeCell ref="B177:D177"/>
    <mergeCell ref="B178:D178"/>
    <mergeCell ref="A180:X180"/>
    <mergeCell ref="B181:D181"/>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s>
  <sheetData>
    <row r="1" spans="1:18" customHeight="1" ht="15">
      <c r="A1" s="327" t="s">
        <v>203</v>
      </c>
      <c r="B1" s="339"/>
      <c r="C1" s="339"/>
      <c r="D1" s="339"/>
      <c r="E1" s="339"/>
      <c r="F1" s="339"/>
      <c r="G1" s="339"/>
      <c r="H1" s="339"/>
      <c r="I1" s="339"/>
      <c r="J1" s="340"/>
      <c r="K1" s="340"/>
      <c r="L1" s="340"/>
      <c r="M1" s="340"/>
      <c r="N1"/>
      <c r="O1"/>
      <c r="P1"/>
      <c r="R1"/>
    </row>
    <row r="2" spans="1:18" customHeight="1" ht="15">
      <c r="A2" s="341"/>
      <c r="B2" s="342"/>
      <c r="C2" s="342"/>
      <c r="D2" s="342"/>
      <c r="E2" s="342"/>
      <c r="F2" s="342"/>
      <c r="G2" s="342"/>
      <c r="H2" s="342"/>
      <c r="I2" s="342"/>
      <c r="J2" s="343"/>
      <c r="K2" s="343"/>
      <c r="L2" s="343"/>
      <c r="M2" s="343"/>
      <c r="N2"/>
      <c r="O2"/>
      <c r="P2"/>
      <c r="R2"/>
    </row>
    <row r="3" spans="1:18" customHeight="1" ht="15">
      <c r="A3" s="506" t="s">
        <v>204</v>
      </c>
      <c r="B3" s="507"/>
      <c r="C3" s="508" t="s">
        <v>148</v>
      </c>
      <c r="D3" s="509"/>
      <c r="E3" s="509"/>
      <c r="F3" s="510"/>
      <c r="G3" s="508"/>
      <c r="H3" s="509"/>
      <c r="I3" s="510"/>
      <c r="J3" s="25"/>
      <c r="K3" s="25"/>
      <c r="L3" s="25"/>
      <c r="M3" s="25"/>
      <c r="N3"/>
      <c r="O3"/>
      <c r="P3"/>
      <c r="R3"/>
    </row>
    <row r="4" spans="1:18">
      <c r="A4" s="506" t="s">
        <v>205</v>
      </c>
      <c r="B4" s="507"/>
      <c r="C4" s="508" t="s">
        <v>150</v>
      </c>
      <c r="D4" s="509"/>
      <c r="E4" s="509"/>
      <c r="F4" s="510"/>
      <c r="G4" s="6"/>
      <c r="H4" s="6"/>
      <c r="I4" s="6"/>
      <c r="J4" s="25"/>
      <c r="K4" s="25"/>
      <c r="L4" s="25"/>
      <c r="M4" s="25"/>
      <c r="N4"/>
      <c r="O4"/>
      <c r="P4"/>
      <c r="R4"/>
    </row>
    <row r="5" spans="1:18">
      <c r="A5" s="506" t="s">
        <v>206</v>
      </c>
      <c r="B5" s="507"/>
      <c r="C5" s="508" t="s">
        <v>152</v>
      </c>
      <c r="D5" s="509"/>
      <c r="E5" s="509"/>
      <c r="F5" s="510"/>
      <c r="G5" s="6"/>
      <c r="H5" s="6"/>
      <c r="I5" s="6"/>
      <c r="J5" s="25"/>
      <c r="K5" s="25"/>
      <c r="L5" s="25"/>
      <c r="M5" s="25"/>
      <c r="N5"/>
      <c r="O5"/>
      <c r="P5"/>
      <c r="R5"/>
    </row>
    <row r="6" spans="1:18">
      <c r="A6" s="506" t="s">
        <v>207</v>
      </c>
      <c r="B6" s="507"/>
      <c r="C6" s="508" t="s">
        <v>208</v>
      </c>
      <c r="D6" s="509"/>
      <c r="E6" s="509"/>
      <c r="F6" s="510"/>
      <c r="G6" s="6"/>
      <c r="H6" s="6"/>
      <c r="I6" s="6"/>
      <c r="J6" s="25"/>
      <c r="K6" s="25"/>
      <c r="L6" s="25"/>
      <c r="M6" s="25"/>
      <c r="N6"/>
      <c r="O6"/>
      <c r="P6"/>
      <c r="R6"/>
    </row>
    <row r="7" spans="1:18" customHeight="1" ht="15">
      <c r="A7" s="23"/>
      <c r="B7" s="24"/>
      <c r="C7" s="24"/>
      <c r="D7" s="24"/>
      <c r="E7" s="24"/>
      <c r="F7" s="24"/>
      <c r="G7" s="24"/>
      <c r="H7" s="24"/>
      <c r="I7" s="24"/>
      <c r="J7" s="26"/>
      <c r="K7" s="26"/>
      <c r="L7" s="26"/>
      <c r="M7" s="26"/>
      <c r="N7"/>
      <c r="O7"/>
      <c r="P7"/>
      <c r="R7"/>
    </row>
    <row r="8" spans="1:18">
      <c r="R8"/>
    </row>
    <row r="9" spans="1:18" customHeight="1" ht="15">
      <c r="R9"/>
    </row>
    <row r="10" spans="1:18" customHeight="1" ht="15.5">
      <c r="A10" s="1"/>
      <c r="B10" s="37" t="s">
        <v>209</v>
      </c>
      <c r="C10" s="38" t="s">
        <v>209</v>
      </c>
      <c r="D10" s="38" t="s">
        <v>209</v>
      </c>
      <c r="E10" s="38" t="s">
        <v>209</v>
      </c>
      <c r="F10" s="38" t="s">
        <v>209</v>
      </c>
      <c r="G10" s="38" t="s">
        <v>209</v>
      </c>
      <c r="H10" s="38" t="s">
        <v>209</v>
      </c>
      <c r="I10" s="38" t="s">
        <v>209</v>
      </c>
      <c r="J10" s="88" t="s">
        <v>209</v>
      </c>
      <c r="K10" s="88" t="s">
        <v>209</v>
      </c>
      <c r="L10" s="88" t="s">
        <v>209</v>
      </c>
      <c r="M10" s="88" t="s">
        <v>209</v>
      </c>
      <c r="N10" s="39"/>
      <c r="O10"/>
      <c r="P10" s="12" t="s">
        <v>210</v>
      </c>
      <c r="Q10" s="7"/>
      <c r="R10" s="8"/>
    </row>
    <row r="11" spans="1:18" customHeight="1" ht="15">
      <c r="A11" s="32" t="s">
        <v>211</v>
      </c>
      <c r="B11" s="28" t="s">
        <v>212</v>
      </c>
      <c r="C11" s="28"/>
      <c r="D11" s="28"/>
      <c r="E11" s="28"/>
      <c r="F11" s="28"/>
      <c r="G11" s="28"/>
      <c r="H11" s="28"/>
      <c r="I11" s="28"/>
      <c r="J11" s="28"/>
      <c r="K11" s="28"/>
      <c r="L11" s="28"/>
      <c r="M11" s="28"/>
      <c r="N11" s="40"/>
      <c r="O11"/>
      <c r="P11" s="503" t="s">
        <v>213</v>
      </c>
      <c r="Q11" s="328"/>
      <c r="R11" s="20" t="s">
        <v>247</v>
      </c>
    </row>
    <row r="12" spans="1:18">
      <c r="A12" s="15" t="s">
        <v>214</v>
      </c>
      <c r="B12" s="27">
        <v>15</v>
      </c>
      <c r="C12" s="27"/>
      <c r="D12" s="27"/>
      <c r="E12" s="27"/>
      <c r="F12" s="27"/>
      <c r="G12" s="27"/>
      <c r="H12" s="27"/>
      <c r="I12" s="27"/>
      <c r="J12" s="27"/>
      <c r="K12" s="27"/>
      <c r="L12" s="27"/>
      <c r="M12" s="27"/>
      <c r="N12" s="40">
        <f>SUM(B12:J12)</f>
        <v>15</v>
      </c>
      <c r="O12"/>
      <c r="P12" s="504" t="s">
        <v>215</v>
      </c>
      <c r="Q12" s="505"/>
      <c r="R12" s="89" t="s">
        <v>248</v>
      </c>
    </row>
    <row r="13" spans="1:18">
      <c r="A13" s="33" t="s">
        <v>216</v>
      </c>
      <c r="B13" s="29" t="s">
        <v>217</v>
      </c>
      <c r="C13" s="29" t="s">
        <v>218</v>
      </c>
      <c r="D13" s="29" t="s">
        <v>219</v>
      </c>
      <c r="E13" s="29" t="s">
        <v>220</v>
      </c>
      <c r="F13" s="29" t="s">
        <v>221</v>
      </c>
      <c r="G13" s="29" t="s">
        <v>222</v>
      </c>
      <c r="H13" s="29" t="s">
        <v>223</v>
      </c>
      <c r="I13" s="29" t="s">
        <v>224</v>
      </c>
      <c r="J13" s="29" t="s">
        <v>225</v>
      </c>
      <c r="K13" s="29"/>
      <c r="L13" s="29"/>
      <c r="M13" s="29"/>
      <c r="N13" s="40"/>
      <c r="O13"/>
      <c r="P13" s="511" t="s">
        <v>226</v>
      </c>
      <c r="Q13" s="512"/>
      <c r="R13" s="90" t="s">
        <v>249</v>
      </c>
    </row>
    <row r="14" spans="1:18">
      <c r="A14" s="34" t="s">
        <v>214</v>
      </c>
      <c r="B14" s="30">
        <v>20</v>
      </c>
      <c r="C14" s="30">
        <v>25</v>
      </c>
      <c r="D14" s="30">
        <v>20</v>
      </c>
      <c r="E14" s="30">
        <v>1</v>
      </c>
      <c r="F14" s="30">
        <v>17</v>
      </c>
      <c r="G14" s="30">
        <v>4</v>
      </c>
      <c r="H14" s="30">
        <v>1</v>
      </c>
      <c r="I14" s="30">
        <v>10</v>
      </c>
      <c r="J14" s="30">
        <v>23</v>
      </c>
      <c r="K14" s="30"/>
      <c r="L14" s="30"/>
      <c r="M14" s="30"/>
      <c r="N14" s="40">
        <f>SUM(B14:J14)</f>
        <v>121</v>
      </c>
      <c r="O14"/>
      <c r="P14" s="511" t="s">
        <v>227</v>
      </c>
      <c r="Q14" s="512"/>
      <c r="R14" s="90" t="s">
        <v>250</v>
      </c>
    </row>
    <row r="15" spans="1:18">
      <c r="A15" s="35" t="s">
        <v>228</v>
      </c>
      <c r="B15" s="28"/>
      <c r="C15" s="28"/>
      <c r="D15" s="28"/>
      <c r="E15" s="28"/>
      <c r="F15" s="28"/>
      <c r="G15" s="28"/>
      <c r="H15" s="28"/>
      <c r="I15" s="28"/>
      <c r="J15" s="28"/>
      <c r="K15" s="28"/>
      <c r="L15" s="28"/>
      <c r="M15" s="28"/>
      <c r="N15" s="40"/>
      <c r="O15"/>
      <c r="P15" s="513" t="s">
        <v>229</v>
      </c>
      <c r="Q15" s="514"/>
      <c r="R15" s="92" t="s">
        <v>251</v>
      </c>
    </row>
    <row r="16" spans="1:18">
      <c r="A16" s="15" t="s">
        <v>214</v>
      </c>
      <c r="B16" s="27"/>
      <c r="C16" s="27"/>
      <c r="D16" s="27"/>
      <c r="E16" s="27"/>
      <c r="F16" s="27"/>
      <c r="G16" s="27"/>
      <c r="H16" s="27"/>
      <c r="I16" s="27"/>
      <c r="J16" s="27"/>
      <c r="K16" s="27"/>
      <c r="L16" s="27"/>
      <c r="M16" s="27"/>
      <c r="N16" s="40">
        <f>SUM(B16:J16)</f>
        <v>0</v>
      </c>
      <c r="O16"/>
      <c r="P16" s="515" t="s">
        <v>230</v>
      </c>
      <c r="Q16" s="516"/>
      <c r="R16" s="91" t="s">
        <v>252</v>
      </c>
    </row>
    <row r="17" spans="1:18">
      <c r="A17" s="33" t="s">
        <v>231</v>
      </c>
      <c r="B17" s="29"/>
      <c r="C17" s="29"/>
      <c r="D17" s="29"/>
      <c r="E17" s="29"/>
      <c r="F17" s="29"/>
      <c r="G17" s="29"/>
      <c r="H17" s="29"/>
      <c r="I17" s="29"/>
      <c r="J17" s="29"/>
      <c r="K17" s="29"/>
      <c r="L17" s="29"/>
      <c r="M17" s="29"/>
      <c r="N17" s="40"/>
      <c r="O17"/>
      <c r="P17" s="517"/>
      <c r="Q17" s="518"/>
      <c r="R17" s="93"/>
    </row>
    <row r="18" spans="1:18">
      <c r="A18" s="34" t="s">
        <v>214</v>
      </c>
      <c r="B18" s="30"/>
      <c r="C18" s="30"/>
      <c r="D18" s="30"/>
      <c r="E18" s="30"/>
      <c r="F18" s="30"/>
      <c r="G18" s="30"/>
      <c r="H18" s="30"/>
      <c r="I18" s="30"/>
      <c r="J18" s="30"/>
      <c r="K18" s="30"/>
      <c r="L18" s="30"/>
      <c r="M18" s="30"/>
      <c r="N18" s="40">
        <f>SUM(B18:J18)</f>
        <v>0</v>
      </c>
      <c r="O18"/>
      <c r="P18" s="517"/>
      <c r="Q18" s="518"/>
      <c r="R18" s="93"/>
    </row>
    <row r="19" spans="1:18">
      <c r="A19" s="35" t="s">
        <v>232</v>
      </c>
      <c r="B19" s="28"/>
      <c r="C19" s="28"/>
      <c r="D19" s="28"/>
      <c r="E19" s="28"/>
      <c r="F19" s="28"/>
      <c r="G19" s="28"/>
      <c r="H19" s="28"/>
      <c r="I19" s="28"/>
      <c r="J19" s="28"/>
      <c r="K19" s="28"/>
      <c r="L19" s="28"/>
      <c r="M19" s="28"/>
      <c r="N19" s="40"/>
      <c r="O19"/>
      <c r="P19" s="517"/>
      <c r="Q19" s="518"/>
      <c r="R19" s="93"/>
    </row>
    <row r="20" spans="1:18">
      <c r="A20" s="15" t="s">
        <v>214</v>
      </c>
      <c r="B20" s="27"/>
      <c r="C20" s="27"/>
      <c r="D20" s="27"/>
      <c r="E20" s="27"/>
      <c r="F20" s="27"/>
      <c r="G20" s="27"/>
      <c r="H20" s="27"/>
      <c r="I20" s="27"/>
      <c r="J20" s="27"/>
      <c r="K20" s="27"/>
      <c r="L20" s="27"/>
      <c r="M20" s="27"/>
      <c r="N20" s="40">
        <f>SUM(B20:J20)</f>
        <v>0</v>
      </c>
      <c r="O20"/>
      <c r="P20" s="517"/>
      <c r="Q20" s="518"/>
      <c r="R20" s="93"/>
    </row>
    <row r="21" spans="1:18">
      <c r="A21" s="33" t="s">
        <v>233</v>
      </c>
      <c r="B21" s="29"/>
      <c r="C21" s="29"/>
      <c r="D21" s="29"/>
      <c r="E21" s="29"/>
      <c r="F21" s="29"/>
      <c r="G21" s="29"/>
      <c r="H21" s="29"/>
      <c r="I21" s="29"/>
      <c r="J21" s="29"/>
      <c r="K21" s="29"/>
      <c r="L21" s="29"/>
      <c r="M21" s="29"/>
      <c r="N21" s="40"/>
      <c r="O21"/>
      <c r="P21" s="517"/>
      <c r="Q21" s="518"/>
      <c r="R21" s="93"/>
    </row>
    <row r="22" spans="1:18">
      <c r="A22" s="34" t="s">
        <v>214</v>
      </c>
      <c r="B22" s="30"/>
      <c r="C22" s="30"/>
      <c r="D22" s="30"/>
      <c r="E22" s="30"/>
      <c r="F22" s="30"/>
      <c r="G22" s="30"/>
      <c r="H22" s="30"/>
      <c r="I22" s="30"/>
      <c r="J22" s="30"/>
      <c r="K22" s="30"/>
      <c r="L22" s="30"/>
      <c r="M22" s="30"/>
      <c r="N22" s="40">
        <f>SUM(B22:J22)</f>
        <v>0</v>
      </c>
      <c r="O22"/>
      <c r="P22" s="517"/>
      <c r="Q22" s="518"/>
      <c r="R22" s="93"/>
    </row>
    <row r="23" spans="1:18">
      <c r="A23" s="35" t="s">
        <v>234</v>
      </c>
      <c r="B23" s="28" t="s">
        <v>235</v>
      </c>
      <c r="C23" s="28" t="s">
        <v>236</v>
      </c>
      <c r="D23" s="28"/>
      <c r="E23" s="28"/>
      <c r="F23" s="28"/>
      <c r="G23" s="28"/>
      <c r="H23" s="28"/>
      <c r="I23" s="28"/>
      <c r="J23" s="28"/>
      <c r="K23" s="28"/>
      <c r="L23" s="28"/>
      <c r="M23" s="28"/>
      <c r="N23" s="40"/>
      <c r="O23"/>
      <c r="P23" s="517"/>
      <c r="Q23" s="518"/>
      <c r="R23" s="93"/>
    </row>
    <row r="24" spans="1:18">
      <c r="A24" s="15" t="s">
        <v>214</v>
      </c>
      <c r="B24" s="27">
        <v>34</v>
      </c>
      <c r="C24" s="27">
        <v>29</v>
      </c>
      <c r="D24" s="27"/>
      <c r="E24" s="27"/>
      <c r="F24" s="27"/>
      <c r="G24" s="27"/>
      <c r="H24" s="27"/>
      <c r="I24" s="27"/>
      <c r="J24" s="27"/>
      <c r="K24" s="27"/>
      <c r="L24" s="27"/>
      <c r="M24" s="27"/>
      <c r="N24" s="40">
        <f>SUM(B24:J24)</f>
        <v>63</v>
      </c>
      <c r="O24"/>
      <c r="P24" s="517"/>
      <c r="Q24" s="518"/>
      <c r="R24" s="93"/>
    </row>
    <row r="25" spans="1:18">
      <c r="A25" s="33" t="s">
        <v>237</v>
      </c>
      <c r="B25" s="29" t="s">
        <v>238</v>
      </c>
      <c r="C25" s="29" t="s">
        <v>239</v>
      </c>
      <c r="D25" s="29"/>
      <c r="E25" s="29"/>
      <c r="F25" s="29"/>
      <c r="G25" s="29"/>
      <c r="H25" s="29"/>
      <c r="I25" s="29"/>
      <c r="J25" s="29"/>
      <c r="K25" s="29"/>
      <c r="L25" s="29"/>
      <c r="M25" s="29"/>
      <c r="N25" s="40"/>
      <c r="O25"/>
      <c r="P25" s="517"/>
      <c r="Q25" s="518"/>
      <c r="R25" s="93"/>
    </row>
    <row r="26" spans="1:18">
      <c r="A26" s="34" t="s">
        <v>214</v>
      </c>
      <c r="B26" s="30">
        <v>26</v>
      </c>
      <c r="C26" s="30">
        <v>36</v>
      </c>
      <c r="D26" s="30"/>
      <c r="E26" s="30"/>
      <c r="F26" s="30"/>
      <c r="G26" s="30"/>
      <c r="H26" s="30"/>
      <c r="I26" s="30"/>
      <c r="J26" s="30"/>
      <c r="K26" s="30"/>
      <c r="L26" s="30"/>
      <c r="M26" s="30"/>
      <c r="N26" s="40">
        <f>SUM(B26:J26)</f>
        <v>62</v>
      </c>
      <c r="O26"/>
      <c r="P26" s="517"/>
      <c r="Q26" s="518"/>
      <c r="R26" s="93"/>
    </row>
    <row r="27" spans="1:18">
      <c r="A27" s="35" t="s">
        <v>240</v>
      </c>
      <c r="B27" s="28" t="s">
        <v>241</v>
      </c>
      <c r="C27" s="28"/>
      <c r="D27" s="28"/>
      <c r="E27" s="28"/>
      <c r="F27" s="28"/>
      <c r="G27" s="28"/>
      <c r="H27" s="28"/>
      <c r="I27" s="28"/>
      <c r="J27" s="28"/>
      <c r="K27" s="28"/>
      <c r="L27" s="28"/>
      <c r="M27" s="28"/>
      <c r="N27" s="40"/>
      <c r="O27"/>
      <c r="P27" s="517"/>
      <c r="Q27" s="518"/>
      <c r="R27" s="93"/>
    </row>
    <row r="28" spans="1:18">
      <c r="A28" s="15" t="s">
        <v>214</v>
      </c>
      <c r="B28" s="27">
        <v>23</v>
      </c>
      <c r="C28" s="27"/>
      <c r="D28" s="27"/>
      <c r="E28" s="27"/>
      <c r="F28" s="27"/>
      <c r="G28" s="27"/>
      <c r="H28" s="27"/>
      <c r="I28" s="27"/>
      <c r="J28" s="27"/>
      <c r="K28" s="27"/>
      <c r="L28" s="27"/>
      <c r="M28" s="27"/>
      <c r="N28" s="40">
        <f>SUM(B28:J28)</f>
        <v>23</v>
      </c>
      <c r="O28"/>
      <c r="P28" s="517"/>
      <c r="Q28" s="518"/>
      <c r="R28" s="93"/>
    </row>
    <row r="29" spans="1:18">
      <c r="A29" s="33" t="s">
        <v>242</v>
      </c>
      <c r="B29" s="29" t="s">
        <v>243</v>
      </c>
      <c r="C29" s="29" t="s">
        <v>244</v>
      </c>
      <c r="D29" s="29"/>
      <c r="E29" s="29"/>
      <c r="F29" s="29"/>
      <c r="G29" s="29"/>
      <c r="H29" s="29"/>
      <c r="I29" s="29"/>
      <c r="J29" s="29"/>
      <c r="K29" s="29"/>
      <c r="L29" s="29"/>
      <c r="M29" s="29"/>
      <c r="N29" s="40"/>
      <c r="O29"/>
      <c r="P29" s="517"/>
      <c r="Q29" s="518"/>
      <c r="R29" s="93"/>
    </row>
    <row r="30" spans="1:18">
      <c r="A30" s="34" t="s">
        <v>214</v>
      </c>
      <c r="B30" s="30">
        <v>16</v>
      </c>
      <c r="C30" s="30">
        <v>25</v>
      </c>
      <c r="D30" s="30"/>
      <c r="E30" s="30"/>
      <c r="F30" s="30"/>
      <c r="G30" s="30"/>
      <c r="H30" s="30"/>
      <c r="I30" s="30"/>
      <c r="J30" s="30"/>
      <c r="K30" s="30"/>
      <c r="L30" s="30"/>
      <c r="M30" s="30"/>
      <c r="N30" s="40">
        <f>SUM(B30:J30)</f>
        <v>41</v>
      </c>
      <c r="O30"/>
      <c r="P30" s="517"/>
      <c r="Q30" s="518"/>
      <c r="R30" s="93"/>
    </row>
    <row r="31" spans="1:18">
      <c r="A31" s="35" t="s">
        <v>245</v>
      </c>
      <c r="B31" s="28"/>
      <c r="C31" s="28"/>
      <c r="D31" s="28"/>
      <c r="E31" s="28"/>
      <c r="F31" s="28"/>
      <c r="G31" s="28"/>
      <c r="H31" s="28"/>
      <c r="I31" s="28"/>
      <c r="J31" s="28"/>
      <c r="K31" s="28"/>
      <c r="L31" s="28"/>
      <c r="M31" s="28"/>
      <c r="N31" s="40"/>
      <c r="O31"/>
      <c r="P31" s="517"/>
      <c r="Q31" s="518"/>
      <c r="R31" s="93"/>
    </row>
    <row r="32" spans="1:18">
      <c r="A32" s="15" t="s">
        <v>214</v>
      </c>
      <c r="B32" s="27"/>
      <c r="C32" s="27"/>
      <c r="D32" s="27"/>
      <c r="E32" s="27"/>
      <c r="F32" s="27"/>
      <c r="G32" s="27"/>
      <c r="H32" s="27"/>
      <c r="I32" s="27"/>
      <c r="J32" s="27"/>
      <c r="K32" s="27"/>
      <c r="L32" s="27"/>
      <c r="M32" s="27"/>
      <c r="N32" s="40">
        <f>SUM(B32:J32)</f>
        <v>0</v>
      </c>
      <c r="O32"/>
      <c r="P32" s="511"/>
      <c r="Q32" s="512"/>
      <c r="R32" s="90"/>
    </row>
    <row r="33" spans="1:18">
      <c r="A33" s="33" t="s">
        <v>246</v>
      </c>
      <c r="B33" s="29"/>
      <c r="C33" s="29"/>
      <c r="D33" s="29"/>
      <c r="E33" s="29"/>
      <c r="F33" s="29"/>
      <c r="G33" s="29"/>
      <c r="H33" s="29"/>
      <c r="I33" s="29"/>
      <c r="J33" s="29"/>
      <c r="K33" s="29"/>
      <c r="L33" s="29"/>
      <c r="M33" s="29"/>
      <c r="N33" s="40"/>
      <c r="O33"/>
      <c r="P33" s="511"/>
      <c r="Q33" s="512"/>
      <c r="R33" s="90"/>
    </row>
    <row r="34" spans="1:18" customHeight="1" ht="15">
      <c r="A34" s="36" t="s">
        <v>214</v>
      </c>
      <c r="B34" s="31"/>
      <c r="C34" s="31"/>
      <c r="D34" s="31"/>
      <c r="E34" s="31"/>
      <c r="F34" s="31"/>
      <c r="G34" s="31"/>
      <c r="H34" s="31"/>
      <c r="I34" s="31"/>
      <c r="J34" s="31"/>
      <c r="K34" s="31"/>
      <c r="L34" s="31"/>
      <c r="M34" s="31"/>
      <c r="N34" s="41">
        <f>SUM(B34:J34)</f>
        <v>0</v>
      </c>
      <c r="O34"/>
      <c r="P34" s="335"/>
      <c r="Q34" s="336"/>
      <c r="R34" s="22"/>
    </row>
    <row r="35" spans="1:18" customHeight="1" ht="15.5">
      <c r="P35"/>
      <c r="R35"/>
    </row>
    <row r="36" spans="1:18" customHeight="1" ht="15.5">
      <c r="N36" s="77">
        <f>SUM(N12,N14,N16,N18,N20,N22,N24,N26,N28,N30,N32,N34)</f>
        <v>325</v>
      </c>
      <c r="R36"/>
    </row>
  </sheetData>
  <sheetProtection formatCells="0" formatColumns="0" formatRows="0" insertColumns="0" insertRows="0" insertHyperlinks="0" deleteColumns="0" deleteRows="0" sort="0" autoFilter="0" pivotTables="0"/>
  <mergeCells>
    <mergeCell ref="P33:Q33"/>
    <mergeCell ref="P34:Q34"/>
    <mergeCell ref="P28:Q28"/>
    <mergeCell ref="P29:Q29"/>
    <mergeCell ref="P30:Q30"/>
    <mergeCell ref="P31:Q31"/>
    <mergeCell ref="P32:Q32"/>
    <mergeCell ref="P23:Q23"/>
    <mergeCell ref="P24:Q24"/>
    <mergeCell ref="P25:Q25"/>
    <mergeCell ref="P26:Q26"/>
    <mergeCell ref="P27:Q27"/>
    <mergeCell ref="P18:Q18"/>
    <mergeCell ref="P19:Q19"/>
    <mergeCell ref="P20:Q20"/>
    <mergeCell ref="P21:Q21"/>
    <mergeCell ref="P22:Q22"/>
    <mergeCell ref="P13:Q13"/>
    <mergeCell ref="P14:Q14"/>
    <mergeCell ref="P15:Q15"/>
    <mergeCell ref="P16:Q16"/>
    <mergeCell ref="P17:Q17"/>
    <mergeCell ref="P11:Q11"/>
    <mergeCell ref="P12:Q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27" t="s">
        <v>253</v>
      </c>
      <c r="B1" s="339"/>
      <c r="C1" s="339"/>
      <c r="D1" s="339"/>
      <c r="E1" s="339"/>
      <c r="F1" s="339"/>
      <c r="G1" s="339"/>
      <c r="H1" s="339"/>
      <c r="I1" s="339"/>
      <c r="J1" s="340"/>
      <c r="K1"/>
      <c r="L1"/>
      <c r="M1"/>
      <c r="O1"/>
    </row>
    <row r="2" spans="1:15" customHeight="1" ht="15">
      <c r="A2" s="341"/>
      <c r="B2" s="342"/>
      <c r="C2" s="342"/>
      <c r="D2" s="342"/>
      <c r="E2" s="342"/>
      <c r="F2" s="342"/>
      <c r="G2" s="342"/>
      <c r="H2" s="342"/>
      <c r="I2" s="342"/>
      <c r="J2" s="343"/>
      <c r="K2"/>
      <c r="L2"/>
      <c r="M2"/>
      <c r="O2"/>
    </row>
    <row r="3" spans="1:15" customHeight="1" ht="15">
      <c r="A3" s="506" t="s">
        <v>204</v>
      </c>
      <c r="B3" s="507"/>
      <c r="C3" s="508" t="s">
        <v>148</v>
      </c>
      <c r="D3" s="509"/>
      <c r="E3" s="509"/>
      <c r="F3" s="510"/>
      <c r="G3" s="508"/>
      <c r="H3" s="509"/>
      <c r="I3" s="510"/>
      <c r="J3" s="25"/>
      <c r="K3"/>
      <c r="L3"/>
      <c r="M3"/>
      <c r="O3"/>
    </row>
    <row r="4" spans="1:15">
      <c r="A4" s="506" t="s">
        <v>205</v>
      </c>
      <c r="B4" s="507"/>
      <c r="C4" s="508" t="s">
        <v>150</v>
      </c>
      <c r="D4" s="509"/>
      <c r="E4" s="509"/>
      <c r="F4" s="510"/>
      <c r="G4" s="6"/>
      <c r="H4" s="6"/>
      <c r="I4" s="6"/>
      <c r="J4" s="25"/>
      <c r="K4"/>
      <c r="L4"/>
      <c r="M4"/>
      <c r="O4"/>
    </row>
    <row r="5" spans="1:15">
      <c r="A5" s="506" t="s">
        <v>206</v>
      </c>
      <c r="B5" s="507"/>
      <c r="C5" s="508" t="s">
        <v>152</v>
      </c>
      <c r="D5" s="509"/>
      <c r="E5" s="509"/>
      <c r="F5" s="510"/>
      <c r="G5" s="6"/>
      <c r="H5" s="6"/>
      <c r="I5" s="6"/>
      <c r="J5" s="25"/>
      <c r="K5"/>
      <c r="L5"/>
      <c r="M5"/>
      <c r="O5"/>
    </row>
    <row r="6" spans="1:15">
      <c r="A6" s="506" t="s">
        <v>207</v>
      </c>
      <c r="B6" s="507"/>
      <c r="C6" s="508" t="s">
        <v>208</v>
      </c>
      <c r="D6" s="509"/>
      <c r="E6" s="509"/>
      <c r="F6" s="510"/>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209</v>
      </c>
      <c r="C10" s="38" t="s">
        <v>209</v>
      </c>
      <c r="D10" s="38" t="s">
        <v>209</v>
      </c>
      <c r="E10" s="38" t="s">
        <v>209</v>
      </c>
      <c r="F10" s="38" t="s">
        <v>209</v>
      </c>
      <c r="G10" s="38" t="s">
        <v>209</v>
      </c>
      <c r="H10" s="38" t="s">
        <v>209</v>
      </c>
      <c r="I10" s="38" t="s">
        <v>209</v>
      </c>
      <c r="J10" s="88" t="s">
        <v>209</v>
      </c>
      <c r="K10" s="178"/>
      <c r="L10"/>
      <c r="M10" s="519" t="s">
        <v>254</v>
      </c>
      <c r="N10" s="520"/>
      <c r="O10" s="521"/>
    </row>
    <row r="11" spans="1:15" customHeight="1" ht="15">
      <c r="A11" s="32" t="s">
        <v>211</v>
      </c>
      <c r="B11" s="28"/>
      <c r="C11" s="28"/>
      <c r="D11" s="28"/>
      <c r="E11" s="28"/>
      <c r="F11" s="28"/>
      <c r="G11" s="28"/>
      <c r="H11" s="28"/>
      <c r="I11" s="28"/>
      <c r="J11" s="28"/>
      <c r="K11" s="179"/>
      <c r="L11"/>
      <c r="M11" s="522" t="s">
        <v>255</v>
      </c>
      <c r="N11" s="523"/>
      <c r="O11" s="20">
        <v>12</v>
      </c>
    </row>
    <row r="12" spans="1:15">
      <c r="A12" s="15" t="s">
        <v>214</v>
      </c>
      <c r="B12" s="27"/>
      <c r="C12" s="27"/>
      <c r="D12" s="27"/>
      <c r="E12" s="27"/>
      <c r="F12" s="27"/>
      <c r="G12" s="27"/>
      <c r="H12" s="27"/>
      <c r="I12" s="27"/>
      <c r="J12" s="27"/>
      <c r="K12" s="179">
        <f>SUM(B12:J12)</f>
        <v>0</v>
      </c>
      <c r="L12"/>
      <c r="M12" s="524" t="s">
        <v>256</v>
      </c>
      <c r="N12" s="525"/>
      <c r="O12" s="89">
        <f>K36</f>
        <v>239</v>
      </c>
    </row>
    <row r="13" spans="1:15">
      <c r="A13" s="33" t="s">
        <v>216</v>
      </c>
      <c r="B13" s="29" t="s">
        <v>257</v>
      </c>
      <c r="C13" s="29"/>
      <c r="D13" s="29"/>
      <c r="E13" s="29"/>
      <c r="F13" s="29"/>
      <c r="G13" s="29"/>
      <c r="H13" s="29"/>
      <c r="I13" s="29"/>
      <c r="J13" s="29"/>
      <c r="K13" s="179"/>
      <c r="L13"/>
      <c r="M13" s="511"/>
      <c r="N13" s="512"/>
      <c r="O13" s="90"/>
    </row>
    <row r="14" spans="1:15">
      <c r="A14" s="34" t="s">
        <v>214</v>
      </c>
      <c r="B14" s="30">
        <v>7</v>
      </c>
      <c r="C14" s="30"/>
      <c r="D14" s="30"/>
      <c r="E14" s="30"/>
      <c r="F14" s="30"/>
      <c r="G14" s="30"/>
      <c r="H14" s="30"/>
      <c r="I14" s="30"/>
      <c r="J14" s="30"/>
      <c r="K14" s="179">
        <f>SUM(B14:J14)</f>
        <v>7</v>
      </c>
      <c r="L14"/>
      <c r="M14" s="511"/>
      <c r="N14" s="512"/>
      <c r="O14" s="90"/>
    </row>
    <row r="15" spans="1:15">
      <c r="A15" s="35" t="s">
        <v>228</v>
      </c>
      <c r="B15" s="28" t="s">
        <v>258</v>
      </c>
      <c r="C15" s="28" t="s">
        <v>259</v>
      </c>
      <c r="D15" s="28" t="s">
        <v>260</v>
      </c>
      <c r="E15" s="28" t="s">
        <v>261</v>
      </c>
      <c r="F15" s="28" t="s">
        <v>262</v>
      </c>
      <c r="G15" s="28" t="s">
        <v>263</v>
      </c>
      <c r="H15" s="28"/>
      <c r="I15" s="28"/>
      <c r="J15" s="28"/>
      <c r="K15" s="179"/>
      <c r="L15"/>
      <c r="M15" s="513"/>
      <c r="N15" s="514"/>
      <c r="O15" s="92"/>
    </row>
    <row r="16" spans="1:15">
      <c r="A16" s="15" t="s">
        <v>214</v>
      </c>
      <c r="B16" s="27">
        <v>19</v>
      </c>
      <c r="C16" s="27">
        <v>25</v>
      </c>
      <c r="D16" s="27">
        <v>24</v>
      </c>
      <c r="E16" s="27">
        <v>9</v>
      </c>
      <c r="F16" s="27">
        <v>28</v>
      </c>
      <c r="G16" s="27">
        <v>26</v>
      </c>
      <c r="H16" s="27"/>
      <c r="I16" s="27"/>
      <c r="J16" s="27"/>
      <c r="K16" s="179">
        <f>SUM(B16:J16)</f>
        <v>131</v>
      </c>
      <c r="L16"/>
      <c r="M16" s="515"/>
      <c r="N16" s="516"/>
      <c r="O16" s="91"/>
    </row>
    <row r="17" spans="1:15">
      <c r="A17" s="33" t="s">
        <v>231</v>
      </c>
      <c r="B17" s="29"/>
      <c r="C17" s="29"/>
      <c r="D17" s="29"/>
      <c r="E17" s="29"/>
      <c r="F17" s="29"/>
      <c r="G17" s="29"/>
      <c r="H17" s="29"/>
      <c r="I17" s="29"/>
      <c r="J17" s="29"/>
      <c r="K17" s="179"/>
      <c r="L17"/>
      <c r="M17" s="517"/>
      <c r="N17" s="518"/>
      <c r="O17" s="93"/>
    </row>
    <row r="18" spans="1:15">
      <c r="A18" s="34" t="s">
        <v>214</v>
      </c>
      <c r="B18" s="30"/>
      <c r="C18" s="30"/>
      <c r="D18" s="30"/>
      <c r="E18" s="30"/>
      <c r="F18" s="30"/>
      <c r="G18" s="30"/>
      <c r="H18" s="30"/>
      <c r="I18" s="30"/>
      <c r="J18" s="30"/>
      <c r="K18" s="179">
        <f>SUM(B18:J18)</f>
        <v>0</v>
      </c>
      <c r="L18"/>
      <c r="M18" s="517"/>
      <c r="N18" s="518"/>
      <c r="O18" s="93"/>
    </row>
    <row r="19" spans="1:15">
      <c r="A19" s="35" t="s">
        <v>232</v>
      </c>
      <c r="B19" s="28"/>
      <c r="C19" s="28"/>
      <c r="D19" s="28"/>
      <c r="E19" s="28"/>
      <c r="F19" s="28"/>
      <c r="G19" s="28"/>
      <c r="H19" s="28"/>
      <c r="I19" s="28"/>
      <c r="J19" s="28"/>
      <c r="K19" s="179"/>
      <c r="L19"/>
      <c r="M19" s="517"/>
      <c r="N19" s="518"/>
      <c r="O19" s="93"/>
    </row>
    <row r="20" spans="1:15">
      <c r="A20" s="15" t="s">
        <v>214</v>
      </c>
      <c r="B20" s="27"/>
      <c r="C20" s="27"/>
      <c r="D20" s="27"/>
      <c r="E20" s="27"/>
      <c r="F20" s="27"/>
      <c r="G20" s="27"/>
      <c r="H20" s="27"/>
      <c r="I20" s="27"/>
      <c r="J20" s="27"/>
      <c r="K20" s="179">
        <f>SUM(B20:J20)</f>
        <v>0</v>
      </c>
      <c r="L20"/>
      <c r="M20" s="517"/>
      <c r="N20" s="518"/>
      <c r="O20" s="93"/>
    </row>
    <row r="21" spans="1:15">
      <c r="A21" s="33" t="s">
        <v>233</v>
      </c>
      <c r="B21" s="29"/>
      <c r="C21" s="29"/>
      <c r="D21" s="29"/>
      <c r="E21" s="29"/>
      <c r="F21" s="29"/>
      <c r="G21" s="29"/>
      <c r="H21" s="29"/>
      <c r="I21" s="29"/>
      <c r="J21" s="29"/>
      <c r="K21" s="179"/>
      <c r="L21"/>
      <c r="M21" s="517"/>
      <c r="N21" s="518"/>
      <c r="O21" s="93"/>
    </row>
    <row r="22" spans="1:15">
      <c r="A22" s="34" t="s">
        <v>214</v>
      </c>
      <c r="B22" s="30"/>
      <c r="C22" s="30"/>
      <c r="D22" s="30"/>
      <c r="E22" s="30"/>
      <c r="F22" s="30"/>
      <c r="G22" s="30"/>
      <c r="H22" s="30"/>
      <c r="I22" s="30"/>
      <c r="J22" s="30"/>
      <c r="K22" s="179">
        <f>SUM(B22:J22)</f>
        <v>0</v>
      </c>
      <c r="L22"/>
      <c r="M22" s="517"/>
      <c r="N22" s="518"/>
      <c r="O22" s="93"/>
    </row>
    <row r="23" spans="1:15">
      <c r="A23" s="35" t="s">
        <v>234</v>
      </c>
      <c r="B23" s="28" t="s">
        <v>264</v>
      </c>
      <c r="C23" s="28" t="s">
        <v>265</v>
      </c>
      <c r="D23" s="28"/>
      <c r="E23" s="28"/>
      <c r="F23" s="28"/>
      <c r="G23" s="28"/>
      <c r="H23" s="28"/>
      <c r="I23" s="28"/>
      <c r="J23" s="28"/>
      <c r="K23" s="179"/>
      <c r="L23"/>
      <c r="M23" s="517"/>
      <c r="N23" s="518"/>
      <c r="O23" s="93"/>
    </row>
    <row r="24" spans="1:15">
      <c r="A24" s="15" t="s">
        <v>214</v>
      </c>
      <c r="B24" s="27">
        <v>27</v>
      </c>
      <c r="C24" s="27">
        <v>27</v>
      </c>
      <c r="D24" s="27"/>
      <c r="E24" s="27"/>
      <c r="F24" s="27"/>
      <c r="G24" s="27"/>
      <c r="H24" s="27"/>
      <c r="I24" s="27"/>
      <c r="J24" s="27"/>
      <c r="K24" s="179">
        <f>SUM(B24:J24)</f>
        <v>54</v>
      </c>
      <c r="L24"/>
      <c r="M24" s="517"/>
      <c r="N24" s="518"/>
      <c r="O24" s="93"/>
    </row>
    <row r="25" spans="1:15">
      <c r="A25" s="33" t="s">
        <v>237</v>
      </c>
      <c r="B25" s="29" t="s">
        <v>239</v>
      </c>
      <c r="C25" s="29" t="s">
        <v>266</v>
      </c>
      <c r="D25" s="29"/>
      <c r="E25" s="29"/>
      <c r="F25" s="29"/>
      <c r="G25" s="29"/>
      <c r="H25" s="29"/>
      <c r="I25" s="29"/>
      <c r="J25" s="29"/>
      <c r="K25" s="179"/>
      <c r="L25"/>
      <c r="M25" s="517"/>
      <c r="N25" s="518"/>
      <c r="O25" s="93"/>
    </row>
    <row r="26" spans="1:15">
      <c r="A26" s="34" t="s">
        <v>214</v>
      </c>
      <c r="B26" s="30">
        <v>24</v>
      </c>
      <c r="C26" s="30">
        <v>15</v>
      </c>
      <c r="D26" s="30"/>
      <c r="E26" s="30"/>
      <c r="F26" s="30"/>
      <c r="G26" s="30"/>
      <c r="H26" s="30"/>
      <c r="I26" s="30"/>
      <c r="J26" s="30"/>
      <c r="K26" s="179">
        <f>SUM(B26:J26)</f>
        <v>39</v>
      </c>
      <c r="L26"/>
      <c r="M26" s="517"/>
      <c r="N26" s="518"/>
      <c r="O26" s="93"/>
    </row>
    <row r="27" spans="1:15">
      <c r="A27" s="35" t="s">
        <v>240</v>
      </c>
      <c r="B27" s="28"/>
      <c r="C27" s="28"/>
      <c r="D27" s="28"/>
      <c r="E27" s="28"/>
      <c r="F27" s="28"/>
      <c r="G27" s="28"/>
      <c r="H27" s="28"/>
      <c r="I27" s="28"/>
      <c r="J27" s="28"/>
      <c r="K27" s="179"/>
      <c r="L27"/>
      <c r="M27" s="517"/>
      <c r="N27" s="518"/>
      <c r="O27" s="93"/>
    </row>
    <row r="28" spans="1:15">
      <c r="A28" s="15" t="s">
        <v>214</v>
      </c>
      <c r="B28" s="27"/>
      <c r="C28" s="27"/>
      <c r="D28" s="27"/>
      <c r="E28" s="27"/>
      <c r="F28" s="27"/>
      <c r="G28" s="27"/>
      <c r="H28" s="27"/>
      <c r="I28" s="27"/>
      <c r="J28" s="27"/>
      <c r="K28" s="179">
        <f>SUM(B28:J28)</f>
        <v>0</v>
      </c>
      <c r="L28"/>
      <c r="M28" s="517"/>
      <c r="N28" s="518"/>
      <c r="O28" s="93"/>
    </row>
    <row r="29" spans="1:15">
      <c r="A29" s="33" t="s">
        <v>242</v>
      </c>
      <c r="B29" s="29"/>
      <c r="C29" s="29"/>
      <c r="D29" s="29"/>
      <c r="E29" s="29"/>
      <c r="F29" s="29"/>
      <c r="G29" s="29"/>
      <c r="H29" s="29"/>
      <c r="I29" s="29"/>
      <c r="J29" s="29"/>
      <c r="K29" s="179"/>
      <c r="L29"/>
      <c r="M29" s="517"/>
      <c r="N29" s="518"/>
      <c r="O29" s="93"/>
    </row>
    <row r="30" spans="1:15">
      <c r="A30" s="34" t="s">
        <v>214</v>
      </c>
      <c r="B30" s="30"/>
      <c r="C30" s="30"/>
      <c r="D30" s="30"/>
      <c r="E30" s="30"/>
      <c r="F30" s="30"/>
      <c r="G30" s="30"/>
      <c r="H30" s="30"/>
      <c r="I30" s="30"/>
      <c r="J30" s="30"/>
      <c r="K30" s="179">
        <f>SUM(B30:J30)</f>
        <v>0</v>
      </c>
      <c r="L30"/>
      <c r="M30" s="517"/>
      <c r="N30" s="518"/>
      <c r="O30" s="93"/>
    </row>
    <row r="31" spans="1:15">
      <c r="A31" s="35" t="s">
        <v>245</v>
      </c>
      <c r="B31" s="28" t="s">
        <v>267</v>
      </c>
      <c r="C31" s="28"/>
      <c r="D31" s="28"/>
      <c r="E31" s="28"/>
      <c r="F31" s="28"/>
      <c r="G31" s="28"/>
      <c r="H31" s="28"/>
      <c r="I31" s="28"/>
      <c r="J31" s="28"/>
      <c r="K31" s="179"/>
      <c r="L31"/>
      <c r="M31" s="517"/>
      <c r="N31" s="518"/>
      <c r="O31" s="93"/>
    </row>
    <row r="32" spans="1:15">
      <c r="A32" s="15" t="s">
        <v>214</v>
      </c>
      <c r="B32" s="27">
        <v>8</v>
      </c>
      <c r="C32" s="27"/>
      <c r="D32" s="27"/>
      <c r="E32" s="27"/>
      <c r="F32" s="27"/>
      <c r="G32" s="27"/>
      <c r="H32" s="27"/>
      <c r="I32" s="27"/>
      <c r="J32" s="27"/>
      <c r="K32" s="179">
        <f>SUM(B32:J32)</f>
        <v>8</v>
      </c>
      <c r="L32"/>
      <c r="M32" s="511"/>
      <c r="N32" s="512"/>
      <c r="O32" s="90"/>
    </row>
    <row r="33" spans="1:15">
      <c r="A33" s="33" t="s">
        <v>246</v>
      </c>
      <c r="B33" s="29"/>
      <c r="C33" s="29"/>
      <c r="D33" s="29"/>
      <c r="E33" s="29"/>
      <c r="F33" s="29"/>
      <c r="G33" s="29"/>
      <c r="H33" s="29"/>
      <c r="I33" s="29"/>
      <c r="J33" s="29"/>
      <c r="K33" s="179"/>
      <c r="L33"/>
      <c r="M33" s="511"/>
      <c r="N33" s="512"/>
      <c r="O33" s="90"/>
    </row>
    <row r="34" spans="1:15" customHeight="1" ht="15">
      <c r="A34" s="36" t="s">
        <v>214</v>
      </c>
      <c r="B34" s="31"/>
      <c r="C34" s="31"/>
      <c r="D34" s="31"/>
      <c r="E34" s="31"/>
      <c r="F34" s="31"/>
      <c r="G34" s="31"/>
      <c r="H34" s="31"/>
      <c r="I34" s="31"/>
      <c r="J34" s="31"/>
      <c r="K34" s="180">
        <f>SUM(B34:J34)</f>
        <v>0</v>
      </c>
      <c r="L34"/>
      <c r="M34" s="335"/>
      <c r="N34" s="336"/>
      <c r="O34" s="22"/>
    </row>
    <row r="35" spans="1:15" customHeight="1" ht="15.5">
      <c r="M35"/>
      <c r="O35"/>
    </row>
    <row r="36" spans="1:15" customHeight="1" ht="15.5">
      <c r="K36" s="77">
        <f>SUM(K12,K14,K16,K18,K20,K22,K24,K26,K28,K30,K32,K34)</f>
        <v>239</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44" t="s">
        <v>268</v>
      </c>
      <c r="D2" s="545"/>
      <c r="E2" s="545"/>
      <c r="F2" s="545"/>
      <c r="G2" s="545"/>
      <c r="H2" s="545"/>
      <c r="I2" s="545"/>
      <c r="J2" s="546"/>
      <c r="K2" s="544" t="s">
        <v>269</v>
      </c>
      <c r="L2" s="545"/>
      <c r="M2" s="545"/>
      <c r="N2" s="545"/>
      <c r="O2" s="545"/>
      <c r="P2" s="545"/>
      <c r="Q2" s="545"/>
      <c r="R2" s="546"/>
      <c r="S2" s="544" t="s">
        <v>270</v>
      </c>
      <c r="T2" s="545"/>
      <c r="U2" s="545"/>
      <c r="V2" s="545"/>
      <c r="W2" s="545"/>
      <c r="X2" s="545"/>
      <c r="Y2" s="545"/>
      <c r="Z2" s="546"/>
      <c r="AA2" s="13"/>
      <c r="AB2" s="42">
        <v>2</v>
      </c>
      <c r="AC2" s="13"/>
      <c r="AD2" s="544" t="s">
        <v>271</v>
      </c>
      <c r="AE2" s="545"/>
      <c r="AF2" s="545"/>
      <c r="AG2" s="545"/>
      <c r="AH2" s="545"/>
      <c r="AI2" s="545"/>
      <c r="AJ2" s="545"/>
      <c r="AK2" s="546"/>
      <c r="AL2" s="544" t="s">
        <v>272</v>
      </c>
      <c r="AM2" s="545"/>
      <c r="AN2" s="545"/>
      <c r="AO2" s="545"/>
      <c r="AP2" s="545"/>
      <c r="AQ2" s="545"/>
      <c r="AR2" s="545"/>
      <c r="AS2" s="546"/>
      <c r="AT2" s="544" t="s">
        <v>273</v>
      </c>
      <c r="AU2" s="545"/>
      <c r="AV2" s="545"/>
      <c r="AW2" s="545"/>
      <c r="AX2" s="545"/>
      <c r="AY2" s="545"/>
      <c r="AZ2" s="545"/>
      <c r="BA2" s="546"/>
    </row>
    <row r="3" spans="1:53" customHeight="1" ht="152.25">
      <c r="C3" s="49" t="s">
        <v>274</v>
      </c>
      <c r="D3" s="50" t="s">
        <v>275</v>
      </c>
      <c r="E3" s="50" t="s">
        <v>276</v>
      </c>
      <c r="F3" s="50" t="s">
        <v>277</v>
      </c>
      <c r="G3" s="185" t="s">
        <v>278</v>
      </c>
      <c r="H3" s="50" t="s">
        <v>279</v>
      </c>
      <c r="I3" s="50" t="s">
        <v>280</v>
      </c>
      <c r="J3" s="51" t="s">
        <v>281</v>
      </c>
      <c r="K3" s="49" t="s">
        <v>274</v>
      </c>
      <c r="L3" s="50" t="s">
        <v>275</v>
      </c>
      <c r="M3" s="50" t="s">
        <v>276</v>
      </c>
      <c r="N3" s="50" t="s">
        <v>277</v>
      </c>
      <c r="O3" s="50" t="s">
        <v>278</v>
      </c>
      <c r="P3" s="50" t="s">
        <v>279</v>
      </c>
      <c r="Q3" s="50" t="s">
        <v>280</v>
      </c>
      <c r="R3" s="51" t="s">
        <v>281</v>
      </c>
      <c r="S3" s="49" t="s">
        <v>274</v>
      </c>
      <c r="T3" s="50" t="s">
        <v>275</v>
      </c>
      <c r="U3" s="50" t="s">
        <v>276</v>
      </c>
      <c r="V3" s="50" t="s">
        <v>277</v>
      </c>
      <c r="W3" s="50" t="s">
        <v>278</v>
      </c>
      <c r="X3" s="50" t="s">
        <v>279</v>
      </c>
      <c r="Y3" s="50" t="s">
        <v>280</v>
      </c>
      <c r="Z3" s="51" t="s">
        <v>281</v>
      </c>
      <c r="AD3" s="46" t="s">
        <v>274</v>
      </c>
      <c r="AE3" s="47" t="s">
        <v>275</v>
      </c>
      <c r="AF3" s="47" t="s">
        <v>276</v>
      </c>
      <c r="AG3" s="47" t="s">
        <v>277</v>
      </c>
      <c r="AH3" s="47" t="s">
        <v>278</v>
      </c>
      <c r="AI3" s="47" t="s">
        <v>279</v>
      </c>
      <c r="AJ3" s="47" t="s">
        <v>280</v>
      </c>
      <c r="AK3" s="48" t="s">
        <v>281</v>
      </c>
      <c r="AL3" s="46" t="s">
        <v>274</v>
      </c>
      <c r="AM3" s="47" t="s">
        <v>275</v>
      </c>
      <c r="AN3" s="47" t="s">
        <v>276</v>
      </c>
      <c r="AO3" s="47" t="s">
        <v>277</v>
      </c>
      <c r="AP3" s="47" t="s">
        <v>278</v>
      </c>
      <c r="AQ3" s="47" t="s">
        <v>279</v>
      </c>
      <c r="AR3" s="47" t="s">
        <v>280</v>
      </c>
      <c r="AS3" s="48" t="s">
        <v>281</v>
      </c>
      <c r="AT3" s="46" t="s">
        <v>274</v>
      </c>
      <c r="AU3" s="47" t="s">
        <v>275</v>
      </c>
      <c r="AV3" s="47" t="s">
        <v>276</v>
      </c>
      <c r="AW3" s="47" t="s">
        <v>277</v>
      </c>
      <c r="AX3" s="47" t="s">
        <v>278</v>
      </c>
      <c r="AY3" s="47" t="s">
        <v>279</v>
      </c>
      <c r="AZ3" s="47" t="s">
        <v>280</v>
      </c>
      <c r="BA3" s="48" t="s">
        <v>281</v>
      </c>
    </row>
    <row r="4" spans="1:53">
      <c r="A4" s="1" t="s">
        <v>282</v>
      </c>
      <c r="B4" s="2" t="s">
        <v>283</v>
      </c>
      <c r="C4" s="43"/>
      <c r="D4" s="13"/>
      <c r="E4" s="13"/>
      <c r="F4" s="13"/>
      <c r="G4" s="13"/>
      <c r="H4" s="13"/>
      <c r="I4" s="13"/>
      <c r="J4" s="78"/>
      <c r="K4" s="43"/>
      <c r="L4" s="13"/>
      <c r="M4" s="13"/>
      <c r="N4" s="13"/>
      <c r="O4" s="13">
        <v>4</v>
      </c>
      <c r="P4" s="13">
        <v>1</v>
      </c>
      <c r="Q4" s="13"/>
      <c r="R4" s="78"/>
      <c r="S4" s="43"/>
      <c r="T4" s="13"/>
      <c r="U4" s="13"/>
      <c r="V4" s="13"/>
      <c r="W4" s="13">
        <v>10</v>
      </c>
      <c r="X4" s="13"/>
      <c r="Y4" s="13"/>
      <c r="Z4" s="78"/>
      <c r="AB4" s="1" t="s">
        <v>282</v>
      </c>
      <c r="AC4" s="2" t="s">
        <v>283</v>
      </c>
      <c r="AD4" s="43"/>
      <c r="AE4" s="13"/>
      <c r="AF4" s="13"/>
      <c r="AG4" s="13">
        <v>1</v>
      </c>
      <c r="AH4" s="13"/>
      <c r="AI4" s="13"/>
      <c r="AJ4" s="13"/>
      <c r="AK4" s="78"/>
      <c r="AL4" s="43"/>
      <c r="AM4" s="13"/>
      <c r="AN4" s="13"/>
      <c r="AO4" s="13"/>
      <c r="AP4" s="13"/>
      <c r="AQ4" s="13"/>
      <c r="AR4" s="13"/>
      <c r="AS4" s="78"/>
      <c r="AT4" s="43"/>
      <c r="AU4" s="13"/>
      <c r="AV4" s="13"/>
      <c r="AW4" s="13"/>
      <c r="AX4" s="13"/>
      <c r="AY4" s="13">
        <v>1</v>
      </c>
      <c r="AZ4" s="13"/>
      <c r="BA4" s="78"/>
    </row>
    <row r="5" spans="1:53">
      <c r="A5" s="82"/>
      <c r="B5" s="9" t="s">
        <v>284</v>
      </c>
      <c r="C5" s="43"/>
      <c r="D5" s="13"/>
      <c r="E5" s="13">
        <v>1</v>
      </c>
      <c r="F5" s="13"/>
      <c r="G5" s="13"/>
      <c r="H5" s="13"/>
      <c r="I5" s="13"/>
      <c r="J5" s="78"/>
      <c r="K5" s="43"/>
      <c r="L5" s="13"/>
      <c r="M5" s="13"/>
      <c r="N5" s="13"/>
      <c r="O5" s="13">
        <v>11</v>
      </c>
      <c r="P5" s="13"/>
      <c r="Q5" s="13"/>
      <c r="R5" s="78"/>
      <c r="S5" s="43"/>
      <c r="T5" s="13"/>
      <c r="U5" s="13"/>
      <c r="V5" s="13"/>
      <c r="W5" s="13"/>
      <c r="X5" s="13"/>
      <c r="Y5" s="13"/>
      <c r="Z5" s="78"/>
      <c r="AB5" s="82"/>
      <c r="AC5" s="9" t="s">
        <v>284</v>
      </c>
      <c r="AD5" s="43"/>
      <c r="AE5" s="13"/>
      <c r="AF5" s="13"/>
      <c r="AG5" s="13">
        <v>1</v>
      </c>
      <c r="AH5" s="13"/>
      <c r="AI5" s="13"/>
      <c r="AJ5" s="13"/>
      <c r="AK5" s="78">
        <v>1</v>
      </c>
      <c r="AL5" s="43"/>
      <c r="AM5" s="13"/>
      <c r="AN5" s="13"/>
      <c r="AO5" s="13"/>
      <c r="AP5" s="13"/>
      <c r="AQ5" s="13"/>
      <c r="AR5" s="13"/>
      <c r="AS5" s="78"/>
      <c r="AT5" s="43"/>
      <c r="AU5" s="13"/>
      <c r="AV5" s="13"/>
      <c r="AW5" s="13"/>
      <c r="AX5" s="13"/>
      <c r="AY5" s="13"/>
      <c r="AZ5" s="13"/>
      <c r="BA5" s="78"/>
    </row>
    <row r="6" spans="1:53">
      <c r="A6" s="82"/>
      <c r="B6" s="9" t="s">
        <v>285</v>
      </c>
      <c r="C6" s="43"/>
      <c r="D6" s="13"/>
      <c r="E6" s="13">
        <v>1</v>
      </c>
      <c r="F6" s="13"/>
      <c r="G6" s="13"/>
      <c r="H6" s="13"/>
      <c r="I6" s="13"/>
      <c r="J6" s="78"/>
      <c r="K6" s="43"/>
      <c r="L6" s="13"/>
      <c r="M6" s="13"/>
      <c r="N6" s="13"/>
      <c r="O6" s="13"/>
      <c r="P6" s="13"/>
      <c r="Q6" s="13"/>
      <c r="R6" s="78"/>
      <c r="S6" s="43"/>
      <c r="T6" s="13"/>
      <c r="U6" s="13"/>
      <c r="V6" s="13"/>
      <c r="W6" s="13"/>
      <c r="X6" s="13"/>
      <c r="Y6" s="13"/>
      <c r="Z6" s="78"/>
      <c r="AB6" s="82"/>
      <c r="AC6" s="9" t="s">
        <v>285</v>
      </c>
      <c r="AD6" s="43"/>
      <c r="AE6" s="13"/>
      <c r="AF6" s="13"/>
      <c r="AG6" s="13">
        <v>1</v>
      </c>
      <c r="AH6" s="13"/>
      <c r="AI6" s="13"/>
      <c r="AJ6" s="13"/>
      <c r="AK6" s="78">
        <v>2</v>
      </c>
      <c r="AL6" s="43"/>
      <c r="AM6" s="13"/>
      <c r="AN6" s="13"/>
      <c r="AO6" s="13"/>
      <c r="AP6" s="13"/>
      <c r="AQ6" s="13"/>
      <c r="AR6" s="13"/>
      <c r="AS6" s="78"/>
      <c r="AT6" s="43"/>
      <c r="AU6" s="13"/>
      <c r="AV6" s="13"/>
      <c r="AW6" s="13"/>
      <c r="AX6" s="13"/>
      <c r="AY6" s="13"/>
      <c r="AZ6" s="13"/>
      <c r="BA6" s="78"/>
    </row>
    <row r="7" spans="1:53">
      <c r="A7" s="82" t="s">
        <v>286</v>
      </c>
      <c r="B7" s="9" t="s">
        <v>283</v>
      </c>
      <c r="C7" s="43"/>
      <c r="D7" s="13"/>
      <c r="E7" s="13">
        <v>1</v>
      </c>
      <c r="F7" s="13"/>
      <c r="G7" s="13"/>
      <c r="H7" s="13">
        <v>1</v>
      </c>
      <c r="I7" s="13"/>
      <c r="J7" s="78"/>
      <c r="K7" s="43"/>
      <c r="L7" s="13"/>
      <c r="M7" s="13"/>
      <c r="N7" s="13"/>
      <c r="O7" s="13"/>
      <c r="P7" s="13">
        <v>1</v>
      </c>
      <c r="Q7" s="13"/>
      <c r="R7" s="78"/>
      <c r="S7" s="43">
        <v>1</v>
      </c>
      <c r="T7" s="13"/>
      <c r="U7" s="13"/>
      <c r="V7" s="13"/>
      <c r="W7" s="13">
        <v>21</v>
      </c>
      <c r="X7" s="13">
        <v>1</v>
      </c>
      <c r="Y7" s="13"/>
      <c r="Z7" s="78"/>
      <c r="AB7" s="82" t="s">
        <v>286</v>
      </c>
      <c r="AC7" s="9" t="s">
        <v>283</v>
      </c>
      <c r="AD7" s="43"/>
      <c r="AE7" s="13"/>
      <c r="AF7" s="13"/>
      <c r="AG7" s="13">
        <v>1</v>
      </c>
      <c r="AH7" s="13"/>
      <c r="AI7" s="13"/>
      <c r="AJ7" s="13"/>
      <c r="AK7" s="78">
        <v>3</v>
      </c>
      <c r="AL7" s="43"/>
      <c r="AM7" s="13"/>
      <c r="AN7" s="13"/>
      <c r="AO7" s="13"/>
      <c r="AP7" s="13"/>
      <c r="AQ7" s="13"/>
      <c r="AR7" s="13"/>
      <c r="AS7" s="78"/>
      <c r="AT7" s="43"/>
      <c r="AU7" s="13"/>
      <c r="AV7" s="13"/>
      <c r="AW7" s="13"/>
      <c r="AX7" s="13"/>
      <c r="AY7" s="13"/>
      <c r="AZ7" s="13"/>
      <c r="BA7" s="78"/>
    </row>
    <row r="8" spans="1:53">
      <c r="A8" s="82"/>
      <c r="B8" s="9" t="s">
        <v>284</v>
      </c>
      <c r="C8" s="43"/>
      <c r="D8" s="13"/>
      <c r="E8" s="13">
        <v>1</v>
      </c>
      <c r="F8" s="13"/>
      <c r="G8" s="13"/>
      <c r="H8" s="13"/>
      <c r="I8" s="13"/>
      <c r="J8" s="78"/>
      <c r="K8" s="43"/>
      <c r="L8" s="13"/>
      <c r="M8" s="13"/>
      <c r="N8" s="13"/>
      <c r="O8" s="13"/>
      <c r="P8" s="13"/>
      <c r="Q8" s="13"/>
      <c r="R8" s="78"/>
      <c r="S8" s="43"/>
      <c r="T8" s="13"/>
      <c r="U8" s="13"/>
      <c r="V8" s="13"/>
      <c r="W8" s="13"/>
      <c r="X8" s="13"/>
      <c r="Y8" s="13"/>
      <c r="Z8" s="78"/>
      <c r="AB8" s="82"/>
      <c r="AC8" s="9" t="s">
        <v>284</v>
      </c>
      <c r="AD8" s="43"/>
      <c r="AE8" s="13"/>
      <c r="AF8" s="13"/>
      <c r="AG8" s="13">
        <v>1</v>
      </c>
      <c r="AH8" s="13"/>
      <c r="AI8" s="13"/>
      <c r="AJ8" s="13"/>
      <c r="AK8" s="78">
        <v>1</v>
      </c>
      <c r="AL8" s="43"/>
      <c r="AM8" s="13"/>
      <c r="AN8" s="13"/>
      <c r="AO8" s="13"/>
      <c r="AP8" s="13"/>
      <c r="AQ8" s="13"/>
      <c r="AR8" s="13"/>
      <c r="AS8" s="78"/>
      <c r="AT8" s="43"/>
      <c r="AU8" s="13"/>
      <c r="AV8" s="13"/>
      <c r="AW8" s="13"/>
      <c r="AX8" s="13"/>
      <c r="AY8" s="13"/>
      <c r="AZ8" s="13"/>
      <c r="BA8" s="78"/>
    </row>
    <row r="9" spans="1:53">
      <c r="A9" s="82"/>
      <c r="B9" s="9" t="s">
        <v>285</v>
      </c>
      <c r="C9" s="43"/>
      <c r="D9" s="13"/>
      <c r="E9" s="13"/>
      <c r="F9" s="13"/>
      <c r="G9" s="13"/>
      <c r="H9" s="13"/>
      <c r="I9" s="13"/>
      <c r="J9" s="78"/>
      <c r="K9" s="43"/>
      <c r="L9" s="13"/>
      <c r="M9" s="13"/>
      <c r="N9" s="13"/>
      <c r="O9" s="13"/>
      <c r="P9" s="13"/>
      <c r="Q9" s="13"/>
      <c r="R9" s="78"/>
      <c r="S9" s="43"/>
      <c r="T9" s="13"/>
      <c r="U9" s="13"/>
      <c r="V9" s="13"/>
      <c r="W9" s="13"/>
      <c r="X9" s="13"/>
      <c r="Y9" s="13"/>
      <c r="Z9" s="78"/>
      <c r="AB9" s="82"/>
      <c r="AC9" s="9" t="s">
        <v>285</v>
      </c>
      <c r="AD9" s="43"/>
      <c r="AE9" s="13"/>
      <c r="AF9" s="13"/>
      <c r="AG9" s="13">
        <v>1</v>
      </c>
      <c r="AH9" s="13"/>
      <c r="AI9" s="13"/>
      <c r="AJ9" s="13"/>
      <c r="AK9" s="78">
        <v>2</v>
      </c>
      <c r="AL9" s="43"/>
      <c r="AM9" s="13"/>
      <c r="AN9" s="13"/>
      <c r="AO9" s="13"/>
      <c r="AP9" s="13"/>
      <c r="AQ9" s="13"/>
      <c r="AR9" s="13"/>
      <c r="AS9" s="78"/>
      <c r="AT9" s="43"/>
      <c r="AU9" s="13"/>
      <c r="AV9" s="13"/>
      <c r="AW9" s="13"/>
      <c r="AX9" s="13"/>
      <c r="AY9" s="13"/>
      <c r="AZ9" s="13"/>
      <c r="BA9" s="78"/>
    </row>
    <row r="10" spans="1:53">
      <c r="A10" s="82" t="s">
        <v>287</v>
      </c>
      <c r="B10" s="9" t="s">
        <v>283</v>
      </c>
      <c r="C10" s="43"/>
      <c r="D10" s="13"/>
      <c r="E10" s="13"/>
      <c r="F10" s="13"/>
      <c r="G10" s="13"/>
      <c r="H10" s="13"/>
      <c r="I10" s="13"/>
      <c r="J10" s="78"/>
      <c r="K10" s="43"/>
      <c r="L10" s="13"/>
      <c r="M10" s="13"/>
      <c r="N10" s="13"/>
      <c r="O10" s="13"/>
      <c r="P10" s="13">
        <v>1</v>
      </c>
      <c r="Q10" s="13"/>
      <c r="R10" s="78"/>
      <c r="S10" s="43"/>
      <c r="T10" s="13"/>
      <c r="U10" s="13"/>
      <c r="V10" s="13"/>
      <c r="W10" s="13">
        <v>26</v>
      </c>
      <c r="X10" s="13"/>
      <c r="Y10" s="13"/>
      <c r="Z10" s="78"/>
      <c r="AB10" s="82" t="s">
        <v>287</v>
      </c>
      <c r="AC10" s="9" t="s">
        <v>283</v>
      </c>
      <c r="AD10" s="43"/>
      <c r="AE10" s="13"/>
      <c r="AF10" s="13"/>
      <c r="AG10" s="13"/>
      <c r="AH10" s="13"/>
      <c r="AI10" s="13"/>
      <c r="AJ10" s="13"/>
      <c r="AK10" s="78">
        <v>2</v>
      </c>
      <c r="AL10" s="43"/>
      <c r="AM10" s="13"/>
      <c r="AN10" s="13"/>
      <c r="AO10" s="13"/>
      <c r="AP10" s="13"/>
      <c r="AQ10" s="13"/>
      <c r="AR10" s="13"/>
      <c r="AS10" s="78"/>
      <c r="AT10" s="43"/>
      <c r="AU10" s="13"/>
      <c r="AV10" s="13"/>
      <c r="AW10" s="13"/>
      <c r="AX10" s="13"/>
      <c r="AY10" s="13"/>
      <c r="AZ10" s="13"/>
      <c r="BA10" s="78"/>
    </row>
    <row r="11" spans="1:53">
      <c r="A11" s="82"/>
      <c r="B11" s="9" t="s">
        <v>284</v>
      </c>
      <c r="C11" s="43"/>
      <c r="D11" s="13"/>
      <c r="E11" s="13"/>
      <c r="F11" s="13"/>
      <c r="G11" s="13"/>
      <c r="H11" s="13"/>
      <c r="I11" s="13"/>
      <c r="J11" s="78"/>
      <c r="K11" s="43"/>
      <c r="L11" s="13"/>
      <c r="M11" s="13"/>
      <c r="N11" s="13"/>
      <c r="O11" s="13"/>
      <c r="P11" s="13"/>
      <c r="Q11" s="13"/>
      <c r="R11" s="78"/>
      <c r="S11" s="43"/>
      <c r="T11" s="13"/>
      <c r="U11" s="13"/>
      <c r="V11" s="13"/>
      <c r="W11" s="13">
        <v>22</v>
      </c>
      <c r="X11" s="13"/>
      <c r="Y11" s="13"/>
      <c r="Z11" s="78"/>
      <c r="AB11" s="82"/>
      <c r="AC11" s="9" t="s">
        <v>284</v>
      </c>
      <c r="AD11" s="43"/>
      <c r="AE11" s="13"/>
      <c r="AF11" s="13"/>
      <c r="AG11" s="13"/>
      <c r="AH11" s="13"/>
      <c r="AI11" s="13"/>
      <c r="AJ11" s="13"/>
      <c r="AK11" s="78">
        <v>1</v>
      </c>
      <c r="AL11" s="43"/>
      <c r="AM11" s="13"/>
      <c r="AN11" s="13"/>
      <c r="AO11" s="13"/>
      <c r="AP11" s="13"/>
      <c r="AQ11" s="13"/>
      <c r="AR11" s="13"/>
      <c r="AS11" s="78"/>
      <c r="AT11" s="43"/>
      <c r="AU11" s="13"/>
      <c r="AV11" s="13"/>
      <c r="AW11" s="13"/>
      <c r="AX11" s="13"/>
      <c r="AY11" s="13"/>
      <c r="AZ11" s="13"/>
      <c r="BA11" s="78"/>
    </row>
    <row r="12" spans="1:53">
      <c r="A12" s="82"/>
      <c r="B12" s="9" t="s">
        <v>285</v>
      </c>
      <c r="C12" s="43"/>
      <c r="D12" s="13"/>
      <c r="E12" s="13"/>
      <c r="F12" s="13"/>
      <c r="G12" s="13"/>
      <c r="H12" s="13"/>
      <c r="I12" s="13"/>
      <c r="J12" s="78"/>
      <c r="K12" s="43"/>
      <c r="L12" s="13"/>
      <c r="M12" s="13"/>
      <c r="N12" s="13"/>
      <c r="O12" s="13"/>
      <c r="P12" s="13"/>
      <c r="Q12" s="13"/>
      <c r="R12" s="78"/>
      <c r="S12" s="43"/>
      <c r="T12" s="13"/>
      <c r="U12" s="13"/>
      <c r="V12" s="13"/>
      <c r="W12" s="13"/>
      <c r="X12" s="13"/>
      <c r="Y12" s="13"/>
      <c r="Z12" s="78"/>
      <c r="AB12" s="82"/>
      <c r="AC12" s="9" t="s">
        <v>285</v>
      </c>
      <c r="AD12" s="43"/>
      <c r="AE12" s="13"/>
      <c r="AF12" s="13"/>
      <c r="AG12" s="13"/>
      <c r="AH12" s="13"/>
      <c r="AI12" s="13"/>
      <c r="AJ12" s="13"/>
      <c r="AK12" s="78">
        <v>1</v>
      </c>
      <c r="AL12" s="43"/>
      <c r="AM12" s="13"/>
      <c r="AN12" s="13"/>
      <c r="AO12" s="13"/>
      <c r="AP12" s="13"/>
      <c r="AQ12" s="13"/>
      <c r="AR12" s="13"/>
      <c r="AS12" s="78"/>
      <c r="AT12" s="43"/>
      <c r="AU12" s="13"/>
      <c r="AV12" s="13"/>
      <c r="AW12" s="13"/>
      <c r="AX12" s="13"/>
      <c r="AY12" s="13"/>
      <c r="AZ12" s="13"/>
      <c r="BA12" s="78"/>
    </row>
    <row r="13" spans="1:53">
      <c r="A13" s="82" t="s">
        <v>288</v>
      </c>
      <c r="B13" s="9" t="s">
        <v>283</v>
      </c>
      <c r="C13" s="43"/>
      <c r="D13" s="13"/>
      <c r="E13" s="13"/>
      <c r="F13" s="13"/>
      <c r="G13" s="13"/>
      <c r="H13" s="13"/>
      <c r="I13" s="13"/>
      <c r="J13" s="78"/>
      <c r="K13" s="43"/>
      <c r="L13" s="13"/>
      <c r="M13" s="13"/>
      <c r="N13" s="13"/>
      <c r="O13" s="13"/>
      <c r="P13" s="13"/>
      <c r="Q13" s="13"/>
      <c r="R13" s="78"/>
      <c r="S13" s="43"/>
      <c r="T13" s="13"/>
      <c r="U13" s="13"/>
      <c r="V13" s="13"/>
      <c r="W13" s="13">
        <v>4</v>
      </c>
      <c r="X13" s="13"/>
      <c r="Y13" s="13"/>
      <c r="Z13" s="78"/>
      <c r="AB13" s="82" t="s">
        <v>288</v>
      </c>
      <c r="AC13" s="9" t="s">
        <v>283</v>
      </c>
      <c r="AD13" s="43"/>
      <c r="AE13" s="13"/>
      <c r="AF13" s="13"/>
      <c r="AG13" s="13"/>
      <c r="AH13" s="13"/>
      <c r="AI13" s="13"/>
      <c r="AJ13" s="13">
        <v>1</v>
      </c>
      <c r="AK13" s="78">
        <v>1</v>
      </c>
      <c r="AL13" s="43">
        <v>1</v>
      </c>
      <c r="AM13" s="13"/>
      <c r="AN13" s="13"/>
      <c r="AO13" s="13"/>
      <c r="AP13" s="13"/>
      <c r="AQ13" s="13"/>
      <c r="AR13" s="13"/>
      <c r="AS13" s="78"/>
      <c r="AT13" s="43"/>
      <c r="AU13" s="13"/>
      <c r="AV13" s="13"/>
      <c r="AW13" s="13"/>
      <c r="AX13" s="13"/>
      <c r="AY13" s="13">
        <v>1</v>
      </c>
      <c r="AZ13" s="13"/>
      <c r="BA13" s="78"/>
    </row>
    <row r="14" spans="1:53">
      <c r="A14" s="82"/>
      <c r="B14" s="9" t="s">
        <v>284</v>
      </c>
      <c r="C14" s="43"/>
      <c r="D14" s="13"/>
      <c r="E14" s="13"/>
      <c r="F14" s="13"/>
      <c r="G14" s="13"/>
      <c r="H14" s="13"/>
      <c r="I14" s="13"/>
      <c r="J14" s="78"/>
      <c r="K14" s="43"/>
      <c r="L14" s="13"/>
      <c r="M14" s="13"/>
      <c r="N14" s="13"/>
      <c r="O14" s="13"/>
      <c r="P14" s="13"/>
      <c r="Q14" s="13"/>
      <c r="R14" s="78"/>
      <c r="S14" s="43"/>
      <c r="T14" s="13"/>
      <c r="U14" s="13"/>
      <c r="V14" s="13"/>
      <c r="W14" s="13"/>
      <c r="X14" s="13"/>
      <c r="Y14" s="13"/>
      <c r="Z14" s="78"/>
      <c r="AB14" s="82"/>
      <c r="AC14" s="9" t="s">
        <v>284</v>
      </c>
      <c r="AD14" s="43"/>
      <c r="AE14" s="13"/>
      <c r="AF14" s="13"/>
      <c r="AG14" s="13"/>
      <c r="AH14" s="13"/>
      <c r="AI14" s="13"/>
      <c r="AJ14" s="13"/>
      <c r="AK14" s="78"/>
      <c r="AL14" s="43"/>
      <c r="AM14" s="13"/>
      <c r="AN14" s="13"/>
      <c r="AO14" s="13"/>
      <c r="AP14" s="13"/>
      <c r="AQ14" s="13"/>
      <c r="AR14" s="13"/>
      <c r="AS14" s="78"/>
      <c r="AT14" s="43"/>
      <c r="AU14" s="13"/>
      <c r="AV14" s="13"/>
      <c r="AW14" s="13"/>
      <c r="AX14" s="13"/>
      <c r="AY14" s="13"/>
      <c r="AZ14" s="13"/>
      <c r="BA14" s="78"/>
    </row>
    <row r="15" spans="1:53">
      <c r="A15" s="82"/>
      <c r="B15" s="9" t="s">
        <v>285</v>
      </c>
      <c r="C15" s="43"/>
      <c r="D15" s="13"/>
      <c r="E15" s="13"/>
      <c r="F15" s="13"/>
      <c r="G15" s="13"/>
      <c r="H15" s="13"/>
      <c r="I15" s="13"/>
      <c r="J15" s="78"/>
      <c r="K15" s="43"/>
      <c r="L15" s="13"/>
      <c r="M15" s="13"/>
      <c r="N15" s="13"/>
      <c r="O15" s="13"/>
      <c r="P15" s="13"/>
      <c r="Q15" s="13"/>
      <c r="R15" s="78"/>
      <c r="S15" s="43"/>
      <c r="T15" s="13"/>
      <c r="U15" s="13"/>
      <c r="V15" s="13"/>
      <c r="W15" s="13"/>
      <c r="X15" s="13"/>
      <c r="Y15" s="13"/>
      <c r="Z15" s="78"/>
      <c r="AB15" s="82"/>
      <c r="AC15" s="9" t="s">
        <v>285</v>
      </c>
      <c r="AD15" s="43"/>
      <c r="AE15" s="13"/>
      <c r="AF15" s="13"/>
      <c r="AG15" s="13"/>
      <c r="AH15" s="13"/>
      <c r="AI15" s="13"/>
      <c r="AJ15" s="13"/>
      <c r="AK15" s="78"/>
      <c r="AL15" s="43"/>
      <c r="AM15" s="13"/>
      <c r="AN15" s="13"/>
      <c r="AO15" s="13"/>
      <c r="AP15" s="13"/>
      <c r="AQ15" s="13"/>
      <c r="AR15" s="13"/>
      <c r="AS15" s="78"/>
      <c r="AT15" s="43"/>
      <c r="AU15" s="13"/>
      <c r="AV15" s="13"/>
      <c r="AW15" s="13"/>
      <c r="AX15" s="13"/>
      <c r="AY15" s="13"/>
      <c r="AZ15" s="13"/>
      <c r="BA15" s="78"/>
    </row>
    <row r="16" spans="1:53">
      <c r="A16" s="82" t="s">
        <v>289</v>
      </c>
      <c r="B16" s="9" t="s">
        <v>283</v>
      </c>
      <c r="C16" s="43"/>
      <c r="D16" s="13"/>
      <c r="E16" s="13"/>
      <c r="F16" s="13"/>
      <c r="G16" s="13"/>
      <c r="H16" s="13"/>
      <c r="I16" s="13"/>
      <c r="J16" s="78"/>
      <c r="K16" s="43"/>
      <c r="L16" s="13"/>
      <c r="M16" s="13"/>
      <c r="N16" s="13"/>
      <c r="O16" s="13"/>
      <c r="P16" s="13"/>
      <c r="Q16" s="13"/>
      <c r="R16" s="78"/>
      <c r="S16" s="43"/>
      <c r="T16" s="13"/>
      <c r="U16" s="13"/>
      <c r="V16" s="13"/>
      <c r="W16" s="13">
        <v>26</v>
      </c>
      <c r="X16" s="13">
        <v>1</v>
      </c>
      <c r="Y16" s="13"/>
      <c r="Z16" s="78"/>
      <c r="AB16" s="82" t="s">
        <v>289</v>
      </c>
      <c r="AC16" s="9" t="s">
        <v>283</v>
      </c>
      <c r="AD16" s="43"/>
      <c r="AE16" s="13"/>
      <c r="AF16" s="13"/>
      <c r="AG16" s="13"/>
      <c r="AH16" s="13"/>
      <c r="AI16" s="13"/>
      <c r="AJ16" s="13"/>
      <c r="AK16" s="78"/>
      <c r="AL16" s="43"/>
      <c r="AM16" s="13"/>
      <c r="AN16" s="13"/>
      <c r="AO16" s="13"/>
      <c r="AP16" s="13"/>
      <c r="AQ16" s="13">
        <v>1</v>
      </c>
      <c r="AR16" s="13"/>
      <c r="AS16" s="78"/>
      <c r="AT16" s="43"/>
      <c r="AU16" s="13"/>
      <c r="AV16" s="13"/>
      <c r="AW16" s="13"/>
      <c r="AX16" s="13"/>
      <c r="AY16" s="13"/>
      <c r="AZ16" s="13"/>
      <c r="BA16" s="78"/>
    </row>
    <row r="17" spans="1:53">
      <c r="A17" s="82"/>
      <c r="B17" s="9" t="s">
        <v>284</v>
      </c>
      <c r="C17" s="43"/>
      <c r="D17" s="13"/>
      <c r="E17" s="13"/>
      <c r="F17" s="13"/>
      <c r="G17" s="13"/>
      <c r="H17" s="13"/>
      <c r="I17" s="13"/>
      <c r="J17" s="78"/>
      <c r="K17" s="43"/>
      <c r="L17" s="13"/>
      <c r="M17" s="13"/>
      <c r="N17" s="13"/>
      <c r="O17" s="13"/>
      <c r="P17" s="13"/>
      <c r="Q17" s="13"/>
      <c r="R17" s="78"/>
      <c r="S17" s="43"/>
      <c r="T17" s="13"/>
      <c r="U17" s="13"/>
      <c r="V17" s="13"/>
      <c r="W17" s="13"/>
      <c r="X17" s="13"/>
      <c r="Y17" s="13"/>
      <c r="Z17" s="78"/>
      <c r="AB17" s="82"/>
      <c r="AC17" s="9" t="s">
        <v>284</v>
      </c>
      <c r="AD17" s="43"/>
      <c r="AE17" s="13"/>
      <c r="AF17" s="13"/>
      <c r="AG17" s="13"/>
      <c r="AH17" s="13"/>
      <c r="AI17" s="13"/>
      <c r="AJ17" s="13"/>
      <c r="AK17" s="78"/>
      <c r="AL17" s="43"/>
      <c r="AM17" s="13"/>
      <c r="AN17" s="13"/>
      <c r="AO17" s="13"/>
      <c r="AP17" s="13"/>
      <c r="AQ17" s="13"/>
      <c r="AR17" s="13"/>
      <c r="AS17" s="78"/>
      <c r="AT17" s="43"/>
      <c r="AU17" s="13"/>
      <c r="AV17" s="13"/>
      <c r="AW17" s="13"/>
      <c r="AX17" s="13"/>
      <c r="AY17" s="13"/>
      <c r="AZ17" s="13"/>
      <c r="BA17" s="78"/>
    </row>
    <row r="18" spans="1:53">
      <c r="A18" s="82"/>
      <c r="B18" s="9" t="s">
        <v>285</v>
      </c>
      <c r="C18" s="43"/>
      <c r="D18" s="13"/>
      <c r="E18" s="13"/>
      <c r="F18" s="13"/>
      <c r="G18" s="13"/>
      <c r="H18" s="13"/>
      <c r="I18" s="13"/>
      <c r="J18" s="78"/>
      <c r="K18" s="43"/>
      <c r="L18" s="13"/>
      <c r="M18" s="13"/>
      <c r="N18" s="13"/>
      <c r="O18" s="13"/>
      <c r="P18" s="13"/>
      <c r="Q18" s="13"/>
      <c r="R18" s="78"/>
      <c r="S18" s="43"/>
      <c r="T18" s="13"/>
      <c r="U18" s="13"/>
      <c r="V18" s="13">
        <v>1</v>
      </c>
      <c r="W18" s="13"/>
      <c r="X18" s="13"/>
      <c r="Y18" s="13"/>
      <c r="Z18" s="78"/>
      <c r="AB18" s="82"/>
      <c r="AC18" s="9" t="s">
        <v>285</v>
      </c>
      <c r="AD18" s="43"/>
      <c r="AE18" s="13"/>
      <c r="AF18" s="13"/>
      <c r="AG18" s="13"/>
      <c r="AH18" s="13"/>
      <c r="AI18" s="13"/>
      <c r="AJ18" s="13"/>
      <c r="AK18" s="78">
        <v>1</v>
      </c>
      <c r="AL18" s="43"/>
      <c r="AM18" s="13"/>
      <c r="AN18" s="13"/>
      <c r="AO18" s="13"/>
      <c r="AP18" s="13"/>
      <c r="AQ18" s="13"/>
      <c r="AR18" s="13"/>
      <c r="AS18" s="78"/>
      <c r="AT18" s="43"/>
      <c r="AU18" s="13"/>
      <c r="AV18" s="13"/>
      <c r="AW18" s="13"/>
      <c r="AX18" s="13"/>
      <c r="AY18" s="13"/>
      <c r="AZ18" s="13"/>
      <c r="BA18" s="78"/>
    </row>
    <row r="19" spans="1:53">
      <c r="A19" s="82" t="s">
        <v>290</v>
      </c>
      <c r="B19" s="9" t="s">
        <v>283</v>
      </c>
      <c r="C19" s="43"/>
      <c r="D19" s="13"/>
      <c r="E19" s="13"/>
      <c r="F19" s="13"/>
      <c r="G19" s="13"/>
      <c r="H19" s="13"/>
      <c r="I19" s="13"/>
      <c r="J19" s="78"/>
      <c r="K19" s="43"/>
      <c r="L19" s="13"/>
      <c r="M19" s="13"/>
      <c r="N19" s="13"/>
      <c r="O19" s="13"/>
      <c r="P19" s="13"/>
      <c r="Q19" s="13"/>
      <c r="R19" s="78"/>
      <c r="S19" s="43"/>
      <c r="T19" s="13"/>
      <c r="U19" s="13"/>
      <c r="V19" s="13">
        <v>1</v>
      </c>
      <c r="W19" s="13">
        <v>1</v>
      </c>
      <c r="X19" s="13"/>
      <c r="Y19" s="13"/>
      <c r="Z19" s="78">
        <v>1</v>
      </c>
      <c r="AB19" s="82" t="s">
        <v>290</v>
      </c>
      <c r="AC19" s="9" t="s">
        <v>283</v>
      </c>
      <c r="AD19" s="43"/>
      <c r="AE19" s="13">
        <v>1</v>
      </c>
      <c r="AF19" s="13"/>
      <c r="AG19" s="13"/>
      <c r="AH19" s="13"/>
      <c r="AI19" s="13"/>
      <c r="AJ19" s="13"/>
      <c r="AK19" s="78">
        <v>1</v>
      </c>
      <c r="AL19" s="43"/>
      <c r="AM19" s="13"/>
      <c r="AN19" s="13"/>
      <c r="AO19" s="13"/>
      <c r="AP19" s="13"/>
      <c r="AQ19" s="13"/>
      <c r="AR19" s="13"/>
      <c r="AS19" s="78"/>
      <c r="AT19" s="43"/>
      <c r="AU19" s="13"/>
      <c r="AV19" s="13"/>
      <c r="AW19" s="13"/>
      <c r="AX19" s="13"/>
      <c r="AY19" s="13"/>
      <c r="AZ19" s="13"/>
      <c r="BA19" s="78"/>
    </row>
    <row r="20" spans="1:53">
      <c r="A20" s="82"/>
      <c r="B20" s="9" t="s">
        <v>284</v>
      </c>
      <c r="C20" s="43"/>
      <c r="D20" s="13"/>
      <c r="E20" s="13"/>
      <c r="F20" s="13"/>
      <c r="G20" s="13"/>
      <c r="H20" s="13"/>
      <c r="I20" s="13"/>
      <c r="J20" s="78"/>
      <c r="K20" s="43"/>
      <c r="L20" s="13"/>
      <c r="M20" s="13"/>
      <c r="N20" s="13"/>
      <c r="O20" s="13"/>
      <c r="P20" s="13"/>
      <c r="Q20" s="13"/>
      <c r="R20" s="78"/>
      <c r="S20" s="43"/>
      <c r="T20" s="13"/>
      <c r="U20" s="13"/>
      <c r="V20" s="13">
        <v>1</v>
      </c>
      <c r="W20" s="13"/>
      <c r="X20" s="13"/>
      <c r="Y20" s="13"/>
      <c r="Z20" s="78"/>
      <c r="AB20" s="82"/>
      <c r="AC20" s="9" t="s">
        <v>284</v>
      </c>
      <c r="AD20" s="43"/>
      <c r="AE20" s="13">
        <v>1</v>
      </c>
      <c r="AF20" s="13"/>
      <c r="AG20" s="13"/>
      <c r="AH20" s="13"/>
      <c r="AI20" s="13"/>
      <c r="AJ20" s="13"/>
      <c r="AK20" s="78">
        <v>2</v>
      </c>
      <c r="AL20" s="43"/>
      <c r="AM20" s="13"/>
      <c r="AN20" s="13"/>
      <c r="AO20" s="13"/>
      <c r="AP20" s="13"/>
      <c r="AQ20" s="13"/>
      <c r="AR20" s="13"/>
      <c r="AS20" s="78"/>
      <c r="AT20" s="43"/>
      <c r="AU20" s="13"/>
      <c r="AV20" s="13"/>
      <c r="AW20" s="13"/>
      <c r="AX20" s="13"/>
      <c r="AY20" s="13"/>
      <c r="AZ20" s="13"/>
      <c r="BA20" s="78"/>
    </row>
    <row r="21" spans="1:53">
      <c r="A21" s="82"/>
      <c r="B21" s="9" t="s">
        <v>285</v>
      </c>
      <c r="C21" s="43"/>
      <c r="D21" s="13"/>
      <c r="E21" s="13"/>
      <c r="F21" s="13"/>
      <c r="G21" s="13"/>
      <c r="H21" s="13"/>
      <c r="I21" s="13"/>
      <c r="J21" s="78"/>
      <c r="K21" s="43"/>
      <c r="L21" s="13"/>
      <c r="M21" s="13"/>
      <c r="N21" s="13"/>
      <c r="O21" s="13"/>
      <c r="P21" s="13"/>
      <c r="Q21" s="13"/>
      <c r="R21" s="78"/>
      <c r="S21" s="43"/>
      <c r="T21" s="13"/>
      <c r="U21" s="13"/>
      <c r="V21" s="13">
        <v>1</v>
      </c>
      <c r="W21" s="13"/>
      <c r="X21" s="13"/>
      <c r="Y21" s="13"/>
      <c r="Z21" s="78"/>
      <c r="AB21" s="82"/>
      <c r="AC21" s="9" t="s">
        <v>285</v>
      </c>
      <c r="AD21" s="43"/>
      <c r="AE21" s="13"/>
      <c r="AF21" s="13"/>
      <c r="AG21" s="13"/>
      <c r="AH21" s="13"/>
      <c r="AI21" s="13"/>
      <c r="AJ21" s="13"/>
      <c r="AK21" s="78">
        <v>1</v>
      </c>
      <c r="AL21" s="43"/>
      <c r="AM21" s="13"/>
      <c r="AN21" s="13"/>
      <c r="AO21" s="13"/>
      <c r="AP21" s="13"/>
      <c r="AQ21" s="13"/>
      <c r="AR21" s="13"/>
      <c r="AS21" s="78"/>
      <c r="AT21" s="43"/>
      <c r="AU21" s="13"/>
      <c r="AV21" s="13"/>
      <c r="AW21" s="13"/>
      <c r="AX21" s="13"/>
      <c r="AY21" s="13"/>
      <c r="AZ21" s="13"/>
      <c r="BA21" s="78"/>
    </row>
    <row r="22" spans="1:53">
      <c r="A22" s="82" t="s">
        <v>291</v>
      </c>
      <c r="B22" s="9" t="s">
        <v>283</v>
      </c>
      <c r="C22" s="43"/>
      <c r="D22" s="13"/>
      <c r="E22" s="13"/>
      <c r="F22" s="13"/>
      <c r="G22" s="13"/>
      <c r="H22" s="13">
        <v>1</v>
      </c>
      <c r="I22" s="13"/>
      <c r="J22" s="78"/>
      <c r="K22" s="43"/>
      <c r="L22" s="13"/>
      <c r="M22" s="13"/>
      <c r="N22" s="13"/>
      <c r="O22" s="13"/>
      <c r="P22" s="13">
        <v>1</v>
      </c>
      <c r="Q22" s="13"/>
      <c r="R22" s="78"/>
      <c r="S22" s="43"/>
      <c r="T22" s="13"/>
      <c r="U22" s="13"/>
      <c r="V22" s="13">
        <v>1</v>
      </c>
      <c r="W22" s="13">
        <v>44</v>
      </c>
      <c r="X22" s="13"/>
      <c r="Y22" s="13"/>
      <c r="Z22" s="78"/>
      <c r="AB22" s="82" t="s">
        <v>291</v>
      </c>
      <c r="AC22" s="9" t="s">
        <v>283</v>
      </c>
      <c r="AD22" s="43"/>
      <c r="AE22" s="13"/>
      <c r="AF22" s="13"/>
      <c r="AG22" s="13"/>
      <c r="AH22" s="13"/>
      <c r="AI22" s="13"/>
      <c r="AJ22" s="13"/>
      <c r="AK22" s="78">
        <v>1</v>
      </c>
      <c r="AL22" s="43"/>
      <c r="AM22" s="13"/>
      <c r="AN22" s="13"/>
      <c r="AO22" s="13"/>
      <c r="AP22" s="13"/>
      <c r="AQ22" s="13"/>
      <c r="AR22" s="13"/>
      <c r="AS22" s="78"/>
      <c r="AT22" s="43"/>
      <c r="AU22" s="13"/>
      <c r="AV22" s="13"/>
      <c r="AW22" s="13"/>
      <c r="AX22" s="13"/>
      <c r="AY22" s="13"/>
      <c r="AZ22" s="13"/>
      <c r="BA22" s="78"/>
    </row>
    <row r="23" spans="1:53">
      <c r="A23" s="82"/>
      <c r="B23" s="9" t="s">
        <v>284</v>
      </c>
      <c r="C23" s="43"/>
      <c r="D23" s="13"/>
      <c r="E23" s="13"/>
      <c r="F23" s="13"/>
      <c r="G23" s="13"/>
      <c r="H23" s="13"/>
      <c r="I23" s="13"/>
      <c r="J23" s="78"/>
      <c r="K23" s="43"/>
      <c r="L23" s="13"/>
      <c r="M23" s="13"/>
      <c r="N23" s="13"/>
      <c r="O23" s="13"/>
      <c r="P23" s="13"/>
      <c r="Q23" s="13"/>
      <c r="R23" s="78"/>
      <c r="S23" s="43"/>
      <c r="T23" s="13"/>
      <c r="U23" s="13"/>
      <c r="V23" s="13">
        <v>1</v>
      </c>
      <c r="W23" s="13">
        <v>13</v>
      </c>
      <c r="X23" s="13"/>
      <c r="Y23" s="13"/>
      <c r="Z23" s="78"/>
      <c r="AB23" s="82"/>
      <c r="AC23" s="9" t="s">
        <v>284</v>
      </c>
      <c r="AD23" s="43"/>
      <c r="AE23" s="13"/>
      <c r="AF23" s="13"/>
      <c r="AG23" s="13"/>
      <c r="AH23" s="13"/>
      <c r="AI23" s="13"/>
      <c r="AJ23" s="13"/>
      <c r="AK23" s="78"/>
      <c r="AL23" s="43"/>
      <c r="AM23" s="13"/>
      <c r="AN23" s="13"/>
      <c r="AO23" s="13"/>
      <c r="AP23" s="13"/>
      <c r="AQ23" s="13"/>
      <c r="AR23" s="13"/>
      <c r="AS23" s="78"/>
      <c r="AT23" s="43"/>
      <c r="AU23" s="13"/>
      <c r="AV23" s="13"/>
      <c r="AW23" s="13"/>
      <c r="AX23" s="13"/>
      <c r="AY23" s="13"/>
      <c r="AZ23" s="13"/>
      <c r="BA23" s="78"/>
    </row>
    <row r="24" spans="1:53">
      <c r="A24" s="81"/>
      <c r="B24" s="55" t="s">
        <v>285</v>
      </c>
      <c r="C24" s="44"/>
      <c r="D24" s="56"/>
      <c r="E24" s="56"/>
      <c r="F24" s="56"/>
      <c r="G24" s="56"/>
      <c r="H24" s="56"/>
      <c r="I24" s="56"/>
      <c r="J24" s="22"/>
      <c r="K24" s="44"/>
      <c r="L24" s="56"/>
      <c r="M24" s="56"/>
      <c r="N24" s="56"/>
      <c r="O24" s="56"/>
      <c r="P24" s="56"/>
      <c r="Q24" s="56"/>
      <c r="R24" s="22"/>
      <c r="S24" s="44"/>
      <c r="T24" s="56"/>
      <c r="U24" s="56"/>
      <c r="V24" s="56">
        <v>1</v>
      </c>
      <c r="W24" s="56"/>
      <c r="X24" s="56"/>
      <c r="Y24" s="56"/>
      <c r="Z24" s="22"/>
      <c r="AB24" s="81"/>
      <c r="AC24" s="55" t="s">
        <v>285</v>
      </c>
      <c r="AD24" s="44"/>
      <c r="AE24" s="56"/>
      <c r="AF24" s="56"/>
      <c r="AG24" s="56">
        <v>1</v>
      </c>
      <c r="AH24" s="56"/>
      <c r="AI24" s="56"/>
      <c r="AJ24" s="56"/>
      <c r="AK24" s="22"/>
      <c r="AL24" s="44"/>
      <c r="AM24" s="56"/>
      <c r="AN24" s="56"/>
      <c r="AO24" s="56"/>
      <c r="AP24" s="56"/>
      <c r="AQ24" s="56"/>
      <c r="AR24" s="56"/>
      <c r="AS24" s="22"/>
      <c r="AT24" s="44"/>
      <c r="AU24" s="56"/>
      <c r="AV24" s="56"/>
      <c r="AW24" s="56"/>
      <c r="AX24" s="56"/>
      <c r="AY24" s="56"/>
      <c r="AZ24" s="56"/>
      <c r="BA24" s="22"/>
    </row>
    <row r="25" spans="1:53">
      <c r="A25" s="79" t="s">
        <v>159</v>
      </c>
      <c r="B25" s="80"/>
      <c r="C25" s="45">
        <v>0</v>
      </c>
      <c r="D25" s="83">
        <v>0</v>
      </c>
      <c r="E25" s="83">
        <v>4</v>
      </c>
      <c r="F25" s="83">
        <v>0</v>
      </c>
      <c r="G25" s="83">
        <v>0</v>
      </c>
      <c r="H25" s="83">
        <v>2</v>
      </c>
      <c r="I25" s="83">
        <v>0</v>
      </c>
      <c r="J25" s="83">
        <v>0</v>
      </c>
      <c r="K25" s="84">
        <v>0</v>
      </c>
      <c r="L25" s="83">
        <v>0</v>
      </c>
      <c r="M25" s="83">
        <v>0</v>
      </c>
      <c r="N25" s="83">
        <v>0</v>
      </c>
      <c r="O25" s="83">
        <v>15</v>
      </c>
      <c r="P25" s="83">
        <v>4</v>
      </c>
      <c r="Q25" s="83">
        <v>0</v>
      </c>
      <c r="R25" s="83">
        <v>0</v>
      </c>
      <c r="S25" s="84">
        <v>1</v>
      </c>
      <c r="T25" s="85">
        <v>0</v>
      </c>
      <c r="U25" s="85">
        <v>0</v>
      </c>
      <c r="V25" s="85">
        <v>7</v>
      </c>
      <c r="W25" s="85">
        <v>167</v>
      </c>
      <c r="X25" s="85">
        <v>2</v>
      </c>
      <c r="Y25" s="85">
        <v>0</v>
      </c>
      <c r="Z25" s="86">
        <v>1</v>
      </c>
      <c r="AB25" s="79" t="s">
        <v>159</v>
      </c>
      <c r="AC25" s="80"/>
      <c r="AD25" s="84">
        <v>0</v>
      </c>
      <c r="AE25" s="83">
        <v>2</v>
      </c>
      <c r="AF25" s="83">
        <v>0</v>
      </c>
      <c r="AG25" s="83">
        <v>7</v>
      </c>
      <c r="AH25" s="83">
        <v>0</v>
      </c>
      <c r="AI25" s="83">
        <v>0</v>
      </c>
      <c r="AJ25" s="83">
        <v>1</v>
      </c>
      <c r="AK25" s="83">
        <v>20</v>
      </c>
      <c r="AL25" s="84">
        <v>1</v>
      </c>
      <c r="AM25" s="83">
        <v>0</v>
      </c>
      <c r="AN25" s="83">
        <v>0</v>
      </c>
      <c r="AO25" s="83">
        <v>0</v>
      </c>
      <c r="AP25" s="83">
        <v>0</v>
      </c>
      <c r="AQ25" s="83">
        <v>1</v>
      </c>
      <c r="AR25" s="83">
        <v>0</v>
      </c>
      <c r="AS25" s="83">
        <v>0</v>
      </c>
      <c r="AT25" s="84">
        <v>0</v>
      </c>
      <c r="AU25" s="85">
        <v>0</v>
      </c>
      <c r="AV25" s="85">
        <v>0</v>
      </c>
      <c r="AW25" s="85">
        <v>0</v>
      </c>
      <c r="AX25" s="85">
        <v>0</v>
      </c>
      <c r="AY25" s="85">
        <v>2</v>
      </c>
      <c r="AZ25" s="85">
        <v>0</v>
      </c>
      <c r="BA25" s="86">
        <v>0</v>
      </c>
    </row>
    <row r="28" spans="1:53">
      <c r="A28" s="42">
        <v>3</v>
      </c>
      <c r="C28" s="544" t="s">
        <v>292</v>
      </c>
      <c r="D28" s="545"/>
      <c r="E28" s="545"/>
      <c r="F28" s="545"/>
      <c r="G28" s="545"/>
      <c r="H28" s="545"/>
      <c r="I28" s="545"/>
      <c r="J28" s="546"/>
      <c r="K28" s="544" t="s">
        <v>293</v>
      </c>
      <c r="L28" s="545"/>
      <c r="M28" s="545"/>
      <c r="N28" s="545"/>
      <c r="O28" s="545"/>
      <c r="P28" s="545"/>
      <c r="Q28" s="545"/>
      <c r="R28" s="546"/>
      <c r="S28" s="544" t="s">
        <v>294</v>
      </c>
      <c r="T28" s="545"/>
      <c r="U28" s="545"/>
      <c r="V28" s="545"/>
      <c r="W28" s="545"/>
      <c r="X28" s="545"/>
      <c r="Y28" s="545"/>
      <c r="Z28" s="546"/>
      <c r="AA28" s="13"/>
      <c r="AB28" s="42">
        <v>4</v>
      </c>
      <c r="AC28" s="13"/>
      <c r="AD28" s="544" t="s">
        <v>295</v>
      </c>
      <c r="AE28" s="545"/>
      <c r="AF28" s="545"/>
      <c r="AG28" s="545"/>
      <c r="AH28" s="545"/>
      <c r="AI28" s="545"/>
      <c r="AJ28" s="545"/>
      <c r="AK28" s="546"/>
      <c r="AL28" s="544" t="s">
        <v>296</v>
      </c>
      <c r="AM28" s="545"/>
      <c r="AN28" s="545"/>
      <c r="AO28" s="545"/>
      <c r="AP28" s="545"/>
      <c r="AQ28" s="545"/>
      <c r="AR28" s="545"/>
      <c r="AS28" s="546"/>
      <c r="AT28" s="544" t="s">
        <v>297</v>
      </c>
      <c r="AU28" s="545"/>
      <c r="AV28" s="545"/>
      <c r="AW28" s="545"/>
      <c r="AX28" s="545"/>
      <c r="AY28" s="545"/>
      <c r="AZ28" s="545"/>
      <c r="BA28" s="546"/>
    </row>
    <row r="29" spans="1:53" customHeight="1" ht="152.25">
      <c r="C29" s="183" t="s">
        <v>274</v>
      </c>
      <c r="D29" s="184" t="s">
        <v>275</v>
      </c>
      <c r="E29" s="184" t="s">
        <v>276</v>
      </c>
      <c r="F29" s="184" t="s">
        <v>277</v>
      </c>
      <c r="G29" s="47" t="s">
        <v>278</v>
      </c>
      <c r="H29" s="184" t="s">
        <v>279</v>
      </c>
      <c r="I29" s="184" t="s">
        <v>280</v>
      </c>
      <c r="J29" s="186" t="s">
        <v>281</v>
      </c>
      <c r="K29" s="46" t="s">
        <v>274</v>
      </c>
      <c r="L29" s="47" t="s">
        <v>275</v>
      </c>
      <c r="M29" s="47" t="s">
        <v>276</v>
      </c>
      <c r="N29" s="47" t="s">
        <v>277</v>
      </c>
      <c r="O29" s="47" t="s">
        <v>278</v>
      </c>
      <c r="P29" s="47" t="s">
        <v>279</v>
      </c>
      <c r="Q29" s="47" t="s">
        <v>280</v>
      </c>
      <c r="R29" s="48" t="s">
        <v>281</v>
      </c>
      <c r="S29" s="46" t="s">
        <v>274</v>
      </c>
      <c r="T29" s="47" t="s">
        <v>275</v>
      </c>
      <c r="U29" s="47" t="s">
        <v>276</v>
      </c>
      <c r="V29" s="47" t="s">
        <v>277</v>
      </c>
      <c r="W29" s="47" t="s">
        <v>278</v>
      </c>
      <c r="X29" s="47" t="s">
        <v>279</v>
      </c>
      <c r="Y29" s="47" t="s">
        <v>280</v>
      </c>
      <c r="Z29" s="48" t="s">
        <v>281</v>
      </c>
      <c r="AD29" s="46" t="s">
        <v>274</v>
      </c>
      <c r="AE29" s="47" t="s">
        <v>275</v>
      </c>
      <c r="AF29" s="47" t="s">
        <v>276</v>
      </c>
      <c r="AG29" s="47" t="s">
        <v>277</v>
      </c>
      <c r="AH29" s="47" t="s">
        <v>278</v>
      </c>
      <c r="AI29" s="47" t="s">
        <v>279</v>
      </c>
      <c r="AJ29" s="47" t="s">
        <v>280</v>
      </c>
      <c r="AK29" s="48" t="s">
        <v>281</v>
      </c>
      <c r="AL29" s="46" t="s">
        <v>274</v>
      </c>
      <c r="AM29" s="47" t="s">
        <v>275</v>
      </c>
      <c r="AN29" s="47" t="s">
        <v>276</v>
      </c>
      <c r="AO29" s="47" t="s">
        <v>277</v>
      </c>
      <c r="AP29" s="47" t="s">
        <v>278</v>
      </c>
      <c r="AQ29" s="47" t="s">
        <v>279</v>
      </c>
      <c r="AR29" s="47" t="s">
        <v>280</v>
      </c>
      <c r="AS29" s="48" t="s">
        <v>281</v>
      </c>
      <c r="AT29" s="46" t="s">
        <v>274</v>
      </c>
      <c r="AU29" s="47" t="s">
        <v>275</v>
      </c>
      <c r="AV29" s="47" t="s">
        <v>276</v>
      </c>
      <c r="AW29" s="47" t="s">
        <v>277</v>
      </c>
      <c r="AX29" s="47" t="s">
        <v>278</v>
      </c>
      <c r="AY29" s="47" t="s">
        <v>279</v>
      </c>
      <c r="AZ29" s="47" t="s">
        <v>280</v>
      </c>
      <c r="BA29" s="48" t="s">
        <v>281</v>
      </c>
    </row>
    <row r="30" spans="1:53">
      <c r="A30" s="1" t="s">
        <v>282</v>
      </c>
      <c r="B30" s="2" t="s">
        <v>283</v>
      </c>
      <c r="C30" s="43"/>
      <c r="D30" s="13"/>
      <c r="E30" s="13"/>
      <c r="F30" s="13"/>
      <c r="G30" s="13"/>
      <c r="H30" s="13"/>
      <c r="I30" s="13"/>
      <c r="J30" s="78"/>
      <c r="K30" s="43"/>
      <c r="L30" s="13"/>
      <c r="M30" s="13"/>
      <c r="N30" s="13"/>
      <c r="O30" s="13"/>
      <c r="P30" s="13"/>
      <c r="Q30" s="13"/>
      <c r="R30" s="78"/>
      <c r="S30" s="43"/>
      <c r="T30" s="13"/>
      <c r="U30" s="13"/>
      <c r="V30" s="13"/>
      <c r="W30" s="13"/>
      <c r="X30" s="13"/>
      <c r="Y30" s="13"/>
      <c r="Z30" s="78">
        <v>1</v>
      </c>
      <c r="AB30" s="1" t="s">
        <v>282</v>
      </c>
      <c r="AC30" s="2" t="s">
        <v>283</v>
      </c>
      <c r="AD30" s="43"/>
      <c r="AE30" s="13"/>
      <c r="AF30" s="13"/>
      <c r="AG30" s="13"/>
      <c r="AH30" s="13"/>
      <c r="AI30" s="13"/>
      <c r="AJ30" s="13"/>
      <c r="AK30" s="78"/>
      <c r="AL30" s="43"/>
      <c r="AM30" s="13"/>
      <c r="AN30" s="13"/>
      <c r="AO30" s="13"/>
      <c r="AP30" s="13"/>
      <c r="AQ30" s="13"/>
      <c r="AR30" s="13"/>
      <c r="AS30" s="78"/>
      <c r="AT30" s="43"/>
      <c r="AU30" s="13"/>
      <c r="AV30" s="13"/>
      <c r="AW30" s="13"/>
      <c r="AX30" s="13"/>
      <c r="AY30" s="13"/>
      <c r="AZ30" s="13"/>
      <c r="BA30" s="78"/>
    </row>
    <row r="31" spans="1:53">
      <c r="A31" s="82"/>
      <c r="B31" s="9" t="s">
        <v>284</v>
      </c>
      <c r="C31" s="43"/>
      <c r="D31" s="13"/>
      <c r="E31" s="13"/>
      <c r="F31" s="13"/>
      <c r="G31" s="13"/>
      <c r="H31" s="13"/>
      <c r="I31" s="13"/>
      <c r="J31" s="78"/>
      <c r="K31" s="43"/>
      <c r="L31" s="13"/>
      <c r="M31" s="13"/>
      <c r="N31" s="13"/>
      <c r="O31" s="13"/>
      <c r="P31" s="13"/>
      <c r="Q31" s="13"/>
      <c r="R31" s="78"/>
      <c r="S31" s="43"/>
      <c r="T31" s="13"/>
      <c r="U31" s="13"/>
      <c r="V31" s="13"/>
      <c r="W31" s="13"/>
      <c r="X31" s="13"/>
      <c r="Y31" s="13"/>
      <c r="Z31" s="78">
        <v>1</v>
      </c>
      <c r="AB31" s="82"/>
      <c r="AC31" s="9" t="s">
        <v>284</v>
      </c>
      <c r="AD31" s="43"/>
      <c r="AE31" s="13"/>
      <c r="AF31" s="13"/>
      <c r="AG31" s="13"/>
      <c r="AH31" s="13"/>
      <c r="AI31" s="13"/>
      <c r="AJ31" s="13"/>
      <c r="AK31" s="78"/>
      <c r="AL31" s="43"/>
      <c r="AM31" s="13"/>
      <c r="AN31" s="13"/>
      <c r="AO31" s="13"/>
      <c r="AP31" s="13"/>
      <c r="AQ31" s="13"/>
      <c r="AR31" s="13"/>
      <c r="AS31" s="78"/>
      <c r="AT31" s="43"/>
      <c r="AU31" s="13"/>
      <c r="AV31" s="13"/>
      <c r="AW31" s="13"/>
      <c r="AX31" s="13"/>
      <c r="AY31" s="13"/>
      <c r="AZ31" s="13"/>
      <c r="BA31" s="78"/>
    </row>
    <row r="32" spans="1:53">
      <c r="A32" s="82"/>
      <c r="B32" s="9" t="s">
        <v>285</v>
      </c>
      <c r="C32" s="43"/>
      <c r="D32" s="13"/>
      <c r="E32" s="13"/>
      <c r="F32" s="13"/>
      <c r="G32" s="13"/>
      <c r="H32" s="13"/>
      <c r="I32" s="13"/>
      <c r="J32" s="78"/>
      <c r="K32" s="43"/>
      <c r="L32" s="13"/>
      <c r="M32" s="13"/>
      <c r="N32" s="13"/>
      <c r="O32" s="13"/>
      <c r="P32" s="13"/>
      <c r="Q32" s="13"/>
      <c r="R32" s="78"/>
      <c r="S32" s="43"/>
      <c r="T32" s="13"/>
      <c r="U32" s="13"/>
      <c r="V32" s="13"/>
      <c r="W32" s="13"/>
      <c r="X32" s="13"/>
      <c r="Y32" s="13"/>
      <c r="Z32" s="78">
        <v>1</v>
      </c>
      <c r="AB32" s="82"/>
      <c r="AC32" s="9" t="s">
        <v>285</v>
      </c>
      <c r="AD32" s="43"/>
      <c r="AE32" s="13"/>
      <c r="AF32" s="13"/>
      <c r="AG32" s="13"/>
      <c r="AH32" s="13"/>
      <c r="AI32" s="13"/>
      <c r="AJ32" s="13"/>
      <c r="AK32" s="78"/>
      <c r="AL32" s="43"/>
      <c r="AM32" s="13"/>
      <c r="AN32" s="13"/>
      <c r="AO32" s="13"/>
      <c r="AP32" s="13"/>
      <c r="AQ32" s="13"/>
      <c r="AR32" s="13"/>
      <c r="AS32" s="78"/>
      <c r="AT32" s="43"/>
      <c r="AU32" s="13"/>
      <c r="AV32" s="13"/>
      <c r="AW32" s="13"/>
      <c r="AX32" s="13"/>
      <c r="AY32" s="13"/>
      <c r="AZ32" s="13"/>
      <c r="BA32" s="78"/>
    </row>
    <row r="33" spans="1:53">
      <c r="A33" s="82" t="s">
        <v>286</v>
      </c>
      <c r="B33" s="9" t="s">
        <v>283</v>
      </c>
      <c r="C33" s="43"/>
      <c r="D33" s="13"/>
      <c r="E33" s="13"/>
      <c r="F33" s="13"/>
      <c r="G33" s="13"/>
      <c r="H33" s="13"/>
      <c r="I33" s="13"/>
      <c r="J33" s="78"/>
      <c r="K33" s="43"/>
      <c r="L33" s="13"/>
      <c r="M33" s="13"/>
      <c r="N33" s="13"/>
      <c r="O33" s="13"/>
      <c r="P33" s="13"/>
      <c r="Q33" s="13">
        <v>1</v>
      </c>
      <c r="R33" s="78"/>
      <c r="S33" s="43"/>
      <c r="T33" s="13"/>
      <c r="U33" s="13"/>
      <c r="V33" s="13"/>
      <c r="W33" s="13"/>
      <c r="X33" s="13">
        <v>1</v>
      </c>
      <c r="Y33" s="13"/>
      <c r="Z33" s="78">
        <v>1</v>
      </c>
      <c r="AB33" s="82" t="s">
        <v>286</v>
      </c>
      <c r="AC33" s="9" t="s">
        <v>283</v>
      </c>
      <c r="AD33" s="43"/>
      <c r="AE33" s="13"/>
      <c r="AF33" s="13"/>
      <c r="AG33" s="13"/>
      <c r="AH33" s="13"/>
      <c r="AI33" s="13">
        <v>2</v>
      </c>
      <c r="AJ33" s="13"/>
      <c r="AK33" s="78"/>
      <c r="AL33" s="43"/>
      <c r="AM33" s="13"/>
      <c r="AN33" s="13"/>
      <c r="AO33" s="13"/>
      <c r="AP33" s="13">
        <v>12</v>
      </c>
      <c r="AQ33" s="13"/>
      <c r="AR33" s="13"/>
      <c r="AS33" s="78"/>
      <c r="AT33" s="43"/>
      <c r="AU33" s="13"/>
      <c r="AV33" s="13"/>
      <c r="AW33" s="13"/>
      <c r="AX33" s="13"/>
      <c r="AY33" s="13">
        <v>1</v>
      </c>
      <c r="AZ33" s="13"/>
      <c r="BA33" s="78"/>
    </row>
    <row r="34" spans="1:53">
      <c r="A34" s="82"/>
      <c r="B34" s="9" t="s">
        <v>284</v>
      </c>
      <c r="C34" s="43"/>
      <c r="D34" s="13"/>
      <c r="E34" s="13"/>
      <c r="F34" s="13"/>
      <c r="G34" s="13"/>
      <c r="H34" s="13"/>
      <c r="I34" s="13"/>
      <c r="J34" s="78"/>
      <c r="K34" s="43"/>
      <c r="L34" s="13"/>
      <c r="M34" s="13"/>
      <c r="N34" s="13"/>
      <c r="O34" s="13"/>
      <c r="P34" s="13"/>
      <c r="Q34" s="13"/>
      <c r="R34" s="78"/>
      <c r="S34" s="43"/>
      <c r="T34" s="13"/>
      <c r="U34" s="13"/>
      <c r="V34" s="13"/>
      <c r="W34" s="13"/>
      <c r="X34" s="13"/>
      <c r="Y34" s="13"/>
      <c r="Z34" s="78"/>
      <c r="AB34" s="82"/>
      <c r="AC34" s="9" t="s">
        <v>284</v>
      </c>
      <c r="AD34" s="43"/>
      <c r="AE34" s="13"/>
      <c r="AF34" s="13"/>
      <c r="AG34" s="13"/>
      <c r="AH34" s="13"/>
      <c r="AI34" s="13"/>
      <c r="AJ34" s="13"/>
      <c r="AK34" s="78"/>
      <c r="AL34" s="43"/>
      <c r="AM34" s="13"/>
      <c r="AN34" s="13">
        <v>1</v>
      </c>
      <c r="AO34" s="13"/>
      <c r="AP34" s="13">
        <v>13</v>
      </c>
      <c r="AQ34" s="13"/>
      <c r="AR34" s="13"/>
      <c r="AS34" s="78"/>
      <c r="AT34" s="43"/>
      <c r="AU34" s="13"/>
      <c r="AV34" s="13"/>
      <c r="AW34" s="13"/>
      <c r="AX34" s="13"/>
      <c r="AY34" s="13"/>
      <c r="AZ34" s="13"/>
      <c r="BA34" s="78"/>
    </row>
    <row r="35" spans="1:53">
      <c r="A35" s="82"/>
      <c r="B35" s="9" t="s">
        <v>285</v>
      </c>
      <c r="C35" s="43"/>
      <c r="D35" s="13"/>
      <c r="E35" s="13"/>
      <c r="F35" s="13"/>
      <c r="G35" s="13"/>
      <c r="H35" s="13"/>
      <c r="I35" s="13"/>
      <c r="J35" s="78"/>
      <c r="K35" s="43"/>
      <c r="L35" s="13"/>
      <c r="M35" s="13"/>
      <c r="N35" s="13"/>
      <c r="O35" s="13"/>
      <c r="P35" s="13"/>
      <c r="Q35" s="13"/>
      <c r="R35" s="78"/>
      <c r="S35" s="43"/>
      <c r="T35" s="13"/>
      <c r="U35" s="13"/>
      <c r="V35" s="13"/>
      <c r="W35" s="13"/>
      <c r="X35" s="13"/>
      <c r="Y35" s="13"/>
      <c r="Z35" s="78"/>
      <c r="AB35" s="82"/>
      <c r="AC35" s="9" t="s">
        <v>285</v>
      </c>
      <c r="AD35" s="43"/>
      <c r="AE35" s="13"/>
      <c r="AF35" s="13"/>
      <c r="AG35" s="13"/>
      <c r="AH35" s="13"/>
      <c r="AI35" s="13"/>
      <c r="AJ35" s="13"/>
      <c r="AK35" s="78"/>
      <c r="AL35" s="43"/>
      <c r="AM35" s="13"/>
      <c r="AN35" s="13">
        <v>1</v>
      </c>
      <c r="AO35" s="13"/>
      <c r="AP35" s="13"/>
      <c r="AQ35" s="13"/>
      <c r="AR35" s="13"/>
      <c r="AS35" s="78"/>
      <c r="AT35" s="43"/>
      <c r="AU35" s="13"/>
      <c r="AV35" s="13"/>
      <c r="AW35" s="13"/>
      <c r="AX35" s="13"/>
      <c r="AY35" s="13"/>
      <c r="AZ35" s="13"/>
      <c r="BA35" s="78"/>
    </row>
    <row r="36" spans="1:53">
      <c r="A36" s="82" t="s">
        <v>287</v>
      </c>
      <c r="B36" s="9" t="s">
        <v>283</v>
      </c>
      <c r="C36" s="43"/>
      <c r="D36" s="13"/>
      <c r="E36" s="13"/>
      <c r="F36" s="13"/>
      <c r="G36" s="13"/>
      <c r="H36" s="13"/>
      <c r="I36" s="13"/>
      <c r="J36" s="78"/>
      <c r="K36" s="43"/>
      <c r="L36" s="13">
        <v>1</v>
      </c>
      <c r="M36" s="13"/>
      <c r="N36" s="13"/>
      <c r="O36" s="13">
        <v>14</v>
      </c>
      <c r="P36" s="13"/>
      <c r="Q36" s="13"/>
      <c r="R36" s="78"/>
      <c r="S36" s="43"/>
      <c r="T36" s="13"/>
      <c r="U36" s="13"/>
      <c r="V36" s="13"/>
      <c r="W36" s="13"/>
      <c r="X36" s="13"/>
      <c r="Y36" s="13"/>
      <c r="Z36" s="78"/>
      <c r="AB36" s="82" t="s">
        <v>287</v>
      </c>
      <c r="AC36" s="9" t="s">
        <v>283</v>
      </c>
      <c r="AD36" s="43"/>
      <c r="AE36" s="13"/>
      <c r="AF36" s="13"/>
      <c r="AG36" s="13"/>
      <c r="AH36" s="13"/>
      <c r="AI36" s="13"/>
      <c r="AJ36" s="13"/>
      <c r="AK36" s="78"/>
      <c r="AL36" s="43"/>
      <c r="AM36" s="13"/>
      <c r="AN36" s="13">
        <v>1</v>
      </c>
      <c r="AO36" s="13"/>
      <c r="AP36" s="13"/>
      <c r="AQ36" s="13"/>
      <c r="AR36" s="13"/>
      <c r="AS36" s="78"/>
      <c r="AT36" s="43"/>
      <c r="AU36" s="13"/>
      <c r="AV36" s="13"/>
      <c r="AW36" s="13"/>
      <c r="AX36" s="13"/>
      <c r="AY36" s="13">
        <v>1</v>
      </c>
      <c r="AZ36" s="13"/>
      <c r="BA36" s="78"/>
    </row>
    <row r="37" spans="1:53">
      <c r="A37" s="82"/>
      <c r="B37" s="9" t="s">
        <v>284</v>
      </c>
      <c r="C37" s="43"/>
      <c r="D37" s="13"/>
      <c r="E37" s="13"/>
      <c r="F37" s="13"/>
      <c r="G37" s="13"/>
      <c r="H37" s="13"/>
      <c r="I37" s="13"/>
      <c r="J37" s="78"/>
      <c r="K37" s="43"/>
      <c r="L37" s="13">
        <v>1</v>
      </c>
      <c r="M37" s="13"/>
      <c r="N37" s="13"/>
      <c r="O37" s="13">
        <v>15</v>
      </c>
      <c r="P37" s="13"/>
      <c r="Q37" s="13"/>
      <c r="R37" s="78"/>
      <c r="S37" s="43"/>
      <c r="T37" s="13"/>
      <c r="U37" s="13"/>
      <c r="V37" s="13"/>
      <c r="W37" s="13"/>
      <c r="X37" s="13"/>
      <c r="Y37" s="13"/>
      <c r="Z37" s="78"/>
      <c r="AB37" s="82"/>
      <c r="AC37" s="9" t="s">
        <v>284</v>
      </c>
      <c r="AD37" s="43"/>
      <c r="AE37" s="13"/>
      <c r="AF37" s="13"/>
      <c r="AG37" s="13"/>
      <c r="AH37" s="13"/>
      <c r="AI37" s="13"/>
      <c r="AJ37" s="13"/>
      <c r="AK37" s="78"/>
      <c r="AL37" s="43"/>
      <c r="AM37" s="13"/>
      <c r="AN37" s="13">
        <v>1</v>
      </c>
      <c r="AO37" s="13"/>
      <c r="AP37" s="13"/>
      <c r="AQ37" s="13"/>
      <c r="AR37" s="13"/>
      <c r="AS37" s="78"/>
      <c r="AT37" s="43"/>
      <c r="AU37" s="13"/>
      <c r="AV37" s="13"/>
      <c r="AW37" s="13"/>
      <c r="AX37" s="13"/>
      <c r="AY37" s="13"/>
      <c r="AZ37" s="13"/>
      <c r="BA37" s="78"/>
    </row>
    <row r="38" spans="1:53">
      <c r="A38" s="82"/>
      <c r="B38" s="9" t="s">
        <v>285</v>
      </c>
      <c r="C38" s="43"/>
      <c r="D38" s="13"/>
      <c r="E38" s="13"/>
      <c r="F38" s="13"/>
      <c r="G38" s="13"/>
      <c r="H38" s="13"/>
      <c r="I38" s="13"/>
      <c r="J38" s="78"/>
      <c r="K38" s="43"/>
      <c r="L38" s="13"/>
      <c r="M38" s="13"/>
      <c r="N38" s="13"/>
      <c r="O38" s="13"/>
      <c r="P38" s="13"/>
      <c r="Q38" s="13"/>
      <c r="R38" s="78"/>
      <c r="S38" s="43"/>
      <c r="T38" s="13"/>
      <c r="U38" s="13"/>
      <c r="V38" s="13"/>
      <c r="W38" s="13"/>
      <c r="X38" s="13"/>
      <c r="Y38" s="13"/>
      <c r="Z38" s="78"/>
      <c r="AB38" s="82"/>
      <c r="AC38" s="9" t="s">
        <v>285</v>
      </c>
      <c r="AD38" s="43"/>
      <c r="AE38" s="13"/>
      <c r="AF38" s="13"/>
      <c r="AG38" s="13"/>
      <c r="AH38" s="13"/>
      <c r="AI38" s="13"/>
      <c r="AJ38" s="13"/>
      <c r="AK38" s="78"/>
      <c r="AL38" s="43"/>
      <c r="AM38" s="13"/>
      <c r="AN38" s="13"/>
      <c r="AO38" s="13"/>
      <c r="AP38" s="13"/>
      <c r="AQ38" s="13"/>
      <c r="AR38" s="13"/>
      <c r="AS38" s="78"/>
      <c r="AT38" s="43"/>
      <c r="AU38" s="13"/>
      <c r="AV38" s="13"/>
      <c r="AW38" s="13"/>
      <c r="AX38" s="13"/>
      <c r="AY38" s="13"/>
      <c r="AZ38" s="13"/>
      <c r="BA38" s="78"/>
    </row>
    <row r="39" spans="1:53">
      <c r="A39" s="82" t="s">
        <v>288</v>
      </c>
      <c r="B39" s="9" t="s">
        <v>283</v>
      </c>
      <c r="C39" s="43"/>
      <c r="D39" s="13"/>
      <c r="E39" s="13"/>
      <c r="F39" s="13"/>
      <c r="G39" s="13"/>
      <c r="H39" s="13">
        <v>1</v>
      </c>
      <c r="I39" s="13"/>
      <c r="J39" s="78"/>
      <c r="K39" s="43"/>
      <c r="L39" s="13"/>
      <c r="M39" s="13"/>
      <c r="N39" s="13"/>
      <c r="O39" s="13"/>
      <c r="P39" s="13"/>
      <c r="Q39" s="13"/>
      <c r="R39" s="78"/>
      <c r="S39" s="43"/>
      <c r="T39" s="13"/>
      <c r="U39" s="13"/>
      <c r="V39" s="13"/>
      <c r="W39" s="13">
        <v>17</v>
      </c>
      <c r="X39" s="13"/>
      <c r="Y39" s="13"/>
      <c r="Z39" s="78">
        <v>1</v>
      </c>
      <c r="AB39" s="82" t="s">
        <v>288</v>
      </c>
      <c r="AC39" s="9" t="s">
        <v>283</v>
      </c>
      <c r="AD39" s="43"/>
      <c r="AE39" s="13"/>
      <c r="AF39" s="13"/>
      <c r="AG39" s="13"/>
      <c r="AH39" s="13"/>
      <c r="AI39" s="13"/>
      <c r="AJ39" s="13"/>
      <c r="AK39" s="78"/>
      <c r="AL39" s="43"/>
      <c r="AM39" s="13"/>
      <c r="AN39" s="13"/>
      <c r="AO39" s="13"/>
      <c r="AP39" s="13">
        <v>8</v>
      </c>
      <c r="AQ39" s="13">
        <v>1</v>
      </c>
      <c r="AR39" s="13"/>
      <c r="AS39" s="78"/>
      <c r="AT39" s="43"/>
      <c r="AU39" s="13"/>
      <c r="AV39" s="13"/>
      <c r="AW39" s="13"/>
      <c r="AX39" s="13"/>
      <c r="AY39" s="13"/>
      <c r="AZ39" s="13"/>
      <c r="BA39" s="78"/>
    </row>
    <row r="40" spans="1:53">
      <c r="A40" s="82"/>
      <c r="B40" s="9" t="s">
        <v>284</v>
      </c>
      <c r="C40" s="43"/>
      <c r="D40" s="13"/>
      <c r="E40" s="13"/>
      <c r="F40" s="13"/>
      <c r="G40" s="13"/>
      <c r="H40" s="13"/>
      <c r="I40" s="13"/>
      <c r="J40" s="78"/>
      <c r="K40" s="43"/>
      <c r="L40" s="13"/>
      <c r="M40" s="13"/>
      <c r="N40" s="13"/>
      <c r="O40" s="13"/>
      <c r="P40" s="13"/>
      <c r="Q40" s="13"/>
      <c r="R40" s="78"/>
      <c r="S40" s="43"/>
      <c r="T40" s="13"/>
      <c r="U40" s="13"/>
      <c r="V40" s="13"/>
      <c r="W40" s="13">
        <v>19</v>
      </c>
      <c r="X40" s="13"/>
      <c r="Y40" s="13"/>
      <c r="Z40" s="78"/>
      <c r="AB40" s="82"/>
      <c r="AC40" s="9" t="s">
        <v>284</v>
      </c>
      <c r="AD40" s="43"/>
      <c r="AE40" s="13"/>
      <c r="AF40" s="13"/>
      <c r="AG40" s="13"/>
      <c r="AH40" s="13"/>
      <c r="AI40" s="13"/>
      <c r="AJ40" s="13"/>
      <c r="AK40" s="78"/>
      <c r="AL40" s="43"/>
      <c r="AM40" s="13"/>
      <c r="AN40" s="13"/>
      <c r="AO40" s="13"/>
      <c r="AP40" s="13">
        <v>8</v>
      </c>
      <c r="AQ40" s="13"/>
      <c r="AR40" s="13"/>
      <c r="AS40" s="78"/>
      <c r="AT40" s="43"/>
      <c r="AU40" s="13"/>
      <c r="AV40" s="13"/>
      <c r="AW40" s="13"/>
      <c r="AX40" s="13"/>
      <c r="AY40" s="13"/>
      <c r="AZ40" s="13"/>
      <c r="BA40" s="78"/>
    </row>
    <row r="41" spans="1:53">
      <c r="A41" s="82"/>
      <c r="B41" s="9" t="s">
        <v>285</v>
      </c>
      <c r="C41" s="43"/>
      <c r="D41" s="13"/>
      <c r="E41" s="13"/>
      <c r="F41" s="13"/>
      <c r="G41" s="13"/>
      <c r="H41" s="13"/>
      <c r="I41" s="13"/>
      <c r="J41" s="78"/>
      <c r="K41" s="43"/>
      <c r="L41" s="13"/>
      <c r="M41" s="13"/>
      <c r="N41" s="13"/>
      <c r="O41" s="13"/>
      <c r="P41" s="13"/>
      <c r="Q41" s="13"/>
      <c r="R41" s="78"/>
      <c r="S41" s="43"/>
      <c r="T41" s="13"/>
      <c r="U41" s="13"/>
      <c r="V41" s="13"/>
      <c r="W41" s="13"/>
      <c r="X41" s="13"/>
      <c r="Y41" s="13"/>
      <c r="Z41" s="78"/>
      <c r="AB41" s="82"/>
      <c r="AC41" s="9" t="s">
        <v>285</v>
      </c>
      <c r="AD41" s="43"/>
      <c r="AE41" s="13"/>
      <c r="AF41" s="13"/>
      <c r="AG41" s="13"/>
      <c r="AH41" s="13"/>
      <c r="AI41" s="13"/>
      <c r="AJ41" s="13"/>
      <c r="AK41" s="78"/>
      <c r="AL41" s="43"/>
      <c r="AM41" s="13"/>
      <c r="AN41" s="13"/>
      <c r="AO41" s="13"/>
      <c r="AP41" s="13"/>
      <c r="AQ41" s="13"/>
      <c r="AR41" s="13"/>
      <c r="AS41" s="78"/>
      <c r="AT41" s="43"/>
      <c r="AU41" s="13"/>
      <c r="AV41" s="13"/>
      <c r="AW41" s="13"/>
      <c r="AX41" s="13"/>
      <c r="AY41" s="13"/>
      <c r="AZ41" s="13"/>
      <c r="BA41" s="78">
        <v>1</v>
      </c>
    </row>
    <row r="42" spans="1:53">
      <c r="A42" s="82" t="s">
        <v>289</v>
      </c>
      <c r="B42" s="9" t="s">
        <v>283</v>
      </c>
      <c r="C42" s="43"/>
      <c r="D42" s="13"/>
      <c r="E42" s="13"/>
      <c r="F42" s="13"/>
      <c r="G42" s="13"/>
      <c r="H42" s="13"/>
      <c r="I42" s="13"/>
      <c r="J42" s="78"/>
      <c r="K42" s="43"/>
      <c r="L42" s="13"/>
      <c r="M42" s="13"/>
      <c r="N42" s="13"/>
      <c r="O42" s="13"/>
      <c r="P42" s="13"/>
      <c r="Q42" s="13"/>
      <c r="R42" s="78"/>
      <c r="S42" s="43"/>
      <c r="T42" s="13"/>
      <c r="U42" s="13"/>
      <c r="V42" s="13"/>
      <c r="W42" s="13"/>
      <c r="X42" s="13">
        <v>1</v>
      </c>
      <c r="Y42" s="13"/>
      <c r="Z42" s="78"/>
      <c r="AB42" s="82" t="s">
        <v>289</v>
      </c>
      <c r="AC42" s="9" t="s">
        <v>283</v>
      </c>
      <c r="AD42" s="43"/>
      <c r="AE42" s="13"/>
      <c r="AF42" s="13"/>
      <c r="AG42" s="13"/>
      <c r="AH42" s="13">
        <v>10</v>
      </c>
      <c r="AI42" s="13">
        <v>1</v>
      </c>
      <c r="AJ42" s="13"/>
      <c r="AK42" s="78"/>
      <c r="AL42" s="43"/>
      <c r="AM42" s="13"/>
      <c r="AN42" s="13"/>
      <c r="AO42" s="13"/>
      <c r="AP42" s="13"/>
      <c r="AQ42" s="13">
        <v>1</v>
      </c>
      <c r="AR42" s="13"/>
      <c r="AS42" s="78"/>
      <c r="AT42" s="43"/>
      <c r="AU42" s="13"/>
      <c r="AV42" s="13"/>
      <c r="AW42" s="13"/>
      <c r="AX42" s="13"/>
      <c r="AY42" s="13">
        <v>1</v>
      </c>
      <c r="AZ42" s="13">
        <v>1</v>
      </c>
      <c r="BA42" s="78">
        <v>1</v>
      </c>
    </row>
    <row r="43" spans="1:53">
      <c r="A43" s="82"/>
      <c r="B43" s="9" t="s">
        <v>284</v>
      </c>
      <c r="C43" s="43"/>
      <c r="D43" s="13"/>
      <c r="E43" s="13"/>
      <c r="F43" s="13"/>
      <c r="G43" s="13"/>
      <c r="H43" s="13"/>
      <c r="I43" s="13"/>
      <c r="J43" s="78"/>
      <c r="K43" s="43"/>
      <c r="L43" s="13"/>
      <c r="M43" s="13"/>
      <c r="N43" s="13"/>
      <c r="O43" s="13"/>
      <c r="P43" s="13"/>
      <c r="Q43" s="13"/>
      <c r="R43" s="78"/>
      <c r="S43" s="43"/>
      <c r="T43" s="13"/>
      <c r="U43" s="13"/>
      <c r="V43" s="13"/>
      <c r="W43" s="13"/>
      <c r="X43" s="13"/>
      <c r="Y43" s="13"/>
      <c r="Z43" s="78"/>
      <c r="AB43" s="82"/>
      <c r="AC43" s="9" t="s">
        <v>284</v>
      </c>
      <c r="AD43" s="43"/>
      <c r="AE43" s="13"/>
      <c r="AF43" s="13"/>
      <c r="AG43" s="13"/>
      <c r="AH43" s="13">
        <v>13</v>
      </c>
      <c r="AI43" s="13"/>
      <c r="AJ43" s="13"/>
      <c r="AK43" s="78"/>
      <c r="AL43" s="43"/>
      <c r="AM43" s="13"/>
      <c r="AN43" s="13"/>
      <c r="AO43" s="13"/>
      <c r="AP43" s="13"/>
      <c r="AQ43" s="13"/>
      <c r="AR43" s="13"/>
      <c r="AS43" s="78"/>
      <c r="AT43" s="43"/>
      <c r="AU43" s="13"/>
      <c r="AV43" s="13"/>
      <c r="AW43" s="13"/>
      <c r="AX43" s="13"/>
      <c r="AY43" s="13"/>
      <c r="AZ43" s="13"/>
      <c r="BA43" s="78">
        <v>1</v>
      </c>
    </row>
    <row r="44" spans="1:53">
      <c r="A44" s="82"/>
      <c r="B44" s="9" t="s">
        <v>285</v>
      </c>
      <c r="C44" s="43"/>
      <c r="D44" s="13"/>
      <c r="E44" s="13"/>
      <c r="F44" s="13"/>
      <c r="G44" s="13"/>
      <c r="H44" s="13"/>
      <c r="I44" s="13"/>
      <c r="J44" s="78"/>
      <c r="K44" s="43"/>
      <c r="L44" s="13"/>
      <c r="M44" s="13"/>
      <c r="N44" s="13"/>
      <c r="O44" s="13"/>
      <c r="P44" s="13"/>
      <c r="Q44" s="13"/>
      <c r="R44" s="78">
        <v>1</v>
      </c>
      <c r="S44" s="43"/>
      <c r="T44" s="13"/>
      <c r="U44" s="13"/>
      <c r="V44" s="13"/>
      <c r="W44" s="13"/>
      <c r="X44" s="13"/>
      <c r="Y44" s="13"/>
      <c r="Z44" s="78"/>
      <c r="AB44" s="82"/>
      <c r="AC44" s="9" t="s">
        <v>285</v>
      </c>
      <c r="AD44" s="43"/>
      <c r="AE44" s="13"/>
      <c r="AF44" s="13"/>
      <c r="AG44" s="13"/>
      <c r="AH44" s="13"/>
      <c r="AI44" s="13"/>
      <c r="AJ44" s="13"/>
      <c r="AK44" s="78"/>
      <c r="AL44" s="43"/>
      <c r="AM44" s="13"/>
      <c r="AN44" s="13"/>
      <c r="AO44" s="13"/>
      <c r="AP44" s="13"/>
      <c r="AQ44" s="13"/>
      <c r="AR44" s="13"/>
      <c r="AS44" s="78"/>
      <c r="AT44" s="43"/>
      <c r="AU44" s="13"/>
      <c r="AV44" s="13"/>
      <c r="AW44" s="13"/>
      <c r="AX44" s="13"/>
      <c r="AY44" s="13"/>
      <c r="AZ44" s="13"/>
      <c r="BA44" s="78"/>
    </row>
    <row r="45" spans="1:53">
      <c r="A45" s="82" t="s">
        <v>290</v>
      </c>
      <c r="B45" s="9" t="s">
        <v>283</v>
      </c>
      <c r="C45" s="43"/>
      <c r="D45" s="13"/>
      <c r="E45" s="13"/>
      <c r="F45" s="13"/>
      <c r="G45" s="13"/>
      <c r="H45" s="13"/>
      <c r="I45" s="13"/>
      <c r="J45" s="78"/>
      <c r="K45" s="43"/>
      <c r="L45" s="13"/>
      <c r="M45" s="13"/>
      <c r="N45" s="13"/>
      <c r="O45" s="13"/>
      <c r="P45" s="13">
        <v>1</v>
      </c>
      <c r="Q45" s="13"/>
      <c r="R45" s="78">
        <v>1</v>
      </c>
      <c r="S45" s="43"/>
      <c r="T45" s="13"/>
      <c r="U45" s="13"/>
      <c r="V45" s="13"/>
      <c r="W45" s="13"/>
      <c r="X45" s="13"/>
      <c r="Y45" s="13"/>
      <c r="Z45" s="78"/>
      <c r="AB45" s="82" t="s">
        <v>290</v>
      </c>
      <c r="AC45" s="9" t="s">
        <v>283</v>
      </c>
      <c r="AD45" s="43"/>
      <c r="AE45" s="13"/>
      <c r="AF45" s="13"/>
      <c r="AG45" s="13"/>
      <c r="AH45" s="13"/>
      <c r="AI45" s="13"/>
      <c r="AJ45" s="13"/>
      <c r="AK45" s="78"/>
      <c r="AL45" s="43"/>
      <c r="AM45" s="13"/>
      <c r="AN45" s="13"/>
      <c r="AO45" s="13"/>
      <c r="AP45" s="13"/>
      <c r="AQ45" s="13">
        <v>1</v>
      </c>
      <c r="AR45" s="13"/>
      <c r="AS45" s="78"/>
      <c r="AT45" s="43"/>
      <c r="AU45" s="13"/>
      <c r="AV45" s="13"/>
      <c r="AW45" s="13"/>
      <c r="AX45" s="13"/>
      <c r="AY45" s="13">
        <v>1</v>
      </c>
      <c r="AZ45" s="13"/>
      <c r="BA45" s="78"/>
    </row>
    <row r="46" spans="1:53">
      <c r="A46" s="82"/>
      <c r="B46" s="9" t="s">
        <v>284</v>
      </c>
      <c r="C46" s="43"/>
      <c r="D46" s="13"/>
      <c r="E46" s="13"/>
      <c r="F46" s="13"/>
      <c r="G46" s="13"/>
      <c r="H46" s="13"/>
      <c r="I46" s="13"/>
      <c r="J46" s="78"/>
      <c r="K46" s="43"/>
      <c r="L46" s="13"/>
      <c r="M46" s="13"/>
      <c r="N46" s="13"/>
      <c r="O46" s="13"/>
      <c r="P46" s="13"/>
      <c r="Q46" s="13"/>
      <c r="R46" s="78">
        <v>2</v>
      </c>
      <c r="S46" s="43"/>
      <c r="T46" s="13"/>
      <c r="U46" s="13"/>
      <c r="V46" s="13"/>
      <c r="W46" s="13"/>
      <c r="X46" s="13"/>
      <c r="Y46" s="13"/>
      <c r="Z46" s="78"/>
      <c r="AB46" s="82"/>
      <c r="AC46" s="9" t="s">
        <v>284</v>
      </c>
      <c r="AD46" s="43"/>
      <c r="AE46" s="13"/>
      <c r="AF46" s="13"/>
      <c r="AG46" s="13"/>
      <c r="AH46" s="13"/>
      <c r="AI46" s="13"/>
      <c r="AJ46" s="13"/>
      <c r="AK46" s="78"/>
      <c r="AL46" s="43"/>
      <c r="AM46" s="13"/>
      <c r="AN46" s="13"/>
      <c r="AO46" s="13"/>
      <c r="AP46" s="13"/>
      <c r="AQ46" s="13"/>
      <c r="AR46" s="13"/>
      <c r="AS46" s="78"/>
      <c r="AT46" s="43"/>
      <c r="AU46" s="13"/>
      <c r="AV46" s="13"/>
      <c r="AW46" s="13"/>
      <c r="AX46" s="13"/>
      <c r="AY46" s="13"/>
      <c r="AZ46" s="13"/>
      <c r="BA46" s="78"/>
    </row>
    <row r="47" spans="1:53">
      <c r="A47" s="82"/>
      <c r="B47" s="9" t="s">
        <v>285</v>
      </c>
      <c r="C47" s="43"/>
      <c r="D47" s="13"/>
      <c r="E47" s="13"/>
      <c r="F47" s="13"/>
      <c r="G47" s="13"/>
      <c r="H47" s="13"/>
      <c r="I47" s="13"/>
      <c r="J47" s="78"/>
      <c r="K47" s="43"/>
      <c r="L47" s="13"/>
      <c r="M47" s="13"/>
      <c r="N47" s="13"/>
      <c r="O47" s="13"/>
      <c r="P47" s="13"/>
      <c r="Q47" s="13"/>
      <c r="R47" s="78">
        <v>1</v>
      </c>
      <c r="S47" s="43"/>
      <c r="T47" s="13"/>
      <c r="U47" s="13"/>
      <c r="V47" s="13"/>
      <c r="W47" s="13"/>
      <c r="X47" s="13"/>
      <c r="Y47" s="13"/>
      <c r="Z47" s="78"/>
      <c r="AB47" s="82"/>
      <c r="AC47" s="9" t="s">
        <v>285</v>
      </c>
      <c r="AD47" s="43"/>
      <c r="AE47" s="13"/>
      <c r="AF47" s="13"/>
      <c r="AG47" s="13"/>
      <c r="AH47" s="13"/>
      <c r="AI47" s="13"/>
      <c r="AJ47" s="13"/>
      <c r="AK47" s="78"/>
      <c r="AL47" s="43"/>
      <c r="AM47" s="13"/>
      <c r="AN47" s="13"/>
      <c r="AO47" s="13"/>
      <c r="AP47" s="13"/>
      <c r="AQ47" s="13"/>
      <c r="AR47" s="13"/>
      <c r="AS47" s="78"/>
      <c r="AT47" s="43"/>
      <c r="AU47" s="13"/>
      <c r="AV47" s="13"/>
      <c r="AW47" s="13"/>
      <c r="AX47" s="13"/>
      <c r="AY47" s="13"/>
      <c r="AZ47" s="13"/>
      <c r="BA47" s="78"/>
    </row>
    <row r="48" spans="1:53">
      <c r="A48" s="82" t="s">
        <v>291</v>
      </c>
      <c r="B48" s="9" t="s">
        <v>283</v>
      </c>
      <c r="C48" s="43"/>
      <c r="D48" s="13"/>
      <c r="E48" s="13"/>
      <c r="F48" s="13"/>
      <c r="G48" s="13"/>
      <c r="H48" s="13"/>
      <c r="I48" s="13"/>
      <c r="J48" s="78"/>
      <c r="K48" s="43"/>
      <c r="L48" s="13"/>
      <c r="M48" s="13"/>
      <c r="N48" s="13"/>
      <c r="O48" s="13">
        <v>24</v>
      </c>
      <c r="P48" s="13">
        <v>1</v>
      </c>
      <c r="Q48" s="13">
        <v>1</v>
      </c>
      <c r="R48" s="78">
        <v>1</v>
      </c>
      <c r="S48" s="43"/>
      <c r="T48" s="13"/>
      <c r="U48" s="13"/>
      <c r="V48" s="13"/>
      <c r="W48" s="13">
        <v>7</v>
      </c>
      <c r="X48" s="13"/>
      <c r="Y48" s="13"/>
      <c r="Z48" s="78"/>
      <c r="AB48" s="82" t="s">
        <v>291</v>
      </c>
      <c r="AC48" s="9" t="s">
        <v>283</v>
      </c>
      <c r="AD48" s="43"/>
      <c r="AE48" s="13"/>
      <c r="AF48" s="13"/>
      <c r="AG48" s="13"/>
      <c r="AH48" s="13"/>
      <c r="AI48" s="13"/>
      <c r="AJ48" s="13"/>
      <c r="AK48" s="78"/>
      <c r="AL48" s="43"/>
      <c r="AM48" s="13"/>
      <c r="AN48" s="13"/>
      <c r="AO48" s="13"/>
      <c r="AP48" s="13"/>
      <c r="AQ48" s="13"/>
      <c r="AR48" s="13"/>
      <c r="AS48" s="78"/>
      <c r="AT48" s="43"/>
      <c r="AU48" s="13"/>
      <c r="AV48" s="13"/>
      <c r="AW48" s="13"/>
      <c r="AX48" s="13"/>
      <c r="AY48" s="13"/>
      <c r="AZ48" s="13"/>
      <c r="BA48" s="78"/>
    </row>
    <row r="49" spans="1:53">
      <c r="A49" s="82"/>
      <c r="B49" s="9" t="s">
        <v>284</v>
      </c>
      <c r="C49" s="43"/>
      <c r="D49" s="13"/>
      <c r="E49" s="13"/>
      <c r="F49" s="13"/>
      <c r="G49" s="13"/>
      <c r="H49" s="13"/>
      <c r="I49" s="13"/>
      <c r="J49" s="78"/>
      <c r="K49" s="43"/>
      <c r="L49" s="13"/>
      <c r="M49" s="13"/>
      <c r="N49" s="13"/>
      <c r="O49" s="13">
        <v>10</v>
      </c>
      <c r="P49" s="13"/>
      <c r="Q49" s="13"/>
      <c r="R49" s="78"/>
      <c r="S49" s="43"/>
      <c r="T49" s="13"/>
      <c r="U49" s="13"/>
      <c r="V49" s="13"/>
      <c r="W49" s="13">
        <v>19</v>
      </c>
      <c r="X49" s="13"/>
      <c r="Y49" s="13"/>
      <c r="Z49" s="78"/>
      <c r="AB49" s="82"/>
      <c r="AC49" s="9" t="s">
        <v>284</v>
      </c>
      <c r="AD49" s="43"/>
      <c r="AE49" s="13"/>
      <c r="AF49" s="13"/>
      <c r="AG49" s="13"/>
      <c r="AH49" s="13"/>
      <c r="AI49" s="13"/>
      <c r="AJ49" s="13"/>
      <c r="AK49" s="78"/>
      <c r="AL49" s="43"/>
      <c r="AM49" s="13"/>
      <c r="AN49" s="13"/>
      <c r="AO49" s="13"/>
      <c r="AP49" s="13"/>
      <c r="AQ49" s="13"/>
      <c r="AR49" s="13"/>
      <c r="AS49" s="78"/>
      <c r="AT49" s="43"/>
      <c r="AU49" s="13"/>
      <c r="AV49" s="13"/>
      <c r="AW49" s="13"/>
      <c r="AX49" s="13"/>
      <c r="AY49" s="13"/>
      <c r="AZ49" s="13"/>
      <c r="BA49" s="78"/>
    </row>
    <row r="50" spans="1:53" customHeight="1" ht="15">
      <c r="A50" s="81"/>
      <c r="B50" s="55" t="s">
        <v>285</v>
      </c>
      <c r="C50" s="44"/>
      <c r="D50" s="56"/>
      <c r="E50" s="56"/>
      <c r="F50" s="56"/>
      <c r="G50" s="56"/>
      <c r="H50" s="56"/>
      <c r="I50" s="56"/>
      <c r="J50" s="22"/>
      <c r="K50" s="44"/>
      <c r="L50" s="56"/>
      <c r="M50" s="56"/>
      <c r="N50" s="56"/>
      <c r="O50" s="56"/>
      <c r="P50" s="56"/>
      <c r="Q50" s="56"/>
      <c r="R50" s="22"/>
      <c r="S50" s="44"/>
      <c r="T50" s="56"/>
      <c r="U50" s="56"/>
      <c r="V50" s="56"/>
      <c r="W50" s="56"/>
      <c r="X50" s="56"/>
      <c r="Y50" s="56"/>
      <c r="Z50" s="22">
        <v>1</v>
      </c>
      <c r="AB50" s="81"/>
      <c r="AC50" s="55" t="s">
        <v>285</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9" t="s">
        <v>159</v>
      </c>
      <c r="B51" s="80"/>
      <c r="C51" s="84">
        <v>0</v>
      </c>
      <c r="D51" s="83">
        <v>0</v>
      </c>
      <c r="E51" s="83">
        <v>0</v>
      </c>
      <c r="F51" s="83">
        <v>0</v>
      </c>
      <c r="G51" s="83">
        <v>0</v>
      </c>
      <c r="H51" s="83">
        <v>1</v>
      </c>
      <c r="I51" s="83">
        <v>0</v>
      </c>
      <c r="J51" s="83">
        <v>0</v>
      </c>
      <c r="K51" s="84">
        <v>0</v>
      </c>
      <c r="L51" s="83">
        <v>2</v>
      </c>
      <c r="M51" s="83">
        <v>0</v>
      </c>
      <c r="N51" s="83">
        <v>0</v>
      </c>
      <c r="O51" s="83">
        <v>63</v>
      </c>
      <c r="P51" s="83">
        <v>2</v>
      </c>
      <c r="Q51" s="83">
        <v>2</v>
      </c>
      <c r="R51" s="83">
        <v>6</v>
      </c>
      <c r="S51" s="84">
        <v>0</v>
      </c>
      <c r="T51" s="83">
        <v>0</v>
      </c>
      <c r="U51" s="83">
        <v>0</v>
      </c>
      <c r="V51" s="83">
        <v>0</v>
      </c>
      <c r="W51" s="83">
        <v>62</v>
      </c>
      <c r="X51" s="83">
        <v>2</v>
      </c>
      <c r="Y51" s="83">
        <v>0</v>
      </c>
      <c r="Z51" s="86">
        <v>6</v>
      </c>
      <c r="AB51" s="542" t="s">
        <v>159</v>
      </c>
      <c r="AC51" s="543"/>
      <c r="AD51" s="84">
        <v>0</v>
      </c>
      <c r="AE51" s="83">
        <v>0</v>
      </c>
      <c r="AF51" s="83">
        <v>0</v>
      </c>
      <c r="AG51" s="83">
        <v>0</v>
      </c>
      <c r="AH51" s="83">
        <v>23</v>
      </c>
      <c r="AI51" s="83">
        <v>3</v>
      </c>
      <c r="AJ51" s="83">
        <v>0</v>
      </c>
      <c r="AK51" s="83">
        <v>0</v>
      </c>
      <c r="AL51" s="84">
        <v>0</v>
      </c>
      <c r="AM51" s="83">
        <v>0</v>
      </c>
      <c r="AN51" s="83">
        <v>4</v>
      </c>
      <c r="AO51" s="83">
        <v>0</v>
      </c>
      <c r="AP51" s="83">
        <v>41</v>
      </c>
      <c r="AQ51" s="83">
        <v>3</v>
      </c>
      <c r="AR51" s="83">
        <v>0</v>
      </c>
      <c r="AS51" s="83">
        <v>0</v>
      </c>
      <c r="AT51" s="84">
        <v>0</v>
      </c>
      <c r="AU51" s="83">
        <v>0</v>
      </c>
      <c r="AV51" s="83">
        <v>0</v>
      </c>
      <c r="AW51" s="83">
        <v>0</v>
      </c>
      <c r="AX51" s="83">
        <v>0</v>
      </c>
      <c r="AY51" s="83">
        <v>4</v>
      </c>
      <c r="AZ51" s="83">
        <v>1</v>
      </c>
      <c r="BA51" s="86">
        <v>3</v>
      </c>
    </row>
    <row r="52" spans="1:53" customHeight="1" ht="15.5">
      <c r="AB52" s="540" t="s">
        <v>298</v>
      </c>
      <c r="AC52" s="541"/>
      <c r="AD52" s="181">
        <f>SUM(AD51,AL51,AT51,S51,K51,C51,C25,K25,S25,AD25,AL25,AT25)</f>
        <v>2</v>
      </c>
      <c r="AE52" s="181">
        <f>SUM(AE51,AM51,AU51,T51,L51,D51,D25,L25,T25,AE25,AM25,AU25)</f>
        <v>4</v>
      </c>
      <c r="AF52" s="181">
        <f>SUM(AF51,AN51,AV51,U51,M51,E51,E25,M25,U25,AF25,AN25,AV25)</f>
        <v>8</v>
      </c>
      <c r="AG52" s="181">
        <f>SUM(AG51,AO51,AW51,V51,N51,F51,F25,N25,V25,AG25,AO25,AW25)</f>
        <v>14</v>
      </c>
      <c r="AH52" s="181">
        <f>SUM(AH51,AP51,AX51,W51,O51,G51,G25,O25,W25,AH25,AP25,AX25)</f>
        <v>371</v>
      </c>
      <c r="AI52" s="181">
        <f>SUM(AI51+AQ51+AY51+AY25+AQ25+AI25+X25+P25+H25+H51+P51+X51)</f>
        <v>26</v>
      </c>
      <c r="AJ52" s="181">
        <f>SUM(AJ51+AR51+AZ51+AZ25+AR25+AJ25+Y51+Q51+I51+I25+Q25+Y25)</f>
        <v>4</v>
      </c>
      <c r="AK52" s="187">
        <f>SUM(BA51,AS51,AK51,Z51,R51,J51,J25,R25,Z25,AK25,AS25,BA25)</f>
        <v>36</v>
      </c>
      <c r="AL52" s="182"/>
    </row>
    <row r="56" spans="1:53" customHeight="1" ht="15"/>
    <row r="57" spans="1:53">
      <c r="C57" s="534" t="s">
        <v>299</v>
      </c>
      <c r="D57" s="535"/>
      <c r="E57" s="535"/>
      <c r="F57" s="535"/>
      <c r="G57" s="535"/>
      <c r="H57" s="535"/>
      <c r="I57" s="535"/>
      <c r="J57" s="535"/>
      <c r="K57" s="535"/>
      <c r="L57" s="535"/>
      <c r="M57" s="535"/>
      <c r="N57" s="535"/>
      <c r="O57" s="535"/>
      <c r="P57" s="536"/>
    </row>
    <row r="58" spans="1:53">
      <c r="C58" s="537"/>
      <c r="D58" s="538"/>
      <c r="E58" s="538"/>
      <c r="F58" s="538"/>
      <c r="G58" s="538"/>
      <c r="H58" s="538"/>
      <c r="I58" s="538"/>
      <c r="J58" s="538"/>
      <c r="K58" s="538"/>
      <c r="L58" s="538"/>
      <c r="M58" s="538"/>
      <c r="N58" s="538"/>
      <c r="O58" s="538"/>
      <c r="P58" s="539"/>
    </row>
    <row r="59" spans="1:53">
      <c r="C59" s="526" t="s">
        <v>300</v>
      </c>
      <c r="D59" s="527"/>
      <c r="E59" s="527"/>
      <c r="F59" s="527"/>
      <c r="G59" s="527"/>
      <c r="H59" s="527"/>
      <c r="I59" s="527"/>
      <c r="J59" s="530" t="s">
        <v>301</v>
      </c>
      <c r="K59" s="530"/>
      <c r="L59" s="530"/>
      <c r="M59" s="530"/>
      <c r="N59" s="530"/>
      <c r="O59" s="530"/>
      <c r="P59" s="531"/>
    </row>
    <row r="60" spans="1:53">
      <c r="C60" s="526"/>
      <c r="D60" s="527"/>
      <c r="E60" s="527"/>
      <c r="F60" s="527"/>
      <c r="G60" s="527"/>
      <c r="H60" s="527"/>
      <c r="I60" s="527"/>
      <c r="J60" s="530"/>
      <c r="K60" s="530"/>
      <c r="L60" s="530"/>
      <c r="M60" s="530"/>
      <c r="N60" s="530"/>
      <c r="O60" s="530"/>
      <c r="P60" s="531"/>
    </row>
    <row r="61" spans="1:53">
      <c r="C61" s="526" t="s">
        <v>302</v>
      </c>
      <c r="D61" s="527"/>
      <c r="E61" s="527"/>
      <c r="F61" s="527"/>
      <c r="G61" s="527"/>
      <c r="H61" s="527"/>
      <c r="I61" s="527"/>
      <c r="J61" s="530" t="s">
        <v>301</v>
      </c>
      <c r="K61" s="530"/>
      <c r="L61" s="530"/>
      <c r="M61" s="530"/>
      <c r="N61" s="530"/>
      <c r="O61" s="530"/>
      <c r="P61" s="531"/>
    </row>
    <row r="62" spans="1:53">
      <c r="C62" s="526"/>
      <c r="D62" s="527"/>
      <c r="E62" s="527"/>
      <c r="F62" s="527"/>
      <c r="G62" s="527"/>
      <c r="H62" s="527"/>
      <c r="I62" s="527"/>
      <c r="J62" s="530"/>
      <c r="K62" s="530"/>
      <c r="L62" s="530"/>
      <c r="M62" s="530"/>
      <c r="N62" s="530"/>
      <c r="O62" s="530"/>
      <c r="P62" s="531"/>
    </row>
    <row r="63" spans="1:53">
      <c r="C63" s="526" t="s">
        <v>303</v>
      </c>
      <c r="D63" s="527"/>
      <c r="E63" s="527"/>
      <c r="F63" s="527"/>
      <c r="G63" s="527"/>
      <c r="H63" s="527"/>
      <c r="I63" s="527"/>
      <c r="J63" s="530" t="s">
        <v>301</v>
      </c>
      <c r="K63" s="530"/>
      <c r="L63" s="530"/>
      <c r="M63" s="530"/>
      <c r="N63" s="530"/>
      <c r="O63" s="530"/>
      <c r="P63" s="531"/>
    </row>
    <row r="64" spans="1:53">
      <c r="C64" s="526"/>
      <c r="D64" s="527"/>
      <c r="E64" s="527"/>
      <c r="F64" s="527"/>
      <c r="G64" s="527"/>
      <c r="H64" s="527"/>
      <c r="I64" s="527"/>
      <c r="J64" s="530"/>
      <c r="K64" s="530"/>
      <c r="L64" s="530"/>
      <c r="M64" s="530"/>
      <c r="N64" s="530"/>
      <c r="O64" s="530"/>
      <c r="P64" s="531"/>
    </row>
    <row r="65" spans="1:53">
      <c r="C65" s="526" t="s">
        <v>304</v>
      </c>
      <c r="D65" s="527"/>
      <c r="E65" s="527"/>
      <c r="F65" s="527"/>
      <c r="G65" s="527"/>
      <c r="H65" s="527"/>
      <c r="I65" s="527"/>
      <c r="J65" s="530" t="s">
        <v>301</v>
      </c>
      <c r="K65" s="530"/>
      <c r="L65" s="530"/>
      <c r="M65" s="530"/>
      <c r="N65" s="530"/>
      <c r="O65" s="530"/>
      <c r="P65" s="531"/>
    </row>
    <row r="66" spans="1:53">
      <c r="C66" s="526"/>
      <c r="D66" s="527"/>
      <c r="E66" s="527"/>
      <c r="F66" s="527"/>
      <c r="G66" s="527"/>
      <c r="H66" s="527"/>
      <c r="I66" s="527"/>
      <c r="J66" s="530"/>
      <c r="K66" s="530"/>
      <c r="L66" s="530"/>
      <c r="M66" s="530"/>
      <c r="N66" s="530"/>
      <c r="O66" s="530"/>
      <c r="P66" s="531"/>
    </row>
    <row r="67" spans="1:53">
      <c r="C67" s="526" t="s">
        <v>305</v>
      </c>
      <c r="D67" s="527"/>
      <c r="E67" s="527"/>
      <c r="F67" s="527"/>
      <c r="G67" s="527"/>
      <c r="H67" s="527"/>
      <c r="I67" s="527"/>
      <c r="J67" s="530" t="s">
        <v>306</v>
      </c>
      <c r="K67" s="530"/>
      <c r="L67" s="530"/>
      <c r="M67" s="530"/>
      <c r="N67" s="530"/>
      <c r="O67" s="530"/>
      <c r="P67" s="531"/>
    </row>
    <row r="68" spans="1:53">
      <c r="C68" s="526"/>
      <c r="D68" s="527"/>
      <c r="E68" s="527"/>
      <c r="F68" s="527"/>
      <c r="G68" s="527"/>
      <c r="H68" s="527"/>
      <c r="I68" s="527"/>
      <c r="J68" s="530"/>
      <c r="K68" s="530"/>
      <c r="L68" s="530"/>
      <c r="M68" s="530"/>
      <c r="N68" s="530"/>
      <c r="O68" s="530"/>
      <c r="P68" s="531"/>
    </row>
    <row r="69" spans="1:53">
      <c r="C69" s="526" t="s">
        <v>307</v>
      </c>
      <c r="D69" s="527"/>
      <c r="E69" s="527"/>
      <c r="F69" s="527"/>
      <c r="G69" s="527"/>
      <c r="H69" s="527"/>
      <c r="I69" s="527"/>
      <c r="J69" s="530" t="s">
        <v>308</v>
      </c>
      <c r="K69" s="530"/>
      <c r="L69" s="530"/>
      <c r="M69" s="530"/>
      <c r="N69" s="530"/>
      <c r="O69" s="530"/>
      <c r="P69" s="531"/>
    </row>
    <row r="70" spans="1:53">
      <c r="C70" s="526"/>
      <c r="D70" s="527"/>
      <c r="E70" s="527"/>
      <c r="F70" s="527"/>
      <c r="G70" s="527"/>
      <c r="H70" s="527"/>
      <c r="I70" s="527"/>
      <c r="J70" s="530"/>
      <c r="K70" s="530"/>
      <c r="L70" s="530"/>
      <c r="M70" s="530"/>
      <c r="N70" s="530"/>
      <c r="O70" s="530"/>
      <c r="P70" s="531"/>
    </row>
    <row r="71" spans="1:53">
      <c r="C71" s="526" t="s">
        <v>309</v>
      </c>
      <c r="D71" s="527"/>
      <c r="E71" s="527"/>
      <c r="F71" s="527"/>
      <c r="G71" s="527"/>
      <c r="H71" s="527"/>
      <c r="I71" s="527"/>
      <c r="J71" s="530" t="s">
        <v>308</v>
      </c>
      <c r="K71" s="530"/>
      <c r="L71" s="530"/>
      <c r="M71" s="530"/>
      <c r="N71" s="530"/>
      <c r="O71" s="530"/>
      <c r="P71" s="531"/>
    </row>
    <row r="72" spans="1:53">
      <c r="C72" s="526"/>
      <c r="D72" s="527"/>
      <c r="E72" s="527"/>
      <c r="F72" s="527"/>
      <c r="G72" s="527"/>
      <c r="H72" s="527"/>
      <c r="I72" s="527"/>
      <c r="J72" s="530"/>
      <c r="K72" s="530"/>
      <c r="L72" s="530"/>
      <c r="M72" s="530"/>
      <c r="N72" s="530"/>
      <c r="O72" s="530"/>
      <c r="P72" s="531"/>
    </row>
    <row r="73" spans="1:53">
      <c r="C73" s="526" t="s">
        <v>310</v>
      </c>
      <c r="D73" s="527"/>
      <c r="E73" s="527"/>
      <c r="F73" s="527"/>
      <c r="G73" s="527"/>
      <c r="H73" s="527"/>
      <c r="I73" s="527"/>
      <c r="J73" s="530" t="s">
        <v>301</v>
      </c>
      <c r="K73" s="530"/>
      <c r="L73" s="530"/>
      <c r="M73" s="530"/>
      <c r="N73" s="530"/>
      <c r="O73" s="530"/>
      <c r="P73" s="531"/>
    </row>
    <row r="74" spans="1:53" customHeight="1" ht="15">
      <c r="C74" s="528"/>
      <c r="D74" s="529"/>
      <c r="E74" s="529"/>
      <c r="F74" s="529"/>
      <c r="G74" s="529"/>
      <c r="H74" s="529"/>
      <c r="I74" s="529"/>
      <c r="J74" s="532"/>
      <c r="K74" s="532"/>
      <c r="L74" s="532"/>
      <c r="M74" s="532"/>
      <c r="N74" s="532"/>
      <c r="O74" s="532"/>
      <c r="P74" s="533"/>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68"/>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88" t="s">
        <v>311</v>
      </c>
      <c r="B1" s="589"/>
      <c r="C1" s="589"/>
      <c r="D1" s="589"/>
      <c r="E1" s="589"/>
      <c r="F1" s="589"/>
      <c r="G1" s="589"/>
      <c r="H1" s="589"/>
      <c r="I1" s="589"/>
      <c r="J1" s="589"/>
      <c r="K1" s="589"/>
      <c r="L1" s="589"/>
      <c r="M1" s="589"/>
      <c r="N1" s="589"/>
      <c r="O1" s="589"/>
      <c r="P1" s="589"/>
      <c r="Q1" s="589"/>
      <c r="R1" s="589"/>
      <c r="S1" s="589"/>
      <c r="T1" s="589"/>
      <c r="U1" s="589"/>
      <c r="V1" s="589"/>
      <c r="W1" s="589"/>
      <c r="X1" s="590"/>
    </row>
    <row r="2" spans="1:24" customHeight="1" ht="15">
      <c r="A2" s="591"/>
      <c r="B2" s="592"/>
      <c r="C2" s="592"/>
      <c r="D2" s="592"/>
      <c r="E2" s="592"/>
      <c r="F2" s="592"/>
      <c r="G2" s="592"/>
      <c r="H2" s="592"/>
      <c r="I2" s="592"/>
      <c r="J2" s="592"/>
      <c r="K2" s="592"/>
      <c r="L2" s="592"/>
      <c r="M2" s="592"/>
      <c r="N2" s="592"/>
      <c r="O2" s="592"/>
      <c r="P2" s="592"/>
      <c r="Q2" s="592"/>
      <c r="R2" s="592"/>
      <c r="S2" s="592"/>
      <c r="T2" s="592"/>
      <c r="U2" s="592"/>
      <c r="V2" s="592"/>
      <c r="W2" s="592"/>
      <c r="X2" s="593"/>
    </row>
    <row r="3" spans="1:24" customHeight="1" ht="23">
      <c r="A3" s="97"/>
      <c r="B3" s="97"/>
      <c r="C3" s="97"/>
      <c r="D3" s="97"/>
      <c r="E3" s="97"/>
      <c r="F3" s="97"/>
      <c r="G3" s="97"/>
      <c r="H3" s="97"/>
      <c r="I3" s="97"/>
      <c r="J3" s="95"/>
      <c r="K3" s="95"/>
      <c r="L3" s="95"/>
      <c r="M3" s="95"/>
      <c r="N3" s="95"/>
      <c r="O3" s="95"/>
      <c r="P3" s="95"/>
      <c r="Q3" s="95"/>
      <c r="R3" s="95"/>
      <c r="S3" s="95"/>
      <c r="T3" s="95"/>
      <c r="U3" s="95"/>
      <c r="V3" s="95"/>
      <c r="W3" s="95"/>
      <c r="X3" s="95"/>
    </row>
    <row r="4" spans="1:24" customHeight="1" ht="15.5">
      <c r="A4" s="98" t="s">
        <v>147</v>
      </c>
      <c r="B4" s="98"/>
      <c r="C4" s="98"/>
      <c r="D4" s="99"/>
      <c r="E4" s="100"/>
      <c r="F4" s="101"/>
      <c r="G4" s="102"/>
      <c r="H4" s="570" t="s">
        <v>312</v>
      </c>
      <c r="I4" s="571"/>
      <c r="J4" s="571"/>
      <c r="K4" s="571"/>
      <c r="L4" s="571"/>
      <c r="M4" s="571"/>
      <c r="N4" s="572"/>
      <c r="O4" s="103"/>
      <c r="P4" s="103"/>
      <c r="Q4" s="103"/>
      <c r="R4" s="103"/>
      <c r="S4" s="103"/>
      <c r="T4" s="103"/>
      <c r="U4" s="103"/>
      <c r="V4" s="103"/>
      <c r="W4" s="103"/>
      <c r="X4" s="103"/>
    </row>
    <row r="5" spans="1:24" customHeight="1" ht="15.5">
      <c r="A5" s="104" t="s">
        <v>149</v>
      </c>
      <c r="B5" s="104"/>
      <c r="C5" s="104"/>
      <c r="D5" s="99"/>
      <c r="E5" s="573" t="s">
        <v>150</v>
      </c>
      <c r="F5" s="574"/>
      <c r="G5" s="574"/>
      <c r="H5" s="574"/>
      <c r="I5" s="574"/>
      <c r="J5" s="574"/>
      <c r="K5" s="575"/>
      <c r="L5" s="103"/>
      <c r="M5" s="103"/>
      <c r="N5" s="103"/>
      <c r="O5" s="103"/>
      <c r="P5" s="103"/>
      <c r="Q5" s="103"/>
      <c r="R5" s="103"/>
      <c r="S5" s="103"/>
      <c r="T5" s="103"/>
      <c r="U5" s="103"/>
      <c r="V5" s="103"/>
      <c r="W5" s="103"/>
      <c r="X5" s="103"/>
    </row>
    <row r="6" spans="1:24" customHeight="1" ht="15.5">
      <c r="A6" s="104" t="s">
        <v>151</v>
      </c>
      <c r="B6" s="104"/>
      <c r="C6" s="104"/>
      <c r="D6" s="99"/>
      <c r="E6" s="573" t="s">
        <v>152</v>
      </c>
      <c r="F6" s="574"/>
      <c r="G6" s="574"/>
      <c r="H6" s="574"/>
      <c r="I6" s="574"/>
      <c r="J6" s="574"/>
      <c r="K6" s="575"/>
      <c r="L6" s="103"/>
      <c r="M6" s="103"/>
      <c r="N6" s="103"/>
      <c r="O6" s="103"/>
      <c r="P6" s="103"/>
      <c r="Q6" s="103"/>
      <c r="R6" s="103"/>
      <c r="S6" s="103"/>
      <c r="T6" s="103"/>
      <c r="U6" s="103"/>
      <c r="V6" s="103"/>
      <c r="W6" s="103"/>
      <c r="X6" s="103"/>
    </row>
    <row r="7" spans="1:24" customHeight="1" ht="15.5">
      <c r="A7" s="98" t="s">
        <v>313</v>
      </c>
      <c r="B7" s="104"/>
      <c r="C7" s="104"/>
      <c r="D7" s="99"/>
      <c r="E7" s="573"/>
      <c r="F7" s="574"/>
      <c r="G7" s="574"/>
      <c r="H7" s="574"/>
      <c r="I7" s="575"/>
      <c r="J7" s="103"/>
      <c r="K7" s="105" t="s">
        <v>314</v>
      </c>
      <c r="L7" s="106"/>
      <c r="M7" s="103"/>
      <c r="N7" s="103"/>
      <c r="O7" s="576" t="s">
        <v>208</v>
      </c>
      <c r="P7" s="577"/>
      <c r="Q7" s="577"/>
      <c r="R7" s="578"/>
      <c r="S7" s="105"/>
      <c r="T7" s="105"/>
      <c r="U7" s="103"/>
      <c r="V7" s="103"/>
      <c r="W7" s="103"/>
      <c r="X7" s="103"/>
    </row>
    <row r="8" spans="1:24" customHeight="1" ht="15.5">
      <c r="A8" s="98" t="s">
        <v>315</v>
      </c>
      <c r="B8" s="103"/>
      <c r="C8" s="103"/>
      <c r="D8" s="579"/>
      <c r="E8" s="580"/>
      <c r="F8" s="580"/>
      <c r="G8" s="580"/>
      <c r="H8" s="580"/>
      <c r="I8" s="581"/>
      <c r="J8" s="103"/>
      <c r="K8" s="103"/>
      <c r="L8" s="103"/>
      <c r="M8" s="103"/>
      <c r="N8" s="103"/>
      <c r="O8" s="103"/>
      <c r="P8" s="103"/>
      <c r="Q8" s="103"/>
      <c r="R8" s="103"/>
      <c r="S8" s="103"/>
      <c r="T8" s="103"/>
      <c r="U8" s="103"/>
      <c r="V8" s="103"/>
      <c r="W8" s="103"/>
      <c r="X8" s="103"/>
    </row>
    <row r="9" spans="1:24" customHeight="1" ht="15.5">
      <c r="A9" s="107"/>
      <c r="B9" s="107"/>
      <c r="C9" s="107"/>
      <c r="D9" s="107"/>
      <c r="E9" s="107"/>
      <c r="F9" s="107"/>
      <c r="G9" s="107"/>
      <c r="H9" s="107"/>
      <c r="I9" s="107"/>
      <c r="J9" s="103"/>
      <c r="K9" s="103"/>
      <c r="L9" s="103"/>
      <c r="M9" s="103"/>
      <c r="N9" s="103"/>
      <c r="O9" s="103"/>
      <c r="P9" s="103"/>
      <c r="Q9" s="103"/>
      <c r="R9" s="103"/>
      <c r="S9" s="103"/>
      <c r="T9" s="103"/>
      <c r="U9" s="103"/>
      <c r="V9" s="103"/>
      <c r="W9" s="103"/>
      <c r="X9" s="103"/>
    </row>
    <row r="10" spans="1:24" customHeight="1" ht="15.5">
      <c r="A10" s="107"/>
      <c r="B10" s="107"/>
      <c r="C10" s="107"/>
      <c r="D10" s="107"/>
      <c r="E10" s="107"/>
      <c r="F10" s="107"/>
      <c r="G10" s="107"/>
      <c r="H10" s="107"/>
      <c r="I10" s="107"/>
      <c r="J10" s="103"/>
      <c r="K10" s="103"/>
      <c r="L10" s="103"/>
      <c r="M10" s="103"/>
      <c r="N10" s="103"/>
      <c r="O10" s="103"/>
      <c r="P10" s="103"/>
      <c r="Q10" s="103"/>
      <c r="R10" s="103"/>
      <c r="S10" s="103"/>
      <c r="T10" s="103"/>
      <c r="U10" s="103"/>
      <c r="V10" s="103"/>
      <c r="W10" s="103"/>
      <c r="X10" s="103"/>
    </row>
    <row r="11" spans="1:24">
      <c r="A11" s="108"/>
      <c r="B11" s="108"/>
      <c r="C11" s="108"/>
      <c r="D11" s="108"/>
      <c r="E11" s="108"/>
      <c r="F11" s="108"/>
      <c r="G11" s="108"/>
      <c r="H11" s="108"/>
      <c r="I11" s="108"/>
      <c r="J11" s="95"/>
      <c r="K11" s="95"/>
      <c r="L11" s="95"/>
      <c r="M11" s="95"/>
      <c r="N11" s="95"/>
      <c r="O11" s="95"/>
      <c r="P11" s="95"/>
      <c r="Q11" s="95"/>
      <c r="R11" s="95"/>
      <c r="S11" s="95"/>
      <c r="T11" s="95"/>
      <c r="U11" s="95"/>
      <c r="V11" s="95"/>
      <c r="W11" s="95"/>
      <c r="X11" s="95"/>
    </row>
    <row r="12" spans="1:24" customHeight="1" ht="18">
      <c r="A12" s="96" t="s">
        <v>316</v>
      </c>
      <c r="B12" s="109"/>
      <c r="C12" s="110"/>
      <c r="D12" s="109"/>
      <c r="E12" s="109"/>
      <c r="F12" s="109"/>
      <c r="G12" s="109"/>
      <c r="H12" s="109"/>
      <c r="I12" s="109"/>
      <c r="J12" s="111"/>
      <c r="K12" s="111"/>
      <c r="L12" s="111"/>
      <c r="M12" s="111"/>
      <c r="N12" s="111"/>
      <c r="O12" s="111"/>
      <c r="P12" s="111"/>
      <c r="Q12" s="111"/>
      <c r="R12" s="111"/>
      <c r="S12" s="111"/>
      <c r="T12" s="111"/>
      <c r="U12" s="111"/>
      <c r="V12" s="111"/>
      <c r="W12" s="111"/>
      <c r="X12" s="112"/>
    </row>
    <row r="13" spans="1:24" customHeight="1" ht="15.5">
      <c r="A13" s="113" t="s">
        <v>317</v>
      </c>
      <c r="B13" s="114"/>
      <c r="C13" s="115"/>
      <c r="D13" s="115"/>
      <c r="E13" s="115"/>
      <c r="F13" s="115"/>
      <c r="G13" s="116"/>
      <c r="H13" s="117" t="s">
        <v>318</v>
      </c>
      <c r="I13" s="118"/>
      <c r="J13" s="114" t="s">
        <v>319</v>
      </c>
      <c r="K13" s="115"/>
      <c r="L13" s="117" t="s">
        <v>320</v>
      </c>
      <c r="M13" s="118"/>
      <c r="N13" s="115" t="s">
        <v>321</v>
      </c>
      <c r="O13" s="119"/>
      <c r="P13" s="120" t="s">
        <v>322</v>
      </c>
      <c r="Q13" s="116"/>
      <c r="R13" s="116"/>
      <c r="S13" s="115"/>
      <c r="T13" s="115"/>
      <c r="U13" s="115"/>
      <c r="V13" s="115"/>
      <c r="W13" s="115"/>
      <c r="X13" s="121"/>
    </row>
    <row r="14" spans="1:24">
      <c r="A14" s="122"/>
      <c r="B14" s="123"/>
      <c r="C14" s="124"/>
      <c r="D14" s="124"/>
      <c r="E14" s="124"/>
      <c r="F14" s="124"/>
      <c r="G14" s="123"/>
      <c r="H14" s="125" t="s">
        <v>323</v>
      </c>
      <c r="I14" s="126"/>
      <c r="J14" s="127" t="s">
        <v>324</v>
      </c>
      <c r="K14" s="128"/>
      <c r="L14" s="125" t="s">
        <v>325</v>
      </c>
      <c r="M14" s="126"/>
      <c r="N14" s="127" t="s">
        <v>326</v>
      </c>
      <c r="O14" s="129"/>
      <c r="P14" s="130"/>
      <c r="Q14" s="131"/>
      <c r="R14" s="131"/>
      <c r="S14" s="131"/>
      <c r="T14" s="131"/>
      <c r="U14" s="131"/>
      <c r="V14" s="131"/>
      <c r="W14" s="131"/>
      <c r="X14" s="132"/>
    </row>
    <row r="15" spans="1:24">
      <c r="A15" s="624" t="s">
        <v>327</v>
      </c>
      <c r="B15" s="625"/>
      <c r="C15" s="625"/>
      <c r="D15" s="625"/>
      <c r="E15" s="625"/>
      <c r="F15" s="625"/>
      <c r="G15" s="626"/>
      <c r="H15" s="582"/>
      <c r="I15" s="583"/>
      <c r="J15" s="594"/>
      <c r="K15" s="595"/>
      <c r="L15" s="594"/>
      <c r="M15" s="595"/>
      <c r="N15" s="594"/>
      <c r="O15" s="595"/>
      <c r="P15" s="600"/>
      <c r="Q15" s="601"/>
      <c r="R15" s="601"/>
      <c r="S15" s="601"/>
      <c r="T15" s="601"/>
      <c r="U15" s="601"/>
      <c r="V15" s="601"/>
      <c r="W15" s="601"/>
      <c r="X15" s="602"/>
    </row>
    <row r="16" spans="1:24">
      <c r="A16" s="627"/>
      <c r="B16" s="628"/>
      <c r="C16" s="628"/>
      <c r="D16" s="628"/>
      <c r="E16" s="628"/>
      <c r="F16" s="628"/>
      <c r="G16" s="629"/>
      <c r="H16" s="584"/>
      <c r="I16" s="585"/>
      <c r="J16" s="596"/>
      <c r="K16" s="597"/>
      <c r="L16" s="596"/>
      <c r="M16" s="597"/>
      <c r="N16" s="596"/>
      <c r="O16" s="597"/>
      <c r="P16" s="603"/>
      <c r="Q16" s="604"/>
      <c r="R16" s="604"/>
      <c r="S16" s="604"/>
      <c r="T16" s="604"/>
      <c r="U16" s="604"/>
      <c r="V16" s="604"/>
      <c r="W16" s="604"/>
      <c r="X16" s="605"/>
    </row>
    <row r="17" spans="1:24">
      <c r="A17" s="630"/>
      <c r="B17" s="631"/>
      <c r="C17" s="631"/>
      <c r="D17" s="631"/>
      <c r="E17" s="631"/>
      <c r="F17" s="631"/>
      <c r="G17" s="632"/>
      <c r="H17" s="586"/>
      <c r="I17" s="587"/>
      <c r="J17" s="598"/>
      <c r="K17" s="599"/>
      <c r="L17" s="598"/>
      <c r="M17" s="599"/>
      <c r="N17" s="598"/>
      <c r="O17" s="599"/>
      <c r="P17" s="606"/>
      <c r="Q17" s="607"/>
      <c r="R17" s="607"/>
      <c r="S17" s="607"/>
      <c r="T17" s="607"/>
      <c r="U17" s="607"/>
      <c r="V17" s="607"/>
      <c r="W17" s="607"/>
      <c r="X17" s="608"/>
    </row>
    <row r="18" spans="1:24">
      <c r="A18" s="624" t="s">
        <v>328</v>
      </c>
      <c r="B18" s="625"/>
      <c r="C18" s="625"/>
      <c r="D18" s="625"/>
      <c r="E18" s="625"/>
      <c r="F18" s="625"/>
      <c r="G18" s="626"/>
      <c r="H18" s="582"/>
      <c r="I18" s="583"/>
      <c r="J18" s="594"/>
      <c r="K18" s="595"/>
      <c r="L18" s="594"/>
      <c r="M18" s="595"/>
      <c r="N18" s="594"/>
      <c r="O18" s="595"/>
      <c r="P18" s="600"/>
      <c r="Q18" s="601"/>
      <c r="R18" s="601"/>
      <c r="S18" s="601"/>
      <c r="T18" s="601"/>
      <c r="U18" s="601"/>
      <c r="V18" s="601"/>
      <c r="W18" s="601"/>
      <c r="X18" s="602"/>
    </row>
    <row r="19" spans="1:24">
      <c r="A19" s="627"/>
      <c r="B19" s="628"/>
      <c r="C19" s="628"/>
      <c r="D19" s="628"/>
      <c r="E19" s="628"/>
      <c r="F19" s="628"/>
      <c r="G19" s="629"/>
      <c r="H19" s="584"/>
      <c r="I19" s="585"/>
      <c r="J19" s="596"/>
      <c r="K19" s="597"/>
      <c r="L19" s="596"/>
      <c r="M19" s="597"/>
      <c r="N19" s="596"/>
      <c r="O19" s="597"/>
      <c r="P19" s="603"/>
      <c r="Q19" s="604"/>
      <c r="R19" s="604"/>
      <c r="S19" s="604"/>
      <c r="T19" s="604"/>
      <c r="U19" s="604"/>
      <c r="V19" s="604"/>
      <c r="W19" s="604"/>
      <c r="X19" s="605"/>
    </row>
    <row r="20" spans="1:24">
      <c r="A20" s="630"/>
      <c r="B20" s="631"/>
      <c r="C20" s="631"/>
      <c r="D20" s="631"/>
      <c r="E20" s="631"/>
      <c r="F20" s="631"/>
      <c r="G20" s="632"/>
      <c r="H20" s="586"/>
      <c r="I20" s="587"/>
      <c r="J20" s="598"/>
      <c r="K20" s="599"/>
      <c r="L20" s="598"/>
      <c r="M20" s="599"/>
      <c r="N20" s="598"/>
      <c r="O20" s="599"/>
      <c r="P20" s="606"/>
      <c r="Q20" s="607"/>
      <c r="R20" s="607"/>
      <c r="S20" s="607"/>
      <c r="T20" s="607"/>
      <c r="U20" s="607"/>
      <c r="V20" s="607"/>
      <c r="W20" s="607"/>
      <c r="X20" s="608"/>
    </row>
    <row r="21" spans="1:24">
      <c r="A21" s="624" t="s">
        <v>329</v>
      </c>
      <c r="B21" s="625"/>
      <c r="C21" s="625"/>
      <c r="D21" s="625"/>
      <c r="E21" s="625"/>
      <c r="F21" s="625"/>
      <c r="G21" s="626"/>
      <c r="H21" s="582"/>
      <c r="I21" s="583"/>
      <c r="J21" s="594"/>
      <c r="K21" s="595"/>
      <c r="L21" s="594"/>
      <c r="M21" s="595"/>
      <c r="N21" s="594"/>
      <c r="O21" s="595"/>
      <c r="P21" s="600"/>
      <c r="Q21" s="601"/>
      <c r="R21" s="601"/>
      <c r="S21" s="601"/>
      <c r="T21" s="601"/>
      <c r="U21" s="601"/>
      <c r="V21" s="601"/>
      <c r="W21" s="601"/>
      <c r="X21" s="602"/>
    </row>
    <row r="22" spans="1:24">
      <c r="A22" s="627"/>
      <c r="B22" s="628"/>
      <c r="C22" s="628"/>
      <c r="D22" s="628"/>
      <c r="E22" s="628"/>
      <c r="F22" s="628"/>
      <c r="G22" s="629"/>
      <c r="H22" s="584"/>
      <c r="I22" s="585"/>
      <c r="J22" s="596"/>
      <c r="K22" s="597"/>
      <c r="L22" s="596"/>
      <c r="M22" s="597"/>
      <c r="N22" s="596"/>
      <c r="O22" s="597"/>
      <c r="P22" s="603"/>
      <c r="Q22" s="604"/>
      <c r="R22" s="604"/>
      <c r="S22" s="604"/>
      <c r="T22" s="604"/>
      <c r="U22" s="604"/>
      <c r="V22" s="604"/>
      <c r="W22" s="604"/>
      <c r="X22" s="605"/>
    </row>
    <row r="23" spans="1:24">
      <c r="A23" s="630"/>
      <c r="B23" s="631"/>
      <c r="C23" s="631"/>
      <c r="D23" s="631"/>
      <c r="E23" s="631"/>
      <c r="F23" s="631"/>
      <c r="G23" s="632"/>
      <c r="H23" s="586"/>
      <c r="I23" s="587"/>
      <c r="J23" s="598"/>
      <c r="K23" s="599"/>
      <c r="L23" s="598"/>
      <c r="M23" s="599"/>
      <c r="N23" s="598"/>
      <c r="O23" s="599"/>
      <c r="P23" s="606"/>
      <c r="Q23" s="607"/>
      <c r="R23" s="607"/>
      <c r="S23" s="607"/>
      <c r="T23" s="607"/>
      <c r="U23" s="607"/>
      <c r="V23" s="607"/>
      <c r="W23" s="607"/>
      <c r="X23" s="608"/>
    </row>
    <row r="24" spans="1:24">
      <c r="A24" s="624" t="s">
        <v>330</v>
      </c>
      <c r="B24" s="625"/>
      <c r="C24" s="625"/>
      <c r="D24" s="625"/>
      <c r="E24" s="625"/>
      <c r="F24" s="625"/>
      <c r="G24" s="626"/>
      <c r="H24" s="582"/>
      <c r="I24" s="583"/>
      <c r="J24" s="594"/>
      <c r="K24" s="595"/>
      <c r="L24" s="594"/>
      <c r="M24" s="595"/>
      <c r="N24" s="594"/>
      <c r="O24" s="595"/>
      <c r="P24" s="609"/>
      <c r="Q24" s="610"/>
      <c r="R24" s="610"/>
      <c r="S24" s="610"/>
      <c r="T24" s="610"/>
      <c r="U24" s="610"/>
      <c r="V24" s="610"/>
      <c r="W24" s="610"/>
      <c r="X24" s="611"/>
    </row>
    <row r="25" spans="1:24">
      <c r="A25" s="627"/>
      <c r="B25" s="628"/>
      <c r="C25" s="628"/>
      <c r="D25" s="628"/>
      <c r="E25" s="628"/>
      <c r="F25" s="628"/>
      <c r="G25" s="629"/>
      <c r="H25" s="584"/>
      <c r="I25" s="585"/>
      <c r="J25" s="596"/>
      <c r="K25" s="597"/>
      <c r="L25" s="596"/>
      <c r="M25" s="597"/>
      <c r="N25" s="596"/>
      <c r="O25" s="597"/>
      <c r="P25" s="612"/>
      <c r="Q25" s="613"/>
      <c r="R25" s="613"/>
      <c r="S25" s="613"/>
      <c r="T25" s="613"/>
      <c r="U25" s="613"/>
      <c r="V25" s="613"/>
      <c r="W25" s="613"/>
      <c r="X25" s="614"/>
    </row>
    <row r="26" spans="1:24">
      <c r="A26" s="630"/>
      <c r="B26" s="631"/>
      <c r="C26" s="631"/>
      <c r="D26" s="631"/>
      <c r="E26" s="631"/>
      <c r="F26" s="631"/>
      <c r="G26" s="632"/>
      <c r="H26" s="586"/>
      <c r="I26" s="587"/>
      <c r="J26" s="598"/>
      <c r="K26" s="599"/>
      <c r="L26" s="598"/>
      <c r="M26" s="599"/>
      <c r="N26" s="598"/>
      <c r="O26" s="599"/>
      <c r="P26" s="615"/>
      <c r="Q26" s="616"/>
      <c r="R26" s="616"/>
      <c r="S26" s="616"/>
      <c r="T26" s="616"/>
      <c r="U26" s="616"/>
      <c r="V26" s="616"/>
      <c r="W26" s="616"/>
      <c r="X26" s="617"/>
    </row>
    <row r="27" spans="1:24">
      <c r="A27" s="624" t="s">
        <v>331</v>
      </c>
      <c r="B27" s="625"/>
      <c r="C27" s="625"/>
      <c r="D27" s="625"/>
      <c r="E27" s="625"/>
      <c r="F27" s="625"/>
      <c r="G27" s="626"/>
      <c r="H27" s="582"/>
      <c r="I27" s="583"/>
      <c r="J27" s="594"/>
      <c r="K27" s="595"/>
      <c r="L27" s="594"/>
      <c r="M27" s="595"/>
      <c r="N27" s="594"/>
      <c r="O27" s="595"/>
      <c r="P27" s="609"/>
      <c r="Q27" s="610"/>
      <c r="R27" s="610"/>
      <c r="S27" s="610"/>
      <c r="T27" s="610"/>
      <c r="U27" s="610"/>
      <c r="V27" s="610"/>
      <c r="W27" s="610"/>
      <c r="X27" s="611"/>
    </row>
    <row r="28" spans="1:24">
      <c r="A28" s="627"/>
      <c r="B28" s="628"/>
      <c r="C28" s="628"/>
      <c r="D28" s="628"/>
      <c r="E28" s="628"/>
      <c r="F28" s="628"/>
      <c r="G28" s="629"/>
      <c r="H28" s="584"/>
      <c r="I28" s="585"/>
      <c r="J28" s="596"/>
      <c r="K28" s="597"/>
      <c r="L28" s="596"/>
      <c r="M28" s="597"/>
      <c r="N28" s="596"/>
      <c r="O28" s="597"/>
      <c r="P28" s="612"/>
      <c r="Q28" s="613"/>
      <c r="R28" s="613"/>
      <c r="S28" s="613"/>
      <c r="T28" s="613"/>
      <c r="U28" s="613"/>
      <c r="V28" s="613"/>
      <c r="W28" s="613"/>
      <c r="X28" s="614"/>
    </row>
    <row r="29" spans="1:24">
      <c r="A29" s="630"/>
      <c r="B29" s="631"/>
      <c r="C29" s="631"/>
      <c r="D29" s="631"/>
      <c r="E29" s="631"/>
      <c r="F29" s="631"/>
      <c r="G29" s="632"/>
      <c r="H29" s="586"/>
      <c r="I29" s="587"/>
      <c r="J29" s="598"/>
      <c r="K29" s="599"/>
      <c r="L29" s="598"/>
      <c r="M29" s="599"/>
      <c r="N29" s="598"/>
      <c r="O29" s="599"/>
      <c r="P29" s="615"/>
      <c r="Q29" s="616"/>
      <c r="R29" s="616"/>
      <c r="S29" s="616"/>
      <c r="T29" s="616"/>
      <c r="U29" s="616"/>
      <c r="V29" s="616"/>
      <c r="W29" s="616"/>
      <c r="X29" s="617"/>
    </row>
    <row r="30" spans="1:24">
      <c r="A30" s="624" t="s">
        <v>332</v>
      </c>
      <c r="B30" s="625"/>
      <c r="C30" s="625"/>
      <c r="D30" s="625"/>
      <c r="E30" s="625"/>
      <c r="F30" s="625"/>
      <c r="G30" s="626"/>
      <c r="H30" s="582"/>
      <c r="I30" s="583"/>
      <c r="J30" s="594"/>
      <c r="K30" s="595"/>
      <c r="L30" s="594"/>
      <c r="M30" s="595"/>
      <c r="N30" s="594"/>
      <c r="O30" s="595"/>
      <c r="P30" s="609"/>
      <c r="Q30" s="610"/>
      <c r="R30" s="610"/>
      <c r="S30" s="610"/>
      <c r="T30" s="610"/>
      <c r="U30" s="610"/>
      <c r="V30" s="610"/>
      <c r="W30" s="610"/>
      <c r="X30" s="611"/>
    </row>
    <row r="31" spans="1:24">
      <c r="A31" s="627"/>
      <c r="B31" s="628"/>
      <c r="C31" s="628"/>
      <c r="D31" s="628"/>
      <c r="E31" s="628"/>
      <c r="F31" s="628"/>
      <c r="G31" s="629"/>
      <c r="H31" s="584"/>
      <c r="I31" s="585"/>
      <c r="J31" s="596"/>
      <c r="K31" s="597"/>
      <c r="L31" s="596"/>
      <c r="M31" s="597"/>
      <c r="N31" s="596"/>
      <c r="O31" s="597"/>
      <c r="P31" s="612"/>
      <c r="Q31" s="613"/>
      <c r="R31" s="613"/>
      <c r="S31" s="613"/>
      <c r="T31" s="613"/>
      <c r="U31" s="613"/>
      <c r="V31" s="613"/>
      <c r="W31" s="613"/>
      <c r="X31" s="614"/>
    </row>
    <row r="32" spans="1:24">
      <c r="A32" s="630"/>
      <c r="B32" s="631"/>
      <c r="C32" s="631"/>
      <c r="D32" s="631"/>
      <c r="E32" s="631"/>
      <c r="F32" s="631"/>
      <c r="G32" s="632"/>
      <c r="H32" s="586"/>
      <c r="I32" s="587"/>
      <c r="J32" s="598"/>
      <c r="K32" s="599"/>
      <c r="L32" s="598"/>
      <c r="M32" s="599"/>
      <c r="N32" s="598"/>
      <c r="O32" s="599"/>
      <c r="P32" s="615"/>
      <c r="Q32" s="616"/>
      <c r="R32" s="616"/>
      <c r="S32" s="616"/>
      <c r="T32" s="616"/>
      <c r="U32" s="616"/>
      <c r="V32" s="616"/>
      <c r="W32" s="616"/>
      <c r="X32" s="617"/>
    </row>
    <row r="33" spans="1:24">
      <c r="A33" s="624" t="s">
        <v>333</v>
      </c>
      <c r="B33" s="625"/>
      <c r="C33" s="625"/>
      <c r="D33" s="625"/>
      <c r="E33" s="625"/>
      <c r="F33" s="625"/>
      <c r="G33" s="626"/>
      <c r="H33" s="582"/>
      <c r="I33" s="583"/>
      <c r="J33" s="594"/>
      <c r="K33" s="595"/>
      <c r="L33" s="594"/>
      <c r="M33" s="595"/>
      <c r="N33" s="594"/>
      <c r="O33" s="595"/>
      <c r="P33" s="609"/>
      <c r="Q33" s="610"/>
      <c r="R33" s="610"/>
      <c r="S33" s="610"/>
      <c r="T33" s="610"/>
      <c r="U33" s="610"/>
      <c r="V33" s="610"/>
      <c r="W33" s="610"/>
      <c r="X33" s="611"/>
    </row>
    <row r="34" spans="1:24">
      <c r="A34" s="627"/>
      <c r="B34" s="628"/>
      <c r="C34" s="628"/>
      <c r="D34" s="628"/>
      <c r="E34" s="628"/>
      <c r="F34" s="628"/>
      <c r="G34" s="629"/>
      <c r="H34" s="584"/>
      <c r="I34" s="585"/>
      <c r="J34" s="596"/>
      <c r="K34" s="597"/>
      <c r="L34" s="596"/>
      <c r="M34" s="597"/>
      <c r="N34" s="596"/>
      <c r="O34" s="597"/>
      <c r="P34" s="612"/>
      <c r="Q34" s="613"/>
      <c r="R34" s="613"/>
      <c r="S34" s="613"/>
      <c r="T34" s="613"/>
      <c r="U34" s="613"/>
      <c r="V34" s="613"/>
      <c r="W34" s="613"/>
      <c r="X34" s="614"/>
    </row>
    <row r="35" spans="1:24">
      <c r="A35" s="630"/>
      <c r="B35" s="631"/>
      <c r="C35" s="631"/>
      <c r="D35" s="631"/>
      <c r="E35" s="631"/>
      <c r="F35" s="631"/>
      <c r="G35" s="632"/>
      <c r="H35" s="586"/>
      <c r="I35" s="587"/>
      <c r="J35" s="598"/>
      <c r="K35" s="599"/>
      <c r="L35" s="598"/>
      <c r="M35" s="599"/>
      <c r="N35" s="598"/>
      <c r="O35" s="599"/>
      <c r="P35" s="615"/>
      <c r="Q35" s="616"/>
      <c r="R35" s="616"/>
      <c r="S35" s="616"/>
      <c r="T35" s="616"/>
      <c r="U35" s="616"/>
      <c r="V35" s="616"/>
      <c r="W35" s="616"/>
      <c r="X35" s="617"/>
    </row>
    <row r="36" spans="1:24">
      <c r="A36" s="624" t="s">
        <v>334</v>
      </c>
      <c r="B36" s="625"/>
      <c r="C36" s="625"/>
      <c r="D36" s="625"/>
      <c r="E36" s="625"/>
      <c r="F36" s="625"/>
      <c r="G36" s="626"/>
      <c r="H36" s="582"/>
      <c r="I36" s="583"/>
      <c r="J36" s="594"/>
      <c r="K36" s="595"/>
      <c r="L36" s="594"/>
      <c r="M36" s="595"/>
      <c r="N36" s="594"/>
      <c r="O36" s="595"/>
      <c r="P36" s="609"/>
      <c r="Q36" s="610"/>
      <c r="R36" s="610"/>
      <c r="S36" s="610"/>
      <c r="T36" s="610"/>
      <c r="U36" s="610"/>
      <c r="V36" s="610"/>
      <c r="W36" s="610"/>
      <c r="X36" s="611"/>
    </row>
    <row r="37" spans="1:24">
      <c r="A37" s="627"/>
      <c r="B37" s="628"/>
      <c r="C37" s="628"/>
      <c r="D37" s="628"/>
      <c r="E37" s="628"/>
      <c r="F37" s="628"/>
      <c r="G37" s="629"/>
      <c r="H37" s="584"/>
      <c r="I37" s="585"/>
      <c r="J37" s="596"/>
      <c r="K37" s="597"/>
      <c r="L37" s="596"/>
      <c r="M37" s="597"/>
      <c r="N37" s="596"/>
      <c r="O37" s="597"/>
      <c r="P37" s="612"/>
      <c r="Q37" s="613"/>
      <c r="R37" s="613"/>
      <c r="S37" s="613"/>
      <c r="T37" s="613"/>
      <c r="U37" s="613"/>
      <c r="V37" s="613"/>
      <c r="W37" s="613"/>
      <c r="X37" s="614"/>
    </row>
    <row r="38" spans="1:24">
      <c r="A38" s="630"/>
      <c r="B38" s="631"/>
      <c r="C38" s="631"/>
      <c r="D38" s="631"/>
      <c r="E38" s="631"/>
      <c r="F38" s="631"/>
      <c r="G38" s="632"/>
      <c r="H38" s="586"/>
      <c r="I38" s="587"/>
      <c r="J38" s="598"/>
      <c r="K38" s="599"/>
      <c r="L38" s="598"/>
      <c r="M38" s="599"/>
      <c r="N38" s="598"/>
      <c r="O38" s="599"/>
      <c r="P38" s="615"/>
      <c r="Q38" s="616"/>
      <c r="R38" s="616"/>
      <c r="S38" s="616"/>
      <c r="T38" s="616"/>
      <c r="U38" s="616"/>
      <c r="V38" s="616"/>
      <c r="W38" s="616"/>
      <c r="X38" s="617"/>
    </row>
    <row r="39" spans="1:24">
      <c r="A39" s="624" t="s">
        <v>335</v>
      </c>
      <c r="B39" s="625"/>
      <c r="C39" s="625"/>
      <c r="D39" s="625"/>
      <c r="E39" s="625"/>
      <c r="F39" s="625"/>
      <c r="G39" s="626"/>
      <c r="H39" s="582"/>
      <c r="I39" s="583"/>
      <c r="J39" s="594"/>
      <c r="K39" s="595"/>
      <c r="L39" s="594"/>
      <c r="M39" s="595"/>
      <c r="N39" s="594"/>
      <c r="O39" s="595"/>
      <c r="P39" s="600"/>
      <c r="Q39" s="601"/>
      <c r="R39" s="601"/>
      <c r="S39" s="601"/>
      <c r="T39" s="601"/>
      <c r="U39" s="601"/>
      <c r="V39" s="601"/>
      <c r="W39" s="601"/>
      <c r="X39" s="602"/>
    </row>
    <row r="40" spans="1:24">
      <c r="A40" s="627"/>
      <c r="B40" s="628"/>
      <c r="C40" s="628"/>
      <c r="D40" s="628"/>
      <c r="E40" s="628"/>
      <c r="F40" s="628"/>
      <c r="G40" s="629"/>
      <c r="H40" s="584"/>
      <c r="I40" s="585"/>
      <c r="J40" s="596"/>
      <c r="K40" s="597"/>
      <c r="L40" s="596"/>
      <c r="M40" s="597"/>
      <c r="N40" s="596"/>
      <c r="O40" s="597"/>
      <c r="P40" s="603"/>
      <c r="Q40" s="604"/>
      <c r="R40" s="604"/>
      <c r="S40" s="604"/>
      <c r="T40" s="604"/>
      <c r="U40" s="604"/>
      <c r="V40" s="604"/>
      <c r="W40" s="604"/>
      <c r="X40" s="605"/>
    </row>
    <row r="41" spans="1:24">
      <c r="A41" s="630"/>
      <c r="B41" s="631"/>
      <c r="C41" s="631"/>
      <c r="D41" s="631"/>
      <c r="E41" s="631"/>
      <c r="F41" s="631"/>
      <c r="G41" s="632"/>
      <c r="H41" s="586"/>
      <c r="I41" s="587"/>
      <c r="J41" s="598"/>
      <c r="K41" s="599"/>
      <c r="L41" s="598"/>
      <c r="M41" s="599"/>
      <c r="N41" s="598"/>
      <c r="O41" s="599"/>
      <c r="P41" s="606"/>
      <c r="Q41" s="607"/>
      <c r="R41" s="607"/>
      <c r="S41" s="607"/>
      <c r="T41" s="607"/>
      <c r="U41" s="607"/>
      <c r="V41" s="607"/>
      <c r="W41" s="607"/>
      <c r="X41" s="608"/>
    </row>
    <row r="42" spans="1:24">
      <c r="A42" s="624" t="s">
        <v>336</v>
      </c>
      <c r="B42" s="625"/>
      <c r="C42" s="625"/>
      <c r="D42" s="625"/>
      <c r="E42" s="625"/>
      <c r="F42" s="625"/>
      <c r="G42" s="626"/>
      <c r="H42" s="582"/>
      <c r="I42" s="583"/>
      <c r="J42" s="594"/>
      <c r="K42" s="595"/>
      <c r="L42" s="594"/>
      <c r="M42" s="595"/>
      <c r="N42" s="594"/>
      <c r="O42" s="595"/>
      <c r="P42" s="600"/>
      <c r="Q42" s="601"/>
      <c r="R42" s="601"/>
      <c r="S42" s="601"/>
      <c r="T42" s="601"/>
      <c r="U42" s="601"/>
      <c r="V42" s="601"/>
      <c r="W42" s="601"/>
      <c r="X42" s="602"/>
    </row>
    <row r="43" spans="1:24">
      <c r="A43" s="627"/>
      <c r="B43" s="628"/>
      <c r="C43" s="628"/>
      <c r="D43" s="628"/>
      <c r="E43" s="628"/>
      <c r="F43" s="628"/>
      <c r="G43" s="629"/>
      <c r="H43" s="584"/>
      <c r="I43" s="585"/>
      <c r="J43" s="596"/>
      <c r="K43" s="597"/>
      <c r="L43" s="596"/>
      <c r="M43" s="597"/>
      <c r="N43" s="596"/>
      <c r="O43" s="597"/>
      <c r="P43" s="603"/>
      <c r="Q43" s="604"/>
      <c r="R43" s="604"/>
      <c r="S43" s="604"/>
      <c r="T43" s="604"/>
      <c r="U43" s="604"/>
      <c r="V43" s="604"/>
      <c r="W43" s="604"/>
      <c r="X43" s="605"/>
    </row>
    <row r="44" spans="1:24">
      <c r="A44" s="630"/>
      <c r="B44" s="631"/>
      <c r="C44" s="631"/>
      <c r="D44" s="631"/>
      <c r="E44" s="631"/>
      <c r="F44" s="631"/>
      <c r="G44" s="632"/>
      <c r="H44" s="586"/>
      <c r="I44" s="587"/>
      <c r="J44" s="598"/>
      <c r="K44" s="599"/>
      <c r="L44" s="598"/>
      <c r="M44" s="599"/>
      <c r="N44" s="598"/>
      <c r="O44" s="599"/>
      <c r="P44" s="606"/>
      <c r="Q44" s="607"/>
      <c r="R44" s="607"/>
      <c r="S44" s="607"/>
      <c r="T44" s="607"/>
      <c r="U44" s="607"/>
      <c r="V44" s="607"/>
      <c r="W44" s="607"/>
      <c r="X44" s="608"/>
    </row>
    <row r="45" spans="1:24">
      <c r="A45" s="624" t="s">
        <v>337</v>
      </c>
      <c r="B45" s="625"/>
      <c r="C45" s="625"/>
      <c r="D45" s="625"/>
      <c r="E45" s="625"/>
      <c r="F45" s="625"/>
      <c r="G45" s="626"/>
      <c r="H45" s="582"/>
      <c r="I45" s="583"/>
      <c r="J45" s="594"/>
      <c r="K45" s="595"/>
      <c r="L45" s="594"/>
      <c r="M45" s="595"/>
      <c r="N45" s="594"/>
      <c r="O45" s="595"/>
      <c r="P45" s="600"/>
      <c r="Q45" s="601"/>
      <c r="R45" s="601"/>
      <c r="S45" s="601"/>
      <c r="T45" s="601"/>
      <c r="U45" s="601"/>
      <c r="V45" s="601"/>
      <c r="W45" s="601"/>
      <c r="X45" s="602"/>
    </row>
    <row r="46" spans="1:24">
      <c r="A46" s="627"/>
      <c r="B46" s="628"/>
      <c r="C46" s="628"/>
      <c r="D46" s="628"/>
      <c r="E46" s="628"/>
      <c r="F46" s="628"/>
      <c r="G46" s="629"/>
      <c r="H46" s="584"/>
      <c r="I46" s="585"/>
      <c r="J46" s="596"/>
      <c r="K46" s="597"/>
      <c r="L46" s="596"/>
      <c r="M46" s="597"/>
      <c r="N46" s="596"/>
      <c r="O46" s="597"/>
      <c r="P46" s="603"/>
      <c r="Q46" s="604"/>
      <c r="R46" s="604"/>
      <c r="S46" s="604"/>
      <c r="T46" s="604"/>
      <c r="U46" s="604"/>
      <c r="V46" s="604"/>
      <c r="W46" s="604"/>
      <c r="X46" s="605"/>
    </row>
    <row r="47" spans="1:24">
      <c r="A47" s="630"/>
      <c r="B47" s="631"/>
      <c r="C47" s="631"/>
      <c r="D47" s="631"/>
      <c r="E47" s="631"/>
      <c r="F47" s="631"/>
      <c r="G47" s="632"/>
      <c r="H47" s="586"/>
      <c r="I47" s="587"/>
      <c r="J47" s="598"/>
      <c r="K47" s="599"/>
      <c r="L47" s="598"/>
      <c r="M47" s="599"/>
      <c r="N47" s="598"/>
      <c r="O47" s="599"/>
      <c r="P47" s="606"/>
      <c r="Q47" s="607"/>
      <c r="R47" s="607"/>
      <c r="S47" s="607"/>
      <c r="T47" s="607"/>
      <c r="U47" s="607"/>
      <c r="V47" s="607"/>
      <c r="W47" s="607"/>
      <c r="X47" s="608"/>
    </row>
    <row r="48" spans="1:24">
      <c r="A48" s="624" t="s">
        <v>338</v>
      </c>
      <c r="B48" s="625"/>
      <c r="C48" s="625"/>
      <c r="D48" s="625"/>
      <c r="E48" s="625"/>
      <c r="F48" s="625"/>
      <c r="G48" s="626"/>
      <c r="H48" s="582"/>
      <c r="I48" s="583"/>
      <c r="J48" s="594"/>
      <c r="K48" s="595"/>
      <c r="L48" s="594"/>
      <c r="M48" s="595"/>
      <c r="N48" s="594"/>
      <c r="O48" s="595"/>
      <c r="P48" s="609"/>
      <c r="Q48" s="610"/>
      <c r="R48" s="610"/>
      <c r="S48" s="610"/>
      <c r="T48" s="610"/>
      <c r="U48" s="610"/>
      <c r="V48" s="610"/>
      <c r="W48" s="610"/>
      <c r="X48" s="611"/>
    </row>
    <row r="49" spans="1:24">
      <c r="A49" s="627"/>
      <c r="B49" s="628"/>
      <c r="C49" s="628"/>
      <c r="D49" s="628"/>
      <c r="E49" s="628"/>
      <c r="F49" s="628"/>
      <c r="G49" s="629"/>
      <c r="H49" s="584"/>
      <c r="I49" s="585"/>
      <c r="J49" s="596"/>
      <c r="K49" s="597"/>
      <c r="L49" s="596"/>
      <c r="M49" s="597"/>
      <c r="N49" s="596"/>
      <c r="O49" s="597"/>
      <c r="P49" s="612"/>
      <c r="Q49" s="613"/>
      <c r="R49" s="613"/>
      <c r="S49" s="613"/>
      <c r="T49" s="613"/>
      <c r="U49" s="613"/>
      <c r="V49" s="613"/>
      <c r="W49" s="613"/>
      <c r="X49" s="614"/>
    </row>
    <row r="50" spans="1:24">
      <c r="A50" s="630"/>
      <c r="B50" s="631"/>
      <c r="C50" s="631"/>
      <c r="D50" s="631"/>
      <c r="E50" s="631"/>
      <c r="F50" s="631"/>
      <c r="G50" s="632"/>
      <c r="H50" s="586"/>
      <c r="I50" s="587"/>
      <c r="J50" s="598"/>
      <c r="K50" s="599"/>
      <c r="L50" s="598"/>
      <c r="M50" s="599"/>
      <c r="N50" s="598"/>
      <c r="O50" s="599"/>
      <c r="P50" s="615"/>
      <c r="Q50" s="616"/>
      <c r="R50" s="616"/>
      <c r="S50" s="616"/>
      <c r="T50" s="616"/>
      <c r="U50" s="616"/>
      <c r="V50" s="616"/>
      <c r="W50" s="616"/>
      <c r="X50" s="617"/>
    </row>
    <row r="51" spans="1:24">
      <c r="A51" s="624" t="s">
        <v>339</v>
      </c>
      <c r="B51" s="625"/>
      <c r="C51" s="625"/>
      <c r="D51" s="625"/>
      <c r="E51" s="625"/>
      <c r="F51" s="625"/>
      <c r="G51" s="626"/>
      <c r="H51" s="582"/>
      <c r="I51" s="583"/>
      <c r="J51" s="594"/>
      <c r="K51" s="595"/>
      <c r="L51" s="594"/>
      <c r="M51" s="595"/>
      <c r="N51" s="594"/>
      <c r="O51" s="595"/>
      <c r="P51" s="609"/>
      <c r="Q51" s="610"/>
      <c r="R51" s="610"/>
      <c r="S51" s="610"/>
      <c r="T51" s="610"/>
      <c r="U51" s="610"/>
      <c r="V51" s="610"/>
      <c r="W51" s="610"/>
      <c r="X51" s="611"/>
    </row>
    <row r="52" spans="1:24">
      <c r="A52" s="627"/>
      <c r="B52" s="628"/>
      <c r="C52" s="628"/>
      <c r="D52" s="628"/>
      <c r="E52" s="628"/>
      <c r="F52" s="628"/>
      <c r="G52" s="629"/>
      <c r="H52" s="584"/>
      <c r="I52" s="585"/>
      <c r="J52" s="596"/>
      <c r="K52" s="597"/>
      <c r="L52" s="596"/>
      <c r="M52" s="597"/>
      <c r="N52" s="596"/>
      <c r="O52" s="597"/>
      <c r="P52" s="612"/>
      <c r="Q52" s="613"/>
      <c r="R52" s="613"/>
      <c r="S52" s="613"/>
      <c r="T52" s="613"/>
      <c r="U52" s="613"/>
      <c r="V52" s="613"/>
      <c r="W52" s="613"/>
      <c r="X52" s="614"/>
    </row>
    <row r="53" spans="1:24">
      <c r="A53" s="630"/>
      <c r="B53" s="631"/>
      <c r="C53" s="631"/>
      <c r="D53" s="631"/>
      <c r="E53" s="631"/>
      <c r="F53" s="631"/>
      <c r="G53" s="632"/>
      <c r="H53" s="586"/>
      <c r="I53" s="587"/>
      <c r="J53" s="598"/>
      <c r="K53" s="599"/>
      <c r="L53" s="598"/>
      <c r="M53" s="599"/>
      <c r="N53" s="598"/>
      <c r="O53" s="599"/>
      <c r="P53" s="615"/>
      <c r="Q53" s="616"/>
      <c r="R53" s="616"/>
      <c r="S53" s="616"/>
      <c r="T53" s="616"/>
      <c r="U53" s="616"/>
      <c r="V53" s="616"/>
      <c r="W53" s="616"/>
      <c r="X53" s="617"/>
    </row>
    <row r="54" spans="1:24">
      <c r="A54" s="624" t="s">
        <v>340</v>
      </c>
      <c r="B54" s="625"/>
      <c r="C54" s="625"/>
      <c r="D54" s="625"/>
      <c r="E54" s="625"/>
      <c r="F54" s="625"/>
      <c r="G54" s="626"/>
      <c r="H54" s="582"/>
      <c r="I54" s="583"/>
      <c r="J54" s="594"/>
      <c r="K54" s="595"/>
      <c r="L54" s="594"/>
      <c r="M54" s="595"/>
      <c r="N54" s="594"/>
      <c r="O54" s="595"/>
      <c r="P54" s="609"/>
      <c r="Q54" s="610"/>
      <c r="R54" s="610"/>
      <c r="S54" s="610"/>
      <c r="T54" s="610"/>
      <c r="U54" s="610"/>
      <c r="V54" s="610"/>
      <c r="W54" s="610"/>
      <c r="X54" s="611"/>
    </row>
    <row r="55" spans="1:24">
      <c r="A55" s="627"/>
      <c r="B55" s="628"/>
      <c r="C55" s="628"/>
      <c r="D55" s="628"/>
      <c r="E55" s="628"/>
      <c r="F55" s="628"/>
      <c r="G55" s="629"/>
      <c r="H55" s="584"/>
      <c r="I55" s="585"/>
      <c r="J55" s="596"/>
      <c r="K55" s="597"/>
      <c r="L55" s="596"/>
      <c r="M55" s="597"/>
      <c r="N55" s="596"/>
      <c r="O55" s="597"/>
      <c r="P55" s="612"/>
      <c r="Q55" s="613"/>
      <c r="R55" s="613"/>
      <c r="S55" s="613"/>
      <c r="T55" s="613"/>
      <c r="U55" s="613"/>
      <c r="V55" s="613"/>
      <c r="W55" s="613"/>
      <c r="X55" s="614"/>
    </row>
    <row r="56" spans="1:24">
      <c r="A56" s="630"/>
      <c r="B56" s="631"/>
      <c r="C56" s="631"/>
      <c r="D56" s="631"/>
      <c r="E56" s="631"/>
      <c r="F56" s="631"/>
      <c r="G56" s="632"/>
      <c r="H56" s="586"/>
      <c r="I56" s="587"/>
      <c r="J56" s="598"/>
      <c r="K56" s="599"/>
      <c r="L56" s="598"/>
      <c r="M56" s="599"/>
      <c r="N56" s="598"/>
      <c r="O56" s="599"/>
      <c r="P56" s="615"/>
      <c r="Q56" s="616"/>
      <c r="R56" s="616"/>
      <c r="S56" s="616"/>
      <c r="T56" s="616"/>
      <c r="U56" s="616"/>
      <c r="V56" s="616"/>
      <c r="W56" s="616"/>
      <c r="X56" s="617"/>
    </row>
    <row r="57" spans="1:24">
      <c r="A57" s="624" t="s">
        <v>341</v>
      </c>
      <c r="B57" s="625"/>
      <c r="C57" s="625"/>
      <c r="D57" s="625"/>
      <c r="E57" s="625"/>
      <c r="F57" s="625"/>
      <c r="G57" s="626"/>
      <c r="H57" s="582"/>
      <c r="I57" s="583"/>
      <c r="J57" s="594"/>
      <c r="K57" s="595"/>
      <c r="L57" s="594"/>
      <c r="M57" s="595"/>
      <c r="N57" s="594"/>
      <c r="O57" s="595"/>
      <c r="P57" s="609"/>
      <c r="Q57" s="610"/>
      <c r="R57" s="610"/>
      <c r="S57" s="610"/>
      <c r="T57" s="610"/>
      <c r="U57" s="610"/>
      <c r="V57" s="610"/>
      <c r="W57" s="610"/>
      <c r="X57" s="611"/>
    </row>
    <row r="58" spans="1:24">
      <c r="A58" s="627"/>
      <c r="B58" s="628"/>
      <c r="C58" s="628"/>
      <c r="D58" s="628"/>
      <c r="E58" s="628"/>
      <c r="F58" s="628"/>
      <c r="G58" s="629"/>
      <c r="H58" s="584"/>
      <c r="I58" s="585"/>
      <c r="J58" s="596"/>
      <c r="K58" s="597"/>
      <c r="L58" s="596"/>
      <c r="M58" s="597"/>
      <c r="N58" s="596"/>
      <c r="O58" s="597"/>
      <c r="P58" s="612"/>
      <c r="Q58" s="613"/>
      <c r="R58" s="613"/>
      <c r="S58" s="613"/>
      <c r="T58" s="613"/>
      <c r="U58" s="613"/>
      <c r="V58" s="613"/>
      <c r="W58" s="613"/>
      <c r="X58" s="614"/>
    </row>
    <row r="59" spans="1:24">
      <c r="A59" s="630"/>
      <c r="B59" s="631"/>
      <c r="C59" s="631"/>
      <c r="D59" s="631"/>
      <c r="E59" s="631"/>
      <c r="F59" s="631"/>
      <c r="G59" s="632"/>
      <c r="H59" s="586"/>
      <c r="I59" s="587"/>
      <c r="J59" s="598"/>
      <c r="K59" s="599"/>
      <c r="L59" s="598"/>
      <c r="M59" s="599"/>
      <c r="N59" s="598"/>
      <c r="O59" s="599"/>
      <c r="P59" s="615"/>
      <c r="Q59" s="616"/>
      <c r="R59" s="616"/>
      <c r="S59" s="616"/>
      <c r="T59" s="616"/>
      <c r="U59" s="616"/>
      <c r="V59" s="616"/>
      <c r="W59" s="616"/>
      <c r="X59" s="617"/>
    </row>
    <row r="60" spans="1:24">
      <c r="A60" s="133"/>
      <c r="B60" s="133"/>
      <c r="C60" s="134"/>
      <c r="D60" s="134"/>
      <c r="E60" s="134"/>
      <c r="F60" s="134"/>
      <c r="G60" s="134"/>
      <c r="H60" s="135"/>
      <c r="I60" s="135"/>
      <c r="J60" s="95"/>
      <c r="K60" s="95"/>
      <c r="L60" s="95"/>
      <c r="M60" s="95"/>
      <c r="N60" s="95"/>
      <c r="O60" s="95"/>
      <c r="P60" s="95"/>
      <c r="Q60" s="95"/>
      <c r="R60" s="95"/>
      <c r="S60" s="95"/>
      <c r="T60" s="95"/>
      <c r="U60" s="95"/>
      <c r="V60" s="95"/>
      <c r="W60" s="95"/>
      <c r="X60" s="95"/>
    </row>
    <row r="61" spans="1:24">
      <c r="A61" s="136"/>
      <c r="B61" s="137"/>
      <c r="C61" s="138"/>
      <c r="D61" s="138"/>
      <c r="E61" s="138"/>
      <c r="F61" s="138"/>
      <c r="G61" s="138"/>
      <c r="H61" s="138"/>
      <c r="I61" s="138"/>
      <c r="J61" s="139"/>
      <c r="K61" s="139"/>
      <c r="L61" s="139"/>
      <c r="M61" s="139"/>
      <c r="N61" s="139"/>
      <c r="O61" s="139"/>
      <c r="P61" s="139"/>
      <c r="Q61" s="139"/>
      <c r="R61" s="139"/>
      <c r="S61" s="139"/>
      <c r="T61" s="139"/>
      <c r="U61" s="139"/>
      <c r="V61" s="139"/>
      <c r="W61" s="139"/>
      <c r="X61" s="140"/>
    </row>
    <row r="62" spans="1:24" customHeight="1" ht="20.15" s="146" customFormat="1">
      <c r="A62" s="642" t="s">
        <v>342</v>
      </c>
      <c r="B62" s="643"/>
      <c r="C62" s="643"/>
      <c r="D62" s="643"/>
      <c r="E62" s="643"/>
      <c r="F62" s="643"/>
      <c r="G62" s="643"/>
      <c r="H62" s="643"/>
      <c r="I62" s="643"/>
      <c r="J62" s="643"/>
      <c r="K62" s="643"/>
      <c r="L62" s="643"/>
      <c r="M62" s="643"/>
      <c r="N62" s="643"/>
      <c r="O62" s="643"/>
      <c r="P62" s="643"/>
      <c r="Q62" s="643"/>
      <c r="R62" s="643"/>
      <c r="S62" s="643"/>
      <c r="T62" s="643"/>
      <c r="U62" s="643"/>
      <c r="V62" s="643"/>
      <c r="W62" s="643"/>
      <c r="X62" s="644"/>
    </row>
    <row r="63" spans="1:24">
      <c r="A63" s="142"/>
      <c r="B63" s="123"/>
      <c r="C63" s="143"/>
      <c r="D63" s="143"/>
      <c r="E63" s="143"/>
      <c r="F63" s="143"/>
      <c r="G63" s="143"/>
      <c r="H63" s="143"/>
      <c r="I63" s="143"/>
      <c r="J63" s="124"/>
      <c r="K63" s="124"/>
      <c r="L63" s="124"/>
      <c r="M63" s="124"/>
      <c r="N63" s="124"/>
      <c r="O63" s="124"/>
      <c r="P63" s="124"/>
      <c r="Q63" s="124"/>
      <c r="R63" s="124"/>
      <c r="S63" s="124"/>
      <c r="T63" s="124"/>
      <c r="U63" s="124"/>
      <c r="V63" s="124"/>
      <c r="W63" s="124"/>
      <c r="X63" s="144"/>
    </row>
    <row r="64" spans="1:24">
      <c r="A64" s="624" t="s">
        <v>343</v>
      </c>
      <c r="B64" s="625"/>
      <c r="C64" s="625"/>
      <c r="D64" s="625"/>
      <c r="E64" s="625"/>
      <c r="F64" s="625"/>
      <c r="G64" s="626"/>
      <c r="H64" s="618"/>
      <c r="I64" s="619"/>
      <c r="J64" s="600"/>
      <c r="K64" s="602"/>
      <c r="L64" s="594"/>
      <c r="M64" s="595"/>
      <c r="N64" s="600"/>
      <c r="O64" s="602"/>
      <c r="P64" s="609"/>
      <c r="Q64" s="610"/>
      <c r="R64" s="610"/>
      <c r="S64" s="610"/>
      <c r="T64" s="610"/>
      <c r="U64" s="610"/>
      <c r="V64" s="610"/>
      <c r="W64" s="610"/>
      <c r="X64" s="611"/>
    </row>
    <row r="65" spans="1:24">
      <c r="A65" s="627"/>
      <c r="B65" s="628"/>
      <c r="C65" s="628"/>
      <c r="D65" s="628"/>
      <c r="E65" s="628"/>
      <c r="F65" s="628"/>
      <c r="G65" s="629"/>
      <c r="H65" s="620"/>
      <c r="I65" s="621"/>
      <c r="J65" s="603"/>
      <c r="K65" s="605"/>
      <c r="L65" s="596"/>
      <c r="M65" s="597"/>
      <c r="N65" s="603"/>
      <c r="O65" s="605"/>
      <c r="P65" s="612"/>
      <c r="Q65" s="613"/>
      <c r="R65" s="613"/>
      <c r="S65" s="613"/>
      <c r="T65" s="613"/>
      <c r="U65" s="613"/>
      <c r="V65" s="613"/>
      <c r="W65" s="613"/>
      <c r="X65" s="614"/>
    </row>
    <row r="66" spans="1:24">
      <c r="A66" s="630"/>
      <c r="B66" s="631"/>
      <c r="C66" s="631"/>
      <c r="D66" s="631"/>
      <c r="E66" s="631"/>
      <c r="F66" s="631"/>
      <c r="G66" s="632"/>
      <c r="H66" s="622"/>
      <c r="I66" s="623"/>
      <c r="J66" s="606"/>
      <c r="K66" s="608"/>
      <c r="L66" s="598"/>
      <c r="M66" s="599"/>
      <c r="N66" s="606"/>
      <c r="O66" s="608"/>
      <c r="P66" s="615"/>
      <c r="Q66" s="616"/>
      <c r="R66" s="616"/>
      <c r="S66" s="616"/>
      <c r="T66" s="616"/>
      <c r="U66" s="616"/>
      <c r="V66" s="616"/>
      <c r="W66" s="616"/>
      <c r="X66" s="617"/>
    </row>
    <row r="67" spans="1:24">
      <c r="A67" s="624" t="s">
        <v>344</v>
      </c>
      <c r="B67" s="625"/>
      <c r="C67" s="625"/>
      <c r="D67" s="625"/>
      <c r="E67" s="625"/>
      <c r="F67" s="625"/>
      <c r="G67" s="626"/>
      <c r="H67" s="618"/>
      <c r="I67" s="619"/>
      <c r="J67" s="594"/>
      <c r="K67" s="595"/>
      <c r="L67" s="600"/>
      <c r="M67" s="602"/>
      <c r="N67" s="600"/>
      <c r="O67" s="602"/>
      <c r="P67" s="609"/>
      <c r="Q67" s="610"/>
      <c r="R67" s="610"/>
      <c r="S67" s="610"/>
      <c r="T67" s="610"/>
      <c r="U67" s="610"/>
      <c r="V67" s="610"/>
      <c r="W67" s="610"/>
      <c r="X67" s="611"/>
    </row>
    <row r="68" spans="1:24">
      <c r="A68" s="627"/>
      <c r="B68" s="628"/>
      <c r="C68" s="628"/>
      <c r="D68" s="628"/>
      <c r="E68" s="628"/>
      <c r="F68" s="628"/>
      <c r="G68" s="629"/>
      <c r="H68" s="620"/>
      <c r="I68" s="621"/>
      <c r="J68" s="596"/>
      <c r="K68" s="597"/>
      <c r="L68" s="603"/>
      <c r="M68" s="605"/>
      <c r="N68" s="603"/>
      <c r="O68" s="605"/>
      <c r="P68" s="612"/>
      <c r="Q68" s="613"/>
      <c r="R68" s="613"/>
      <c r="S68" s="613"/>
      <c r="T68" s="613"/>
      <c r="U68" s="613"/>
      <c r="V68" s="613"/>
      <c r="W68" s="613"/>
      <c r="X68" s="614"/>
    </row>
    <row r="69" spans="1:24">
      <c r="A69" s="630"/>
      <c r="B69" s="631"/>
      <c r="C69" s="631"/>
      <c r="D69" s="631"/>
      <c r="E69" s="631"/>
      <c r="F69" s="631"/>
      <c r="G69" s="632"/>
      <c r="H69" s="622"/>
      <c r="I69" s="623"/>
      <c r="J69" s="598"/>
      <c r="K69" s="599"/>
      <c r="L69" s="606"/>
      <c r="M69" s="608"/>
      <c r="N69" s="606"/>
      <c r="O69" s="608"/>
      <c r="P69" s="615"/>
      <c r="Q69" s="616"/>
      <c r="R69" s="616"/>
      <c r="S69" s="616"/>
      <c r="T69" s="616"/>
      <c r="U69" s="616"/>
      <c r="V69" s="616"/>
      <c r="W69" s="616"/>
      <c r="X69" s="617"/>
    </row>
    <row r="70" spans="1:24">
      <c r="A70" s="624" t="s">
        <v>345</v>
      </c>
      <c r="B70" s="625"/>
      <c r="C70" s="625"/>
      <c r="D70" s="625"/>
      <c r="E70" s="625"/>
      <c r="F70" s="625"/>
      <c r="G70" s="626"/>
      <c r="H70" s="582"/>
      <c r="I70" s="583"/>
      <c r="J70" s="600"/>
      <c r="K70" s="602"/>
      <c r="L70" s="600"/>
      <c r="M70" s="602"/>
      <c r="N70" s="600"/>
      <c r="O70" s="602"/>
      <c r="P70" s="609"/>
      <c r="Q70" s="610"/>
      <c r="R70" s="610"/>
      <c r="S70" s="610"/>
      <c r="T70" s="610"/>
      <c r="U70" s="610"/>
      <c r="V70" s="610"/>
      <c r="W70" s="610"/>
      <c r="X70" s="611"/>
    </row>
    <row r="71" spans="1:24">
      <c r="A71" s="627"/>
      <c r="B71" s="628"/>
      <c r="C71" s="628"/>
      <c r="D71" s="628"/>
      <c r="E71" s="628"/>
      <c r="F71" s="628"/>
      <c r="G71" s="629"/>
      <c r="H71" s="584"/>
      <c r="I71" s="585"/>
      <c r="J71" s="603"/>
      <c r="K71" s="605"/>
      <c r="L71" s="603"/>
      <c r="M71" s="605"/>
      <c r="N71" s="603"/>
      <c r="O71" s="605"/>
      <c r="P71" s="612"/>
      <c r="Q71" s="613"/>
      <c r="R71" s="613"/>
      <c r="S71" s="613"/>
      <c r="T71" s="613"/>
      <c r="U71" s="613"/>
      <c r="V71" s="613"/>
      <c r="W71" s="613"/>
      <c r="X71" s="614"/>
    </row>
    <row r="72" spans="1:24">
      <c r="A72" s="630"/>
      <c r="B72" s="631"/>
      <c r="C72" s="631"/>
      <c r="D72" s="631"/>
      <c r="E72" s="631"/>
      <c r="F72" s="631"/>
      <c r="G72" s="632"/>
      <c r="H72" s="586"/>
      <c r="I72" s="587"/>
      <c r="J72" s="606"/>
      <c r="K72" s="608"/>
      <c r="L72" s="606"/>
      <c r="M72" s="608"/>
      <c r="N72" s="606"/>
      <c r="O72" s="608"/>
      <c r="P72" s="615"/>
      <c r="Q72" s="616"/>
      <c r="R72" s="616"/>
      <c r="S72" s="616"/>
      <c r="T72" s="616"/>
      <c r="U72" s="616"/>
      <c r="V72" s="616"/>
      <c r="W72" s="616"/>
      <c r="X72" s="617"/>
    </row>
    <row r="73" spans="1:24">
      <c r="A73" s="624" t="s">
        <v>346</v>
      </c>
      <c r="B73" s="625"/>
      <c r="C73" s="625"/>
      <c r="D73" s="625"/>
      <c r="E73" s="625"/>
      <c r="F73" s="625"/>
      <c r="G73" s="626"/>
      <c r="H73" s="582"/>
      <c r="I73" s="583"/>
      <c r="J73" s="600"/>
      <c r="K73" s="602"/>
      <c r="L73" s="600"/>
      <c r="M73" s="602"/>
      <c r="N73" s="600"/>
      <c r="O73" s="602"/>
      <c r="P73" s="600"/>
      <c r="Q73" s="601"/>
      <c r="R73" s="601"/>
      <c r="S73" s="601"/>
      <c r="T73" s="601"/>
      <c r="U73" s="601"/>
      <c r="V73" s="601"/>
      <c r="W73" s="601"/>
      <c r="X73" s="602"/>
    </row>
    <row r="74" spans="1:24">
      <c r="A74" s="627"/>
      <c r="B74" s="628"/>
      <c r="C74" s="628"/>
      <c r="D74" s="628"/>
      <c r="E74" s="628"/>
      <c r="F74" s="628"/>
      <c r="G74" s="629"/>
      <c r="H74" s="584"/>
      <c r="I74" s="585"/>
      <c r="J74" s="603"/>
      <c r="K74" s="605"/>
      <c r="L74" s="603"/>
      <c r="M74" s="605"/>
      <c r="N74" s="603"/>
      <c r="O74" s="605"/>
      <c r="P74" s="603"/>
      <c r="Q74" s="604"/>
      <c r="R74" s="604"/>
      <c r="S74" s="604"/>
      <c r="T74" s="604"/>
      <c r="U74" s="604"/>
      <c r="V74" s="604"/>
      <c r="W74" s="604"/>
      <c r="X74" s="605"/>
    </row>
    <row r="75" spans="1:24">
      <c r="A75" s="630"/>
      <c r="B75" s="631"/>
      <c r="C75" s="631"/>
      <c r="D75" s="631"/>
      <c r="E75" s="631"/>
      <c r="F75" s="631"/>
      <c r="G75" s="632"/>
      <c r="H75" s="586"/>
      <c r="I75" s="587"/>
      <c r="J75" s="606"/>
      <c r="K75" s="608"/>
      <c r="L75" s="606"/>
      <c r="M75" s="608"/>
      <c r="N75" s="606"/>
      <c r="O75" s="608"/>
      <c r="P75" s="606"/>
      <c r="Q75" s="607"/>
      <c r="R75" s="607"/>
      <c r="S75" s="607"/>
      <c r="T75" s="607"/>
      <c r="U75" s="607"/>
      <c r="V75" s="607"/>
      <c r="W75" s="607"/>
      <c r="X75" s="608"/>
    </row>
    <row r="76" spans="1:24">
      <c r="A76" s="135"/>
      <c r="B76" s="135"/>
      <c r="C76" s="135"/>
      <c r="D76" s="135"/>
      <c r="E76" s="135"/>
      <c r="F76" s="135"/>
      <c r="G76" s="135"/>
      <c r="H76" s="135"/>
      <c r="I76" s="135"/>
      <c r="J76" s="95"/>
      <c r="K76" s="95"/>
      <c r="L76" s="95"/>
      <c r="M76" s="95"/>
      <c r="N76" s="95"/>
      <c r="O76" s="95"/>
      <c r="P76" s="95"/>
      <c r="Q76" s="95"/>
      <c r="R76" s="95"/>
      <c r="S76" s="95"/>
      <c r="T76" s="95"/>
      <c r="U76" s="95"/>
      <c r="V76" s="95"/>
      <c r="W76" s="95"/>
      <c r="X76" s="95"/>
    </row>
    <row r="77" spans="1:24">
      <c r="A77" s="135"/>
      <c r="B77" s="135"/>
      <c r="C77" s="135"/>
      <c r="D77" s="135"/>
      <c r="E77" s="135"/>
      <c r="F77" s="135"/>
      <c r="G77" s="135"/>
      <c r="H77" s="135"/>
      <c r="I77" s="135"/>
      <c r="J77" s="95"/>
      <c r="K77" s="95"/>
      <c r="L77" s="95"/>
      <c r="M77" s="95"/>
      <c r="N77" s="95"/>
      <c r="O77" s="95"/>
      <c r="P77" s="95"/>
      <c r="Q77" s="95"/>
      <c r="R77" s="95"/>
      <c r="S77" s="95"/>
      <c r="T77" s="95"/>
      <c r="U77" s="95"/>
      <c r="V77" s="95"/>
      <c r="W77" s="95"/>
      <c r="X77" s="95"/>
    </row>
    <row r="78" spans="1:24">
      <c r="A78" s="135"/>
      <c r="B78" s="135"/>
      <c r="C78" s="135"/>
      <c r="D78" s="135"/>
      <c r="E78" s="135"/>
      <c r="F78" s="135"/>
      <c r="G78" s="135"/>
      <c r="H78" s="135"/>
      <c r="I78" s="135"/>
      <c r="J78" s="95"/>
      <c r="K78" s="95"/>
      <c r="L78" s="95"/>
      <c r="M78" s="95"/>
      <c r="N78" s="95"/>
      <c r="O78" s="95"/>
      <c r="P78" s="95"/>
      <c r="Q78" s="95"/>
      <c r="R78" s="95"/>
      <c r="S78" s="95"/>
      <c r="T78" s="95"/>
      <c r="U78" s="95"/>
      <c r="V78" s="95"/>
      <c r="W78" s="95"/>
      <c r="X78" s="95"/>
    </row>
    <row r="79" spans="1:24" customHeight="1" ht="15">
      <c r="A79" s="135"/>
      <c r="B79" s="135"/>
      <c r="C79" s="135"/>
      <c r="D79" s="135"/>
      <c r="E79" s="135"/>
      <c r="F79" s="135"/>
      <c r="G79" s="135"/>
      <c r="H79" s="135"/>
      <c r="I79" s="135"/>
      <c r="J79" s="95"/>
      <c r="K79" s="95"/>
      <c r="L79" s="95"/>
      <c r="M79" s="95"/>
      <c r="N79" s="95"/>
      <c r="O79" s="95"/>
      <c r="P79" s="95"/>
      <c r="Q79" s="95"/>
      <c r="R79" s="95"/>
      <c r="S79" s="95"/>
      <c r="T79" s="95"/>
      <c r="U79" s="95"/>
      <c r="V79" s="95"/>
      <c r="W79" s="95"/>
      <c r="X79" s="95"/>
    </row>
    <row r="80" spans="1:24">
      <c r="A80" s="135"/>
      <c r="B80" s="135"/>
      <c r="C80" s="135"/>
      <c r="D80" s="135"/>
      <c r="E80" s="135"/>
      <c r="F80" s="135"/>
      <c r="G80" s="135"/>
      <c r="H80" s="135"/>
      <c r="I80" s="135"/>
      <c r="J80" s="633" t="s">
        <v>347</v>
      </c>
      <c r="K80" s="634"/>
      <c r="L80" s="634"/>
      <c r="M80" s="634"/>
      <c r="N80" s="634"/>
      <c r="O80" s="635"/>
      <c r="P80" s="95"/>
      <c r="Q80" s="95"/>
      <c r="R80" s="95"/>
      <c r="S80" s="95"/>
      <c r="T80" s="95"/>
      <c r="U80" s="95"/>
      <c r="V80" s="95"/>
      <c r="W80" s="95"/>
      <c r="X80" s="95"/>
    </row>
    <row r="81" spans="1:24">
      <c r="A81" s="145"/>
      <c r="B81" s="134"/>
      <c r="C81" s="134"/>
      <c r="D81" s="134"/>
      <c r="E81" s="134"/>
      <c r="F81" s="134"/>
      <c r="G81" s="134"/>
      <c r="H81" s="134"/>
      <c r="I81" s="134"/>
      <c r="J81" s="636"/>
      <c r="K81" s="637"/>
      <c r="L81" s="637"/>
      <c r="M81" s="637"/>
      <c r="N81" s="637"/>
      <c r="O81" s="638"/>
      <c r="P81" s="141"/>
      <c r="Q81" s="141"/>
      <c r="R81" s="141"/>
      <c r="S81" s="141"/>
      <c r="T81" s="141"/>
      <c r="U81" s="141"/>
      <c r="V81" s="141"/>
      <c r="W81" s="141"/>
      <c r="X81" s="141"/>
    </row>
    <row r="82" spans="1:24" customHeight="1" ht="15">
      <c r="A82" s="145"/>
      <c r="B82" s="134"/>
      <c r="C82" s="134"/>
      <c r="D82" s="134"/>
      <c r="E82" s="134"/>
      <c r="F82" s="134"/>
      <c r="G82" s="134"/>
      <c r="H82" s="134"/>
      <c r="I82" s="134"/>
      <c r="J82" s="639"/>
      <c r="K82" s="640"/>
      <c r="L82" s="640"/>
      <c r="M82" s="640"/>
      <c r="N82" s="640"/>
      <c r="O82" s="641"/>
      <c r="P82" s="141"/>
      <c r="Q82" s="141"/>
      <c r="R82" s="141"/>
      <c r="S82" s="141"/>
      <c r="T82" s="141"/>
      <c r="U82" s="141"/>
      <c r="V82" s="141"/>
      <c r="W82" s="141"/>
      <c r="X82" s="141"/>
    </row>
    <row r="83" spans="1:24" customHeight="1" ht="15">
      <c r="A83" s="145"/>
      <c r="B83" s="134"/>
      <c r="C83" s="134"/>
      <c r="D83" s="134"/>
      <c r="E83" s="134"/>
      <c r="F83" s="134"/>
      <c r="G83" s="134"/>
      <c r="H83" s="134"/>
      <c r="I83" s="134"/>
      <c r="J83" s="155"/>
      <c r="K83" s="155"/>
      <c r="L83" s="155"/>
      <c r="M83" s="155"/>
      <c r="N83" s="155"/>
      <c r="O83" s="155"/>
      <c r="P83" s="141"/>
      <c r="Q83" s="141"/>
      <c r="R83" s="141"/>
      <c r="S83" s="141"/>
      <c r="T83" s="141"/>
      <c r="U83" s="141"/>
      <c r="V83" s="141"/>
      <c r="W83" s="141"/>
      <c r="X83" s="141"/>
    </row>
    <row r="84" spans="1:24">
      <c r="A84" s="145"/>
      <c r="B84" s="134"/>
      <c r="C84" s="134"/>
      <c r="D84" s="134"/>
      <c r="E84" s="134"/>
      <c r="F84" s="134"/>
      <c r="G84" s="134"/>
      <c r="H84" s="134"/>
      <c r="I84" s="134"/>
      <c r="J84" s="154"/>
      <c r="K84" s="154"/>
      <c r="L84" s="154"/>
      <c r="M84" s="154"/>
      <c r="N84" s="154"/>
      <c r="O84" s="154"/>
      <c r="P84" s="141"/>
      <c r="Q84" s="141"/>
      <c r="R84" s="141"/>
      <c r="S84" s="141"/>
      <c r="T84" s="141"/>
      <c r="U84" s="141"/>
      <c r="V84" s="141"/>
      <c r="W84" s="141"/>
      <c r="X84" s="141"/>
    </row>
    <row r="85" spans="1:24" customHeight="1" ht="15">
      <c r="A85" s="135"/>
      <c r="B85" s="135"/>
      <c r="C85" s="135"/>
      <c r="D85" s="135"/>
      <c r="E85" s="135"/>
      <c r="F85" s="135"/>
      <c r="G85" s="135"/>
      <c r="H85" s="135"/>
      <c r="I85" s="135"/>
      <c r="J85" s="153"/>
      <c r="K85" s="153"/>
      <c r="L85" s="153"/>
      <c r="M85" s="153"/>
      <c r="N85" s="153"/>
      <c r="O85" s="153"/>
      <c r="P85" s="95"/>
      <c r="Q85" s="95"/>
      <c r="R85" s="95"/>
      <c r="S85" s="95"/>
      <c r="T85" s="95"/>
      <c r="U85" s="95"/>
      <c r="V85" s="95"/>
      <c r="W85" s="95"/>
      <c r="X85" s="95"/>
    </row>
    <row r="86" spans="1:24" customHeight="1" ht="16">
      <c r="A86" s="559" t="s">
        <v>348</v>
      </c>
      <c r="B86" s="560"/>
      <c r="C86" s="560"/>
      <c r="D86" s="560"/>
      <c r="E86" s="560"/>
      <c r="F86" s="560"/>
      <c r="G86" s="560"/>
      <c r="H86" s="560"/>
      <c r="I86" s="560"/>
      <c r="J86" s="560"/>
      <c r="K86" s="560"/>
      <c r="L86" s="560"/>
      <c r="M86" s="560"/>
      <c r="N86" s="560"/>
      <c r="O86" s="560"/>
      <c r="P86" s="560"/>
      <c r="Q86" s="560"/>
      <c r="R86" s="560"/>
      <c r="S86" s="560"/>
      <c r="T86" s="560"/>
      <c r="U86" s="560"/>
      <c r="V86" s="560"/>
      <c r="W86" s="560"/>
      <c r="X86" s="561"/>
    </row>
    <row r="87" spans="1:24">
      <c r="A87" s="562" t="s">
        <v>51</v>
      </c>
      <c r="B87" s="563"/>
      <c r="C87" s="564" t="s">
        <v>349</v>
      </c>
      <c r="D87" s="565"/>
      <c r="E87" s="565"/>
      <c r="F87" s="565"/>
      <c r="G87" s="565"/>
      <c r="H87" s="563"/>
      <c r="I87" s="564" t="s">
        <v>350</v>
      </c>
      <c r="J87" s="565"/>
      <c r="K87" s="565"/>
      <c r="L87" s="565"/>
      <c r="M87" s="565"/>
      <c r="N87" s="565"/>
      <c r="O87" s="565"/>
      <c r="P87" s="565"/>
      <c r="Q87" s="563"/>
      <c r="R87" s="564" t="s">
        <v>351</v>
      </c>
      <c r="S87" s="565"/>
      <c r="T87" s="565"/>
      <c r="U87" s="565"/>
      <c r="V87" s="565"/>
      <c r="W87" s="565"/>
      <c r="X87" s="566"/>
    </row>
    <row r="88" spans="1:24" customHeight="1" ht="30" s="151" customFormat="1">
      <c r="A88" s="552"/>
      <c r="B88" s="567"/>
      <c r="C88" s="554"/>
      <c r="D88" s="568"/>
      <c r="E88" s="568"/>
      <c r="F88" s="568"/>
      <c r="G88" s="568"/>
      <c r="H88" s="569"/>
      <c r="I88" s="557"/>
      <c r="J88" s="555"/>
      <c r="K88" s="555"/>
      <c r="L88" s="555"/>
      <c r="M88" s="555"/>
      <c r="N88" s="555"/>
      <c r="O88" s="555"/>
      <c r="P88" s="555"/>
      <c r="Q88" s="556"/>
      <c r="R88" s="557"/>
      <c r="S88" s="555"/>
      <c r="T88" s="555"/>
      <c r="U88" s="555"/>
      <c r="V88" s="555"/>
      <c r="W88" s="555"/>
      <c r="X88" s="558"/>
    </row>
    <row r="89" spans="1:24" customHeight="1" ht="30" s="95" customFormat="1">
      <c r="A89" s="551"/>
      <c r="B89" s="549"/>
      <c r="C89" s="547"/>
      <c r="D89" s="548"/>
      <c r="E89" s="548"/>
      <c r="F89" s="548"/>
      <c r="G89" s="548"/>
      <c r="H89" s="549"/>
      <c r="I89" s="547"/>
      <c r="J89" s="548"/>
      <c r="K89" s="548"/>
      <c r="L89" s="548"/>
      <c r="M89" s="548"/>
      <c r="N89" s="548"/>
      <c r="O89" s="548"/>
      <c r="P89" s="548"/>
      <c r="Q89" s="549"/>
      <c r="R89" s="547"/>
      <c r="S89" s="548"/>
      <c r="T89" s="548"/>
      <c r="U89" s="548"/>
      <c r="V89" s="548"/>
      <c r="W89" s="548"/>
      <c r="X89" s="550"/>
    </row>
    <row r="90" spans="1:24" customHeight="1" ht="13.5" s="95" customFormat="1">
      <c r="A90" s="328"/>
      <c r="B90" s="328"/>
      <c r="C90" s="328"/>
      <c r="D90" s="328"/>
      <c r="E90" s="328"/>
      <c r="F90" s="328"/>
      <c r="G90" s="328"/>
      <c r="H90" s="328"/>
      <c r="I90" s="328"/>
      <c r="J90" s="328"/>
      <c r="K90" s="328"/>
      <c r="L90" s="328"/>
      <c r="M90" s="328"/>
      <c r="N90" s="328"/>
      <c r="O90" s="328"/>
      <c r="P90" s="328"/>
      <c r="Q90" s="328"/>
      <c r="R90" s="328"/>
      <c r="S90" s="328"/>
      <c r="T90" s="328"/>
      <c r="U90" s="328"/>
      <c r="V90" s="328"/>
      <c r="W90" s="328"/>
      <c r="X90" s="328"/>
    </row>
    <row r="91" spans="1:24" customHeight="1" ht="13.5" s="95" customFormat="1">
      <c r="A91" s="336"/>
      <c r="B91" s="336"/>
      <c r="C91" s="336"/>
      <c r="D91" s="336"/>
      <c r="E91" s="336"/>
      <c r="F91" s="336"/>
      <c r="G91" s="336"/>
      <c r="H91" s="336"/>
      <c r="I91" s="336"/>
      <c r="J91" s="336"/>
      <c r="K91" s="336"/>
      <c r="L91" s="336"/>
      <c r="M91" s="336"/>
      <c r="N91" s="336"/>
      <c r="O91" s="336"/>
      <c r="P91" s="336"/>
      <c r="Q91" s="336"/>
      <c r="R91" s="336"/>
      <c r="S91" s="336"/>
      <c r="T91" s="336"/>
      <c r="U91" s="336"/>
      <c r="V91" s="336"/>
      <c r="W91" s="336"/>
      <c r="X91" s="336"/>
    </row>
    <row r="92" spans="1:24" customHeight="1" ht="16" s="95" customFormat="1">
      <c r="A92" s="559" t="s">
        <v>352</v>
      </c>
      <c r="B92" s="560"/>
      <c r="C92" s="560"/>
      <c r="D92" s="560"/>
      <c r="E92" s="560"/>
      <c r="F92" s="560"/>
      <c r="G92" s="560"/>
      <c r="H92" s="560"/>
      <c r="I92" s="560"/>
      <c r="J92" s="560"/>
      <c r="K92" s="560"/>
      <c r="L92" s="560"/>
      <c r="M92" s="560"/>
      <c r="N92" s="560"/>
      <c r="O92" s="560"/>
      <c r="P92" s="560"/>
      <c r="Q92" s="560"/>
      <c r="R92" s="560"/>
      <c r="S92" s="560"/>
      <c r="T92" s="560"/>
      <c r="U92" s="560"/>
      <c r="V92" s="560"/>
      <c r="W92" s="560"/>
      <c r="X92" s="561"/>
    </row>
    <row r="93" spans="1:24" s="95" customFormat="1">
      <c r="A93" s="562" t="s">
        <v>51</v>
      </c>
      <c r="B93" s="563"/>
      <c r="C93" s="564" t="s">
        <v>349</v>
      </c>
      <c r="D93" s="565"/>
      <c r="E93" s="565"/>
      <c r="F93" s="565"/>
      <c r="G93" s="565"/>
      <c r="H93" s="563"/>
      <c r="I93" s="564" t="s">
        <v>350</v>
      </c>
      <c r="J93" s="565"/>
      <c r="K93" s="565"/>
      <c r="L93" s="565"/>
      <c r="M93" s="565"/>
      <c r="N93" s="565"/>
      <c r="O93" s="565"/>
      <c r="P93" s="565"/>
      <c r="Q93" s="563"/>
      <c r="R93" s="564" t="s">
        <v>351</v>
      </c>
      <c r="S93" s="565"/>
      <c r="T93" s="565"/>
      <c r="U93" s="565"/>
      <c r="V93" s="565"/>
      <c r="W93" s="565"/>
      <c r="X93" s="566"/>
    </row>
    <row r="94" spans="1:24" customHeight="1" ht="30" s="151" customFormat="1">
      <c r="A94" s="552" t="s">
        <v>353</v>
      </c>
      <c r="B94" s="553"/>
      <c r="C94" s="554" t="s">
        <v>354</v>
      </c>
      <c r="D94" s="555"/>
      <c r="E94" s="555"/>
      <c r="F94" s="555"/>
      <c r="G94" s="555"/>
      <c r="H94" s="556"/>
      <c r="I94" s="557" t="s">
        <v>355</v>
      </c>
      <c r="J94" s="555"/>
      <c r="K94" s="555"/>
      <c r="L94" s="555"/>
      <c r="M94" s="555"/>
      <c r="N94" s="555"/>
      <c r="O94" s="555"/>
      <c r="P94" s="555"/>
      <c r="Q94" s="556"/>
      <c r="R94" s="557" t="s">
        <v>356</v>
      </c>
      <c r="S94" s="555"/>
      <c r="T94" s="555"/>
      <c r="U94" s="555"/>
      <c r="V94" s="555"/>
      <c r="W94" s="555"/>
      <c r="X94" s="558"/>
    </row>
    <row r="95" spans="1:24" customHeight="1" ht="30">
      <c r="A95" s="552" t="s">
        <v>357</v>
      </c>
      <c r="B95" s="553"/>
      <c r="C95" s="554" t="s">
        <v>354</v>
      </c>
      <c r="D95" s="555"/>
      <c r="E95" s="555"/>
      <c r="F95" s="555"/>
      <c r="G95" s="555"/>
      <c r="H95" s="556"/>
      <c r="I95" s="557" t="s">
        <v>358</v>
      </c>
      <c r="J95" s="555"/>
      <c r="K95" s="555"/>
      <c r="L95" s="555"/>
      <c r="M95" s="555"/>
      <c r="N95" s="555"/>
      <c r="O95" s="555"/>
      <c r="P95" s="555"/>
      <c r="Q95" s="556"/>
      <c r="R95" s="557" t="s">
        <v>359</v>
      </c>
      <c r="S95" s="555"/>
      <c r="T95" s="555"/>
      <c r="U95" s="555"/>
      <c r="V95" s="555"/>
      <c r="W95" s="555"/>
      <c r="X95" s="558"/>
    </row>
    <row r="96" spans="1:24" customHeight="1" ht="30">
      <c r="A96" s="552" t="s">
        <v>360</v>
      </c>
      <c r="B96" s="553"/>
      <c r="C96" s="554" t="s">
        <v>354</v>
      </c>
      <c r="D96" s="555"/>
      <c r="E96" s="555"/>
      <c r="F96" s="555"/>
      <c r="G96" s="555"/>
      <c r="H96" s="556"/>
      <c r="I96" s="557" t="s">
        <v>361</v>
      </c>
      <c r="J96" s="555"/>
      <c r="K96" s="555"/>
      <c r="L96" s="555"/>
      <c r="M96" s="555"/>
      <c r="N96" s="555"/>
      <c r="O96" s="555"/>
      <c r="P96" s="555"/>
      <c r="Q96" s="556"/>
      <c r="R96" s="557" t="s">
        <v>362</v>
      </c>
      <c r="S96" s="555"/>
      <c r="T96" s="555"/>
      <c r="U96" s="555"/>
      <c r="V96" s="555"/>
      <c r="W96" s="555"/>
      <c r="X96" s="558"/>
    </row>
    <row r="97" spans="1:24" customHeight="1" ht="30">
      <c r="A97" s="552" t="s">
        <v>363</v>
      </c>
      <c r="B97" s="553"/>
      <c r="C97" s="554" t="s">
        <v>354</v>
      </c>
      <c r="D97" s="555"/>
      <c r="E97" s="555"/>
      <c r="F97" s="555"/>
      <c r="G97" s="555"/>
      <c r="H97" s="556"/>
      <c r="I97" s="557" t="s">
        <v>361</v>
      </c>
      <c r="J97" s="555"/>
      <c r="K97" s="555"/>
      <c r="L97" s="555"/>
      <c r="M97" s="555"/>
      <c r="N97" s="555"/>
      <c r="O97" s="555"/>
      <c r="P97" s="555"/>
      <c r="Q97" s="556"/>
      <c r="R97" s="557" t="s">
        <v>362</v>
      </c>
      <c r="S97" s="555"/>
      <c r="T97" s="555"/>
      <c r="U97" s="555"/>
      <c r="V97" s="555"/>
      <c r="W97" s="555"/>
      <c r="X97" s="558"/>
    </row>
    <row r="98" spans="1:24" customHeight="1" ht="30">
      <c r="A98" s="552" t="s">
        <v>364</v>
      </c>
      <c r="B98" s="553"/>
      <c r="C98" s="554" t="s">
        <v>354</v>
      </c>
      <c r="D98" s="555"/>
      <c r="E98" s="555"/>
      <c r="F98" s="555"/>
      <c r="G98" s="555"/>
      <c r="H98" s="556"/>
      <c r="I98" s="557" t="s">
        <v>361</v>
      </c>
      <c r="J98" s="555"/>
      <c r="K98" s="555"/>
      <c r="L98" s="555"/>
      <c r="M98" s="555"/>
      <c r="N98" s="555"/>
      <c r="O98" s="555"/>
      <c r="P98" s="555"/>
      <c r="Q98" s="556"/>
      <c r="R98" s="557" t="s">
        <v>362</v>
      </c>
      <c r="S98" s="555"/>
      <c r="T98" s="555"/>
      <c r="U98" s="555"/>
      <c r="V98" s="555"/>
      <c r="W98" s="555"/>
      <c r="X98" s="558"/>
    </row>
    <row r="99" spans="1:24" customHeight="1" ht="30">
      <c r="A99" s="552"/>
      <c r="B99" s="553"/>
      <c r="C99" s="554"/>
      <c r="D99" s="555"/>
      <c r="E99" s="555"/>
      <c r="F99" s="555"/>
      <c r="G99" s="555"/>
      <c r="H99" s="556"/>
      <c r="I99" s="557"/>
      <c r="J99" s="555"/>
      <c r="K99" s="555"/>
      <c r="L99" s="555"/>
      <c r="M99" s="555"/>
      <c r="N99" s="555"/>
      <c r="O99" s="555"/>
      <c r="P99" s="555"/>
      <c r="Q99" s="556"/>
      <c r="R99" s="557"/>
      <c r="S99" s="555"/>
      <c r="T99" s="555"/>
      <c r="U99" s="555"/>
      <c r="V99" s="555"/>
      <c r="W99" s="555"/>
      <c r="X99" s="558"/>
    </row>
    <row r="100" spans="1:24" customHeight="1" ht="30" s="95" customFormat="1">
      <c r="A100" s="551"/>
      <c r="B100" s="549"/>
      <c r="C100" s="547"/>
      <c r="D100" s="548"/>
      <c r="E100" s="548"/>
      <c r="F100" s="548"/>
      <c r="G100" s="548"/>
      <c r="H100" s="549"/>
      <c r="I100" s="547"/>
      <c r="J100" s="548"/>
      <c r="K100" s="548"/>
      <c r="L100" s="548"/>
      <c r="M100" s="548"/>
      <c r="N100" s="548"/>
      <c r="O100" s="548"/>
      <c r="P100" s="548"/>
      <c r="Q100" s="549"/>
      <c r="R100" s="547"/>
      <c r="S100" s="548"/>
      <c r="T100" s="548"/>
      <c r="U100" s="548"/>
      <c r="V100" s="548"/>
      <c r="W100" s="548"/>
      <c r="X100" s="550"/>
    </row>
    <row r="101" spans="1:24" customHeight="1" ht="18.75" s="95" customFormat="1">
      <c r="A101" s="328"/>
      <c r="B101" s="328"/>
      <c r="C101" s="328"/>
      <c r="D101" s="328"/>
      <c r="E101" s="328"/>
      <c r="F101" s="328"/>
      <c r="G101" s="328"/>
      <c r="H101" s="328"/>
      <c r="I101" s="328"/>
      <c r="J101" s="328"/>
      <c r="K101" s="328"/>
      <c r="L101" s="328"/>
      <c r="M101" s="328"/>
      <c r="N101" s="328"/>
      <c r="O101" s="328"/>
      <c r="P101" s="328"/>
      <c r="Q101" s="328"/>
      <c r="R101" s="328"/>
      <c r="S101" s="328"/>
      <c r="T101" s="328"/>
      <c r="U101" s="328"/>
      <c r="V101" s="328"/>
      <c r="W101" s="328"/>
      <c r="X101" s="328"/>
    </row>
    <row r="102" spans="1:24" customHeight="1" ht="12.75" s="95" customFormat="1">
      <c r="A102" s="336"/>
      <c r="B102" s="336"/>
      <c r="C102" s="336"/>
      <c r="D102" s="336"/>
      <c r="E102" s="336"/>
      <c r="F102" s="336"/>
      <c r="G102" s="336"/>
      <c r="H102" s="336"/>
      <c r="I102" s="336"/>
      <c r="J102" s="336"/>
      <c r="K102" s="336"/>
      <c r="L102" s="336"/>
      <c r="M102" s="336"/>
      <c r="N102" s="336"/>
      <c r="O102" s="336"/>
      <c r="P102" s="336"/>
      <c r="Q102" s="336"/>
      <c r="R102" s="336"/>
      <c r="S102" s="336"/>
      <c r="T102" s="336"/>
      <c r="U102" s="336"/>
      <c r="V102" s="336"/>
      <c r="W102" s="336"/>
      <c r="X102" s="336"/>
    </row>
    <row r="103" spans="1:24" customHeight="1" ht="16" s="95" customFormat="1">
      <c r="A103" s="559" t="s">
        <v>365</v>
      </c>
      <c r="B103" s="560"/>
      <c r="C103" s="560"/>
      <c r="D103" s="560"/>
      <c r="E103" s="560"/>
      <c r="F103" s="560"/>
      <c r="G103" s="560"/>
      <c r="H103" s="560"/>
      <c r="I103" s="560"/>
      <c r="J103" s="560"/>
      <c r="K103" s="560"/>
      <c r="L103" s="560"/>
      <c r="M103" s="560"/>
      <c r="N103" s="560"/>
      <c r="O103" s="560"/>
      <c r="P103" s="560"/>
      <c r="Q103" s="560"/>
      <c r="R103" s="560"/>
      <c r="S103" s="560"/>
      <c r="T103" s="560"/>
      <c r="U103" s="560"/>
      <c r="V103" s="560"/>
      <c r="W103" s="560"/>
      <c r="X103" s="561"/>
    </row>
    <row r="104" spans="1:24" s="95" customFormat="1">
      <c r="A104" s="562" t="s">
        <v>51</v>
      </c>
      <c r="B104" s="563"/>
      <c r="C104" s="564" t="s">
        <v>349</v>
      </c>
      <c r="D104" s="565"/>
      <c r="E104" s="565"/>
      <c r="F104" s="565"/>
      <c r="G104" s="565"/>
      <c r="H104" s="563"/>
      <c r="I104" s="564" t="s">
        <v>350</v>
      </c>
      <c r="J104" s="565"/>
      <c r="K104" s="565"/>
      <c r="L104" s="565"/>
      <c r="M104" s="565"/>
      <c r="N104" s="565"/>
      <c r="O104" s="565"/>
      <c r="P104" s="565"/>
      <c r="Q104" s="563"/>
      <c r="R104" s="564" t="s">
        <v>351</v>
      </c>
      <c r="S104" s="565"/>
      <c r="T104" s="565"/>
      <c r="U104" s="565"/>
      <c r="V104" s="565"/>
      <c r="W104" s="565"/>
      <c r="X104" s="566"/>
    </row>
    <row r="105" spans="1:24" customHeight="1" ht="30" s="151" customFormat="1">
      <c r="A105" s="552" t="s">
        <v>366</v>
      </c>
      <c r="B105" s="553"/>
      <c r="C105" s="554" t="s">
        <v>367</v>
      </c>
      <c r="D105" s="555"/>
      <c r="E105" s="555"/>
      <c r="F105" s="555"/>
      <c r="G105" s="555"/>
      <c r="H105" s="556"/>
      <c r="I105" s="557" t="s">
        <v>368</v>
      </c>
      <c r="J105" s="555"/>
      <c r="K105" s="555"/>
      <c r="L105" s="555"/>
      <c r="M105" s="555"/>
      <c r="N105" s="555"/>
      <c r="O105" s="555"/>
      <c r="P105" s="555"/>
      <c r="Q105" s="556"/>
      <c r="R105" s="557" t="s">
        <v>369</v>
      </c>
      <c r="S105" s="555"/>
      <c r="T105" s="555"/>
      <c r="U105" s="555"/>
      <c r="V105" s="555"/>
      <c r="W105" s="555"/>
      <c r="X105" s="558"/>
    </row>
    <row r="106" spans="1:24" customHeight="1" ht="30">
      <c r="A106" s="552" t="s">
        <v>370</v>
      </c>
      <c r="B106" s="553"/>
      <c r="C106" s="554" t="s">
        <v>354</v>
      </c>
      <c r="D106" s="555"/>
      <c r="E106" s="555"/>
      <c r="F106" s="555"/>
      <c r="G106" s="555"/>
      <c r="H106" s="556"/>
      <c r="I106" s="557" t="s">
        <v>371</v>
      </c>
      <c r="J106" s="555"/>
      <c r="K106" s="555"/>
      <c r="L106" s="555"/>
      <c r="M106" s="555"/>
      <c r="N106" s="555"/>
      <c r="O106" s="555"/>
      <c r="P106" s="555"/>
      <c r="Q106" s="556"/>
      <c r="R106" s="557" t="s">
        <v>372</v>
      </c>
      <c r="S106" s="555"/>
      <c r="T106" s="555"/>
      <c r="U106" s="555"/>
      <c r="V106" s="555"/>
      <c r="W106" s="555"/>
      <c r="X106" s="558"/>
    </row>
    <row r="107" spans="1:24" customHeight="1" ht="30">
      <c r="A107" s="552" t="s">
        <v>373</v>
      </c>
      <c r="B107" s="553"/>
      <c r="C107" s="554" t="s">
        <v>354</v>
      </c>
      <c r="D107" s="555"/>
      <c r="E107" s="555"/>
      <c r="F107" s="555"/>
      <c r="G107" s="555"/>
      <c r="H107" s="556"/>
      <c r="I107" s="557" t="s">
        <v>371</v>
      </c>
      <c r="J107" s="555"/>
      <c r="K107" s="555"/>
      <c r="L107" s="555"/>
      <c r="M107" s="555"/>
      <c r="N107" s="555"/>
      <c r="O107" s="555"/>
      <c r="P107" s="555"/>
      <c r="Q107" s="556"/>
      <c r="R107" s="557" t="s">
        <v>372</v>
      </c>
      <c r="S107" s="555"/>
      <c r="T107" s="555"/>
      <c r="U107" s="555"/>
      <c r="V107" s="555"/>
      <c r="W107" s="555"/>
      <c r="X107" s="558"/>
    </row>
    <row r="108" spans="1:24" customHeight="1" ht="30">
      <c r="A108" s="552" t="s">
        <v>374</v>
      </c>
      <c r="B108" s="553"/>
      <c r="C108" s="554" t="s">
        <v>367</v>
      </c>
      <c r="D108" s="555"/>
      <c r="E108" s="555"/>
      <c r="F108" s="555"/>
      <c r="G108" s="555"/>
      <c r="H108" s="556"/>
      <c r="I108" s="557" t="s">
        <v>375</v>
      </c>
      <c r="J108" s="555"/>
      <c r="K108" s="555"/>
      <c r="L108" s="555"/>
      <c r="M108" s="555"/>
      <c r="N108" s="555"/>
      <c r="O108" s="555"/>
      <c r="P108" s="555"/>
      <c r="Q108" s="556"/>
      <c r="R108" s="557" t="s">
        <v>376</v>
      </c>
      <c r="S108" s="555"/>
      <c r="T108" s="555"/>
      <c r="U108" s="555"/>
      <c r="V108" s="555"/>
      <c r="W108" s="555"/>
      <c r="X108" s="558"/>
    </row>
    <row r="109" spans="1:24" customHeight="1" ht="30">
      <c r="A109" s="552" t="s">
        <v>377</v>
      </c>
      <c r="B109" s="553"/>
      <c r="C109" s="554" t="s">
        <v>367</v>
      </c>
      <c r="D109" s="555"/>
      <c r="E109" s="555"/>
      <c r="F109" s="555"/>
      <c r="G109" s="555"/>
      <c r="H109" s="556"/>
      <c r="I109" s="557" t="s">
        <v>375</v>
      </c>
      <c r="J109" s="555"/>
      <c r="K109" s="555"/>
      <c r="L109" s="555"/>
      <c r="M109" s="555"/>
      <c r="N109" s="555"/>
      <c r="O109" s="555"/>
      <c r="P109" s="555"/>
      <c r="Q109" s="556"/>
      <c r="R109" s="557" t="s">
        <v>376</v>
      </c>
      <c r="S109" s="555"/>
      <c r="T109" s="555"/>
      <c r="U109" s="555"/>
      <c r="V109" s="555"/>
      <c r="W109" s="555"/>
      <c r="X109" s="558"/>
    </row>
    <row r="110" spans="1:24" customHeight="1" ht="30">
      <c r="A110" s="552" t="s">
        <v>378</v>
      </c>
      <c r="B110" s="553"/>
      <c r="C110" s="554" t="s">
        <v>367</v>
      </c>
      <c r="D110" s="555"/>
      <c r="E110" s="555"/>
      <c r="F110" s="555"/>
      <c r="G110" s="555"/>
      <c r="H110" s="556"/>
      <c r="I110" s="557" t="s">
        <v>375</v>
      </c>
      <c r="J110" s="555"/>
      <c r="K110" s="555"/>
      <c r="L110" s="555"/>
      <c r="M110" s="555"/>
      <c r="N110" s="555"/>
      <c r="O110" s="555"/>
      <c r="P110" s="555"/>
      <c r="Q110" s="556"/>
      <c r="R110" s="557" t="s">
        <v>376</v>
      </c>
      <c r="S110" s="555"/>
      <c r="T110" s="555"/>
      <c r="U110" s="555"/>
      <c r="V110" s="555"/>
      <c r="W110" s="555"/>
      <c r="X110" s="558"/>
    </row>
    <row r="111" spans="1:24" customHeight="1" ht="30">
      <c r="A111" s="552" t="s">
        <v>379</v>
      </c>
      <c r="B111" s="553"/>
      <c r="C111" s="554" t="s">
        <v>354</v>
      </c>
      <c r="D111" s="555"/>
      <c r="E111" s="555"/>
      <c r="F111" s="555"/>
      <c r="G111" s="555"/>
      <c r="H111" s="556"/>
      <c r="I111" s="557" t="s">
        <v>380</v>
      </c>
      <c r="J111" s="555"/>
      <c r="K111" s="555"/>
      <c r="L111" s="555"/>
      <c r="M111" s="555"/>
      <c r="N111" s="555"/>
      <c r="O111" s="555"/>
      <c r="P111" s="555"/>
      <c r="Q111" s="556"/>
      <c r="R111" s="557" t="s">
        <v>381</v>
      </c>
      <c r="S111" s="555"/>
      <c r="T111" s="555"/>
      <c r="U111" s="555"/>
      <c r="V111" s="555"/>
      <c r="W111" s="555"/>
      <c r="X111" s="558"/>
    </row>
    <row r="112" spans="1:24" customHeight="1" ht="30">
      <c r="A112" s="552" t="s">
        <v>382</v>
      </c>
      <c r="B112" s="553"/>
      <c r="C112" s="554" t="s">
        <v>367</v>
      </c>
      <c r="D112" s="555"/>
      <c r="E112" s="555"/>
      <c r="F112" s="555"/>
      <c r="G112" s="555"/>
      <c r="H112" s="556"/>
      <c r="I112" s="557" t="s">
        <v>383</v>
      </c>
      <c r="J112" s="555"/>
      <c r="K112" s="555"/>
      <c r="L112" s="555"/>
      <c r="M112" s="555"/>
      <c r="N112" s="555"/>
      <c r="O112" s="555"/>
      <c r="P112" s="555"/>
      <c r="Q112" s="556"/>
      <c r="R112" s="557" t="s">
        <v>384</v>
      </c>
      <c r="S112" s="555"/>
      <c r="T112" s="555"/>
      <c r="U112" s="555"/>
      <c r="V112" s="555"/>
      <c r="W112" s="555"/>
      <c r="X112" s="558"/>
    </row>
    <row r="113" spans="1:24" customHeight="1" ht="30">
      <c r="A113" s="552" t="s">
        <v>385</v>
      </c>
      <c r="B113" s="553"/>
      <c r="C113" s="554" t="s">
        <v>367</v>
      </c>
      <c r="D113" s="555"/>
      <c r="E113" s="555"/>
      <c r="F113" s="555"/>
      <c r="G113" s="555"/>
      <c r="H113" s="556"/>
      <c r="I113" s="557" t="s">
        <v>383</v>
      </c>
      <c r="J113" s="555"/>
      <c r="K113" s="555"/>
      <c r="L113" s="555"/>
      <c r="M113" s="555"/>
      <c r="N113" s="555"/>
      <c r="O113" s="555"/>
      <c r="P113" s="555"/>
      <c r="Q113" s="556"/>
      <c r="R113" s="557" t="s">
        <v>384</v>
      </c>
      <c r="S113" s="555"/>
      <c r="T113" s="555"/>
      <c r="U113" s="555"/>
      <c r="V113" s="555"/>
      <c r="W113" s="555"/>
      <c r="X113" s="558"/>
    </row>
    <row r="114" spans="1:24" customHeight="1" ht="30">
      <c r="A114" s="552"/>
      <c r="B114" s="553"/>
      <c r="C114" s="554"/>
      <c r="D114" s="555"/>
      <c r="E114" s="555"/>
      <c r="F114" s="555"/>
      <c r="G114" s="555"/>
      <c r="H114" s="556"/>
      <c r="I114" s="557"/>
      <c r="J114" s="555"/>
      <c r="K114" s="555"/>
      <c r="L114" s="555"/>
      <c r="M114" s="555"/>
      <c r="N114" s="555"/>
      <c r="O114" s="555"/>
      <c r="P114" s="555"/>
      <c r="Q114" s="556"/>
      <c r="R114" s="557"/>
      <c r="S114" s="555"/>
      <c r="T114" s="555"/>
      <c r="U114" s="555"/>
      <c r="V114" s="555"/>
      <c r="W114" s="555"/>
      <c r="X114" s="558"/>
    </row>
    <row r="115" spans="1:24" customHeight="1" ht="30" s="95" customFormat="1">
      <c r="A115" s="551"/>
      <c r="B115" s="549"/>
      <c r="C115" s="547"/>
      <c r="D115" s="548"/>
      <c r="E115" s="548"/>
      <c r="F115" s="548"/>
      <c r="G115" s="548"/>
      <c r="H115" s="549"/>
      <c r="I115" s="547"/>
      <c r="J115" s="548"/>
      <c r="K115" s="548"/>
      <c r="L115" s="548"/>
      <c r="M115" s="548"/>
      <c r="N115" s="548"/>
      <c r="O115" s="548"/>
      <c r="P115" s="548"/>
      <c r="Q115" s="549"/>
      <c r="R115" s="547"/>
      <c r="S115" s="548"/>
      <c r="T115" s="548"/>
      <c r="U115" s="548"/>
      <c r="V115" s="548"/>
      <c r="W115" s="548"/>
      <c r="X115" s="550"/>
    </row>
    <row r="116" spans="1:24" customHeight="1" ht="13.5" s="95" customFormat="1">
      <c r="A116" s="328"/>
      <c r="B116" s="328"/>
      <c r="C116" s="328"/>
      <c r="D116" s="328"/>
      <c r="E116" s="328"/>
      <c r="F116" s="328"/>
      <c r="G116" s="328"/>
      <c r="H116" s="328"/>
      <c r="I116" s="328"/>
      <c r="J116" s="328"/>
      <c r="K116" s="328"/>
      <c r="L116" s="328"/>
      <c r="M116" s="328"/>
      <c r="N116" s="328"/>
      <c r="O116" s="328"/>
      <c r="P116" s="328"/>
      <c r="Q116" s="328"/>
      <c r="R116" s="328"/>
      <c r="S116" s="328"/>
      <c r="T116" s="328"/>
      <c r="U116" s="328"/>
      <c r="V116" s="328"/>
      <c r="W116" s="328"/>
      <c r="X116" s="328"/>
    </row>
    <row r="117" spans="1:24" customHeight="1" ht="13.5" s="95" customFormat="1">
      <c r="A117" s="332"/>
      <c r="B117" s="332"/>
      <c r="C117" s="332"/>
      <c r="D117" s="332"/>
      <c r="E117" s="332"/>
      <c r="F117" s="332"/>
      <c r="G117" s="332"/>
      <c r="H117" s="332"/>
      <c r="I117" s="332"/>
      <c r="J117" s="332"/>
      <c r="K117" s="332"/>
      <c r="L117" s="332"/>
      <c r="M117" s="332"/>
      <c r="N117" s="332"/>
      <c r="O117" s="332"/>
      <c r="P117" s="332"/>
      <c r="Q117" s="332"/>
      <c r="R117" s="332"/>
      <c r="S117" s="332"/>
      <c r="T117" s="332"/>
      <c r="U117" s="332"/>
      <c r="V117" s="332"/>
      <c r="W117" s="332"/>
      <c r="X117" s="332"/>
    </row>
    <row r="118" spans="1:24" customHeight="1" ht="16" s="95" customFormat="1">
      <c r="A118" s="559" t="s">
        <v>397</v>
      </c>
      <c r="B118" s="560"/>
      <c r="C118" s="560"/>
      <c r="D118" s="560"/>
      <c r="E118" s="560"/>
      <c r="F118" s="560"/>
      <c r="G118" s="560"/>
      <c r="H118" s="560"/>
      <c r="I118" s="560"/>
      <c r="J118" s="560"/>
      <c r="K118" s="560"/>
      <c r="L118" s="560"/>
      <c r="M118" s="560"/>
      <c r="N118" s="560"/>
      <c r="O118" s="560"/>
      <c r="P118" s="560"/>
      <c r="Q118" s="560"/>
      <c r="R118" s="560"/>
      <c r="S118" s="560"/>
      <c r="T118" s="560"/>
      <c r="U118" s="560"/>
      <c r="V118" s="560"/>
      <c r="W118" s="560"/>
      <c r="X118" s="561"/>
    </row>
    <row r="119" spans="1:24" s="95" customFormat="1">
      <c r="A119" s="562" t="s">
        <v>51</v>
      </c>
      <c r="B119" s="563"/>
      <c r="C119" s="564" t="s">
        <v>349</v>
      </c>
      <c r="D119" s="565"/>
      <c r="E119" s="565"/>
      <c r="F119" s="565"/>
      <c r="G119" s="565"/>
      <c r="H119" s="563"/>
      <c r="I119" s="564" t="s">
        <v>350</v>
      </c>
      <c r="J119" s="565"/>
      <c r="K119" s="565"/>
      <c r="L119" s="565"/>
      <c r="M119" s="565"/>
      <c r="N119" s="565"/>
      <c r="O119" s="565"/>
      <c r="P119" s="565"/>
      <c r="Q119" s="563"/>
      <c r="R119" s="564" t="s">
        <v>351</v>
      </c>
      <c r="S119" s="565"/>
      <c r="T119" s="565"/>
      <c r="U119" s="565"/>
      <c r="V119" s="565"/>
      <c r="W119" s="565"/>
      <c r="X119" s="566"/>
    </row>
    <row r="120" spans="1:24" customHeight="1" ht="30" s="151" customFormat="1">
      <c r="A120" s="552"/>
      <c r="B120" s="553"/>
      <c r="C120" s="554"/>
      <c r="D120" s="555"/>
      <c r="E120" s="555"/>
      <c r="F120" s="555"/>
      <c r="G120" s="555"/>
      <c r="H120" s="556"/>
      <c r="I120" s="557"/>
      <c r="J120" s="555"/>
      <c r="K120" s="555"/>
      <c r="L120" s="555"/>
      <c r="M120" s="555"/>
      <c r="N120" s="555"/>
      <c r="O120" s="555"/>
      <c r="P120" s="555"/>
      <c r="Q120" s="556"/>
      <c r="R120" s="557"/>
      <c r="S120" s="555"/>
      <c r="T120" s="555"/>
      <c r="U120" s="555"/>
      <c r="V120" s="555"/>
      <c r="W120" s="555"/>
      <c r="X120" s="558"/>
    </row>
    <row r="121" spans="1:24" customHeight="1" ht="30" s="95" customFormat="1">
      <c r="A121" s="551"/>
      <c r="B121" s="549"/>
      <c r="C121" s="547"/>
      <c r="D121" s="548"/>
      <c r="E121" s="548"/>
      <c r="F121" s="548"/>
      <c r="G121" s="548"/>
      <c r="H121" s="549"/>
      <c r="I121" s="547"/>
      <c r="J121" s="548"/>
      <c r="K121" s="548"/>
      <c r="L121" s="548"/>
      <c r="M121" s="548"/>
      <c r="N121" s="548"/>
      <c r="O121" s="548"/>
      <c r="P121" s="548"/>
      <c r="Q121" s="549"/>
      <c r="R121" s="547"/>
      <c r="S121" s="548"/>
      <c r="T121" s="548"/>
      <c r="U121" s="548"/>
      <c r="V121" s="548"/>
      <c r="W121" s="548"/>
      <c r="X121" s="550"/>
    </row>
    <row r="122" spans="1:24" customHeight="1" ht="15" s="87" customFormat="1">
      <c r="A122" s="328"/>
      <c r="B122" s="328"/>
      <c r="C122" s="328"/>
      <c r="D122" s="328"/>
      <c r="E122" s="328"/>
      <c r="F122" s="328"/>
      <c r="G122" s="328"/>
      <c r="H122" s="328"/>
      <c r="I122" s="328"/>
      <c r="J122" s="328"/>
      <c r="K122" s="328"/>
      <c r="L122" s="328"/>
      <c r="M122" s="328"/>
      <c r="N122" s="328"/>
      <c r="O122" s="328"/>
      <c r="P122" s="328"/>
      <c r="Q122" s="328"/>
      <c r="R122" s="328"/>
      <c r="S122" s="328"/>
      <c r="T122" s="328"/>
      <c r="U122" s="328"/>
      <c r="V122" s="328"/>
      <c r="W122" s="328"/>
      <c r="X122" s="328"/>
    </row>
    <row r="123" spans="1:24" customHeight="1" ht="15" s="87" customFormat="1">
      <c r="A123" s="332"/>
      <c r="B123" s="332"/>
      <c r="C123" s="332"/>
      <c r="D123" s="332"/>
      <c r="E123" s="332"/>
      <c r="F123" s="332"/>
      <c r="G123" s="332"/>
      <c r="H123" s="332"/>
      <c r="I123" s="332"/>
      <c r="J123" s="332"/>
      <c r="K123" s="332"/>
      <c r="L123" s="332"/>
      <c r="M123" s="332"/>
      <c r="N123" s="332"/>
      <c r="O123" s="332"/>
      <c r="P123" s="332"/>
      <c r="Q123" s="332"/>
      <c r="R123" s="332"/>
      <c r="S123" s="332"/>
      <c r="T123" s="332"/>
      <c r="U123" s="332"/>
      <c r="V123" s="332"/>
      <c r="W123" s="332"/>
      <c r="X123" s="332"/>
    </row>
    <row r="124" spans="1:24" customHeight="1" ht="16" s="87" customFormat="1">
      <c r="A124" s="559" t="s">
        <v>396</v>
      </c>
      <c r="B124" s="560"/>
      <c r="C124" s="560"/>
      <c r="D124" s="560"/>
      <c r="E124" s="560"/>
      <c r="F124" s="560"/>
      <c r="G124" s="560"/>
      <c r="H124" s="560"/>
      <c r="I124" s="560"/>
      <c r="J124" s="560"/>
      <c r="K124" s="560"/>
      <c r="L124" s="560"/>
      <c r="M124" s="560"/>
      <c r="N124" s="560"/>
      <c r="O124" s="560"/>
      <c r="P124" s="560"/>
      <c r="Q124" s="560"/>
      <c r="R124" s="560"/>
      <c r="S124" s="560"/>
      <c r="T124" s="560"/>
      <c r="U124" s="560"/>
      <c r="V124" s="560"/>
      <c r="W124" s="560"/>
      <c r="X124" s="561"/>
    </row>
    <row r="125" spans="1:24" s="95" customFormat="1">
      <c r="A125" s="562" t="s">
        <v>51</v>
      </c>
      <c r="B125" s="563"/>
      <c r="C125" s="564" t="s">
        <v>349</v>
      </c>
      <c r="D125" s="565"/>
      <c r="E125" s="565"/>
      <c r="F125" s="565"/>
      <c r="G125" s="565"/>
      <c r="H125" s="563"/>
      <c r="I125" s="564" t="s">
        <v>350</v>
      </c>
      <c r="J125" s="565"/>
      <c r="K125" s="565"/>
      <c r="L125" s="565"/>
      <c r="M125" s="565"/>
      <c r="N125" s="565"/>
      <c r="O125" s="565"/>
      <c r="P125" s="565"/>
      <c r="Q125" s="563"/>
      <c r="R125" s="564" t="s">
        <v>351</v>
      </c>
      <c r="S125" s="565"/>
      <c r="T125" s="565"/>
      <c r="U125" s="565"/>
      <c r="V125" s="565"/>
      <c r="W125" s="565"/>
      <c r="X125" s="566"/>
    </row>
    <row r="126" spans="1:24" customHeight="1" ht="30" s="151" customFormat="1">
      <c r="A126" s="552"/>
      <c r="B126" s="553"/>
      <c r="C126" s="554"/>
      <c r="D126" s="555"/>
      <c r="E126" s="555"/>
      <c r="F126" s="555"/>
      <c r="G126" s="555"/>
      <c r="H126" s="556"/>
      <c r="I126" s="557"/>
      <c r="J126" s="555"/>
      <c r="K126" s="555"/>
      <c r="L126" s="555"/>
      <c r="M126" s="555"/>
      <c r="N126" s="555"/>
      <c r="O126" s="555"/>
      <c r="P126" s="555"/>
      <c r="Q126" s="556"/>
      <c r="R126" s="557"/>
      <c r="S126" s="555"/>
      <c r="T126" s="555"/>
      <c r="U126" s="555"/>
      <c r="V126" s="555"/>
      <c r="W126" s="555"/>
      <c r="X126" s="558"/>
    </row>
    <row r="127" spans="1:24" customHeight="1" ht="30" s="151" customFormat="1">
      <c r="A127" s="552"/>
      <c r="B127" s="553"/>
      <c r="C127" s="554"/>
      <c r="D127" s="555"/>
      <c r="E127" s="555"/>
      <c r="F127" s="555"/>
      <c r="G127" s="555"/>
      <c r="H127" s="556"/>
      <c r="I127" s="557"/>
      <c r="J127" s="555"/>
      <c r="K127" s="555"/>
      <c r="L127" s="555"/>
      <c r="M127" s="555"/>
      <c r="N127" s="555"/>
      <c r="O127" s="555"/>
      <c r="P127" s="555"/>
      <c r="Q127" s="556"/>
      <c r="R127" s="557"/>
      <c r="S127" s="555"/>
      <c r="T127" s="555"/>
      <c r="U127" s="555"/>
      <c r="V127" s="555"/>
      <c r="W127" s="555"/>
      <c r="X127" s="558"/>
    </row>
    <row r="128" spans="1:24" customHeight="1" ht="30" s="95" customFormat="1">
      <c r="A128" s="551"/>
      <c r="B128" s="549"/>
      <c r="C128" s="547"/>
      <c r="D128" s="548"/>
      <c r="E128" s="548"/>
      <c r="F128" s="548"/>
      <c r="G128" s="548"/>
      <c r="H128" s="549"/>
      <c r="I128" s="547"/>
      <c r="J128" s="548"/>
      <c r="K128" s="548"/>
      <c r="L128" s="548"/>
      <c r="M128" s="548"/>
      <c r="N128" s="548"/>
      <c r="O128" s="548"/>
      <c r="P128" s="548"/>
      <c r="Q128" s="549"/>
      <c r="R128" s="547"/>
      <c r="S128" s="548"/>
      <c r="T128" s="548"/>
      <c r="U128" s="548"/>
      <c r="V128" s="548"/>
      <c r="W128" s="548"/>
      <c r="X128" s="550"/>
    </row>
    <row r="129" spans="1:24" customHeight="1" ht="13.5" s="95" customFormat="1">
      <c r="A129" s="135"/>
      <c r="B129" s="135"/>
      <c r="C129" s="135"/>
      <c r="D129" s="135"/>
      <c r="E129" s="135"/>
      <c r="F129" s="135"/>
      <c r="G129" s="135"/>
      <c r="H129" s="135"/>
      <c r="I129" s="135"/>
      <c r="X129" s="95"/>
    </row>
    <row r="130" spans="1:24" customHeight="1" ht="13.5" s="95" customFormat="1">
      <c r="A130" s="135"/>
      <c r="B130" s="135"/>
      <c r="C130" s="135"/>
      <c r="D130" s="135"/>
      <c r="E130" s="135"/>
      <c r="F130" s="135"/>
      <c r="G130" s="135"/>
      <c r="H130" s="135"/>
      <c r="I130" s="135"/>
      <c r="X130" s="95"/>
    </row>
    <row r="131" spans="1:24" customHeight="1" ht="18.5" s="95" customFormat="1">
      <c r="A131" s="147" t="s">
        <v>395</v>
      </c>
      <c r="B131" s="148"/>
      <c r="C131" s="148"/>
      <c r="D131" s="148"/>
      <c r="E131" s="148"/>
      <c r="F131" s="148"/>
      <c r="G131" s="148"/>
      <c r="H131" s="148"/>
      <c r="I131" s="148"/>
      <c r="J131" s="149"/>
      <c r="K131" s="149"/>
      <c r="L131" s="149"/>
      <c r="M131" s="149"/>
      <c r="N131" s="149"/>
      <c r="O131" s="149"/>
      <c r="P131" s="149"/>
      <c r="Q131" s="149"/>
      <c r="R131" s="149"/>
      <c r="S131" s="149"/>
      <c r="T131" s="149"/>
      <c r="U131" s="149"/>
      <c r="V131" s="149"/>
      <c r="W131" s="149"/>
      <c r="X131" s="150"/>
    </row>
    <row r="132" spans="1:24" customHeight="1" ht="13" s="95" customFormat="1">
      <c r="A132" s="135"/>
      <c r="B132" s="135"/>
      <c r="C132" s="135"/>
      <c r="D132" s="135"/>
      <c r="E132" s="135"/>
      <c r="F132" s="135"/>
      <c r="G132" s="135"/>
      <c r="H132" s="135"/>
      <c r="I132" s="135"/>
      <c r="X132" s="95"/>
    </row>
    <row r="133" spans="1:24" customHeight="1" ht="13" s="95" customFormat="1">
      <c r="A133" s="135"/>
      <c r="B133" s="135"/>
      <c r="C133" s="135"/>
      <c r="D133" s="135"/>
      <c r="E133" s="135"/>
      <c r="F133" s="135"/>
      <c r="G133" s="135"/>
      <c r="H133" s="135"/>
      <c r="I133" s="135"/>
      <c r="X133" s="95"/>
    </row>
    <row r="134" spans="1:24" customHeight="1" ht="13" s="95" customFormat="1">
      <c r="A134" s="654"/>
      <c r="B134" s="655"/>
      <c r="C134" s="656"/>
      <c r="D134" s="654" t="s">
        <v>394</v>
      </c>
      <c r="E134" s="655"/>
      <c r="F134" s="656"/>
      <c r="G134" s="654" t="s">
        <v>393</v>
      </c>
      <c r="H134" s="655"/>
      <c r="I134" s="656"/>
      <c r="J134" s="654" t="s">
        <v>392</v>
      </c>
      <c r="K134" s="655"/>
      <c r="L134" s="656"/>
      <c r="M134" s="645" t="s">
        <v>391</v>
      </c>
      <c r="N134" s="646"/>
      <c r="O134" s="647"/>
      <c r="P134" s="645" t="s">
        <v>390</v>
      </c>
      <c r="Q134" s="646"/>
      <c r="R134" s="647"/>
      <c r="S134" s="645" t="s">
        <v>389</v>
      </c>
      <c r="T134" s="646"/>
      <c r="U134" s="647"/>
      <c r="V134" s="645" t="s">
        <v>388</v>
      </c>
      <c r="W134" s="646"/>
      <c r="X134" s="647"/>
    </row>
    <row r="135" spans="1:24" customHeight="1" ht="13" s="95" customFormat="1">
      <c r="A135" s="660"/>
      <c r="B135" s="661"/>
      <c r="C135" s="662"/>
      <c r="D135" s="660"/>
      <c r="E135" s="661"/>
      <c r="F135" s="662"/>
      <c r="G135" s="660"/>
      <c r="H135" s="661"/>
      <c r="I135" s="662"/>
      <c r="J135" s="660"/>
      <c r="K135" s="661"/>
      <c r="L135" s="662"/>
      <c r="M135" s="648"/>
      <c r="N135" s="649"/>
      <c r="O135" s="650"/>
      <c r="P135" s="648"/>
      <c r="Q135" s="649"/>
      <c r="R135" s="650"/>
      <c r="S135" s="648"/>
      <c r="T135" s="649"/>
      <c r="U135" s="650"/>
      <c r="V135" s="648"/>
      <c r="W135" s="649"/>
      <c r="X135" s="650"/>
    </row>
    <row r="136" spans="1:24" customHeight="1" ht="13" s="95" customFormat="1">
      <c r="A136" s="657"/>
      <c r="B136" s="658"/>
      <c r="C136" s="659"/>
      <c r="D136" s="657"/>
      <c r="E136" s="658"/>
      <c r="F136" s="659"/>
      <c r="G136" s="657"/>
      <c r="H136" s="658"/>
      <c r="I136" s="659"/>
      <c r="J136" s="657"/>
      <c r="K136" s="658"/>
      <c r="L136" s="659"/>
      <c r="M136" s="651"/>
      <c r="N136" s="652"/>
      <c r="O136" s="653"/>
      <c r="P136" s="651"/>
      <c r="Q136" s="652"/>
      <c r="R136" s="653"/>
      <c r="S136" s="651"/>
      <c r="T136" s="652"/>
      <c r="U136" s="653"/>
      <c r="V136" s="651"/>
      <c r="W136" s="652"/>
      <c r="X136" s="653"/>
    </row>
    <row r="137" spans="1:24" customHeight="1" ht="13" s="95" customFormat="1">
      <c r="A137" s="654" t="s">
        <v>73</v>
      </c>
      <c r="B137" s="655"/>
      <c r="C137" s="656"/>
      <c r="D137" s="654"/>
      <c r="E137" s="655"/>
      <c r="F137" s="656"/>
      <c r="G137" s="654"/>
      <c r="H137" s="655"/>
      <c r="I137" s="656"/>
      <c r="J137" s="654"/>
      <c r="K137" s="655"/>
      <c r="L137" s="656"/>
      <c r="M137" s="654"/>
      <c r="N137" s="655"/>
      <c r="O137" s="656"/>
      <c r="P137" s="645"/>
      <c r="Q137" s="646"/>
      <c r="R137" s="647"/>
      <c r="S137" s="645"/>
      <c r="T137" s="646"/>
      <c r="U137" s="647"/>
      <c r="V137" s="645"/>
      <c r="W137" s="646"/>
      <c r="X137" s="647"/>
    </row>
    <row r="138" spans="1:24" customHeight="1" ht="13" s="95" customFormat="1">
      <c r="A138" s="657"/>
      <c r="B138" s="658"/>
      <c r="C138" s="659"/>
      <c r="D138" s="657"/>
      <c r="E138" s="658"/>
      <c r="F138" s="659"/>
      <c r="G138" s="657"/>
      <c r="H138" s="658"/>
      <c r="I138" s="659"/>
      <c r="J138" s="657"/>
      <c r="K138" s="658"/>
      <c r="L138" s="659"/>
      <c r="M138" s="657"/>
      <c r="N138" s="658"/>
      <c r="O138" s="659"/>
      <c r="P138" s="651"/>
      <c r="Q138" s="652"/>
      <c r="R138" s="653"/>
      <c r="S138" s="651"/>
      <c r="T138" s="652"/>
      <c r="U138" s="653"/>
      <c r="V138" s="651"/>
      <c r="W138" s="652"/>
      <c r="X138" s="653"/>
    </row>
    <row r="139" spans="1:24" customHeight="1" ht="12.75" s="95" customFormat="1">
      <c r="A139" s="654" t="s">
        <v>69</v>
      </c>
      <c r="B139" s="655"/>
      <c r="C139" s="656"/>
      <c r="D139" s="654"/>
      <c r="E139" s="655"/>
      <c r="F139" s="656"/>
      <c r="G139" s="654"/>
      <c r="H139" s="655"/>
      <c r="I139" s="656"/>
      <c r="J139" s="654"/>
      <c r="K139" s="655"/>
      <c r="L139" s="656"/>
      <c r="M139" s="654"/>
      <c r="N139" s="655"/>
      <c r="O139" s="656"/>
      <c r="P139" s="645"/>
      <c r="Q139" s="646"/>
      <c r="R139" s="647"/>
      <c r="S139" s="645"/>
      <c r="T139" s="646"/>
      <c r="U139" s="647"/>
      <c r="V139" s="645"/>
      <c r="W139" s="646"/>
      <c r="X139" s="647"/>
    </row>
    <row r="140" spans="1:24" customHeight="1" ht="13" s="95" customFormat="1">
      <c r="A140" s="657"/>
      <c r="B140" s="658"/>
      <c r="C140" s="659"/>
      <c r="D140" s="657"/>
      <c r="E140" s="658"/>
      <c r="F140" s="659"/>
      <c r="G140" s="657"/>
      <c r="H140" s="658"/>
      <c r="I140" s="659"/>
      <c r="J140" s="657"/>
      <c r="K140" s="658"/>
      <c r="L140" s="659"/>
      <c r="M140" s="657"/>
      <c r="N140" s="658"/>
      <c r="O140" s="659"/>
      <c r="P140" s="651"/>
      <c r="Q140" s="652"/>
      <c r="R140" s="653"/>
      <c r="S140" s="651"/>
      <c r="T140" s="652"/>
      <c r="U140" s="653"/>
      <c r="V140" s="651"/>
      <c r="W140" s="652"/>
      <c r="X140" s="653"/>
    </row>
    <row r="141" spans="1:24" customHeight="1" ht="13" s="95" customFormat="1">
      <c r="A141" s="654" t="s">
        <v>98</v>
      </c>
      <c r="B141" s="655"/>
      <c r="C141" s="656"/>
      <c r="D141" s="672"/>
      <c r="E141" s="673"/>
      <c r="F141" s="674"/>
      <c r="G141" s="672"/>
      <c r="H141" s="673"/>
      <c r="I141" s="674"/>
      <c r="J141" s="654"/>
      <c r="K141" s="655"/>
      <c r="L141" s="656"/>
      <c r="M141" s="654"/>
      <c r="N141" s="655"/>
      <c r="O141" s="656"/>
      <c r="P141" s="645"/>
      <c r="Q141" s="646"/>
      <c r="R141" s="647"/>
      <c r="S141" s="645"/>
      <c r="T141" s="646"/>
      <c r="U141" s="647"/>
      <c r="V141" s="645"/>
      <c r="W141" s="646"/>
      <c r="X141" s="647"/>
    </row>
    <row r="142" spans="1:24" customHeight="1" ht="13" s="95" customFormat="1">
      <c r="A142" s="657"/>
      <c r="B142" s="658"/>
      <c r="C142" s="659"/>
      <c r="D142" s="675"/>
      <c r="E142" s="676"/>
      <c r="F142" s="677"/>
      <c r="G142" s="675"/>
      <c r="H142" s="676"/>
      <c r="I142" s="677"/>
      <c r="J142" s="657"/>
      <c r="K142" s="658"/>
      <c r="L142" s="659"/>
      <c r="M142" s="657"/>
      <c r="N142" s="658"/>
      <c r="O142" s="659"/>
      <c r="P142" s="651"/>
      <c r="Q142" s="652"/>
      <c r="R142" s="653"/>
      <c r="S142" s="651"/>
      <c r="T142" s="652"/>
      <c r="U142" s="653"/>
      <c r="V142" s="651"/>
      <c r="W142" s="652"/>
      <c r="X142" s="653"/>
    </row>
    <row r="143" spans="1:24" customHeight="1" ht="13" s="95" customFormat="1">
      <c r="A143" s="654" t="s">
        <v>80</v>
      </c>
      <c r="B143" s="655"/>
      <c r="C143" s="656"/>
      <c r="D143" s="654"/>
      <c r="E143" s="655"/>
      <c r="F143" s="656"/>
      <c r="G143" s="672"/>
      <c r="H143" s="673"/>
      <c r="I143" s="674"/>
      <c r="J143" s="654"/>
      <c r="K143" s="655"/>
      <c r="L143" s="656"/>
      <c r="M143" s="654"/>
      <c r="N143" s="655"/>
      <c r="O143" s="656"/>
      <c r="P143" s="645"/>
      <c r="Q143" s="646"/>
      <c r="R143" s="647"/>
      <c r="S143" s="645"/>
      <c r="T143" s="646"/>
      <c r="U143" s="647"/>
      <c r="V143" s="645"/>
      <c r="W143" s="646"/>
      <c r="X143" s="647"/>
    </row>
    <row r="144" spans="1:24" customHeight="1" ht="13" s="95" customFormat="1">
      <c r="A144" s="657"/>
      <c r="B144" s="658"/>
      <c r="C144" s="659"/>
      <c r="D144" s="657"/>
      <c r="E144" s="658"/>
      <c r="F144" s="659"/>
      <c r="G144" s="675"/>
      <c r="H144" s="676"/>
      <c r="I144" s="677"/>
      <c r="J144" s="657"/>
      <c r="K144" s="658"/>
      <c r="L144" s="659"/>
      <c r="M144" s="657"/>
      <c r="N144" s="658"/>
      <c r="O144" s="659"/>
      <c r="P144" s="651"/>
      <c r="Q144" s="652"/>
      <c r="R144" s="653"/>
      <c r="S144" s="651"/>
      <c r="T144" s="652"/>
      <c r="U144" s="653"/>
      <c r="V144" s="651"/>
      <c r="W144" s="652"/>
      <c r="X144" s="653"/>
    </row>
    <row r="145" spans="1:24" customHeight="1" ht="13" s="95" customFormat="1">
      <c r="A145" s="654" t="s">
        <v>65</v>
      </c>
      <c r="B145" s="655"/>
      <c r="C145" s="656"/>
      <c r="D145" s="654"/>
      <c r="E145" s="655"/>
      <c r="F145" s="656"/>
      <c r="G145" s="672"/>
      <c r="H145" s="673"/>
      <c r="I145" s="674"/>
      <c r="J145" s="654"/>
      <c r="K145" s="655"/>
      <c r="L145" s="656"/>
      <c r="M145" s="654"/>
      <c r="N145" s="655"/>
      <c r="O145" s="656"/>
      <c r="P145" s="645"/>
      <c r="Q145" s="646"/>
      <c r="R145" s="647"/>
      <c r="S145" s="645"/>
      <c r="T145" s="646"/>
      <c r="U145" s="647"/>
      <c r="V145" s="645"/>
      <c r="W145" s="646"/>
      <c r="X145" s="647"/>
    </row>
    <row r="146" spans="1:24" customHeight="1" ht="13" s="95" customFormat="1">
      <c r="A146" s="657"/>
      <c r="B146" s="658"/>
      <c r="C146" s="659"/>
      <c r="D146" s="657"/>
      <c r="E146" s="658"/>
      <c r="F146" s="659"/>
      <c r="G146" s="675"/>
      <c r="H146" s="676"/>
      <c r="I146" s="677"/>
      <c r="J146" s="657"/>
      <c r="K146" s="658"/>
      <c r="L146" s="659"/>
      <c r="M146" s="657"/>
      <c r="N146" s="658"/>
      <c r="O146" s="659"/>
      <c r="P146" s="651"/>
      <c r="Q146" s="652"/>
      <c r="R146" s="653"/>
      <c r="S146" s="651"/>
      <c r="T146" s="652"/>
      <c r="U146" s="653"/>
      <c r="V146" s="651"/>
      <c r="W146" s="652"/>
      <c r="X146" s="653"/>
    </row>
    <row r="147" spans="1:24" customHeight="1" ht="13" s="95" customFormat="1">
      <c r="A147" s="654" t="s">
        <v>387</v>
      </c>
      <c r="B147" s="655"/>
      <c r="C147" s="656"/>
      <c r="D147" s="672"/>
      <c r="E147" s="673"/>
      <c r="F147" s="674"/>
      <c r="G147" s="672"/>
      <c r="H147" s="673"/>
      <c r="I147" s="674"/>
      <c r="J147" s="654"/>
      <c r="K147" s="655"/>
      <c r="L147" s="656"/>
      <c r="M147" s="654"/>
      <c r="N147" s="655"/>
      <c r="O147" s="656"/>
      <c r="P147" s="645"/>
      <c r="Q147" s="646"/>
      <c r="R147" s="647"/>
      <c r="S147" s="645"/>
      <c r="T147" s="646"/>
      <c r="U147" s="647"/>
      <c r="V147" s="645"/>
      <c r="W147" s="646"/>
      <c r="X147" s="647"/>
    </row>
    <row r="148" spans="1:24" customHeight="1" ht="13" s="95" customFormat="1">
      <c r="A148" s="657"/>
      <c r="B148" s="658"/>
      <c r="C148" s="659"/>
      <c r="D148" s="675"/>
      <c r="E148" s="676"/>
      <c r="F148" s="677"/>
      <c r="G148" s="675"/>
      <c r="H148" s="676"/>
      <c r="I148" s="677"/>
      <c r="J148" s="657"/>
      <c r="K148" s="658"/>
      <c r="L148" s="659"/>
      <c r="M148" s="657"/>
      <c r="N148" s="658"/>
      <c r="O148" s="659"/>
      <c r="P148" s="651"/>
      <c r="Q148" s="652"/>
      <c r="R148" s="653"/>
      <c r="S148" s="651"/>
      <c r="T148" s="652"/>
      <c r="U148" s="653"/>
      <c r="V148" s="651"/>
      <c r="W148" s="652"/>
      <c r="X148" s="653"/>
    </row>
    <row r="149" spans="1:24" customHeight="1" ht="13" s="95" customFormat="1">
      <c r="X149" s="95"/>
    </row>
    <row r="150" spans="1:24" customHeight="1" ht="13" s="95" customFormat="1">
      <c r="X150" s="95"/>
    </row>
    <row r="151" spans="1:24">
      <c r="A151" s="152"/>
      <c r="B151" s="152"/>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row>
    <row r="152" spans="1:24">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row>
    <row r="153" spans="1:24">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row>
    <row r="154" spans="1:24">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row>
    <row r="155" spans="1:24">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row>
    <row r="156" spans="1:24">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row>
    <row r="157" spans="1:24">
      <c r="A157" s="663" t="s">
        <v>386</v>
      </c>
      <c r="B157" s="664"/>
      <c r="C157" s="664"/>
      <c r="D157" s="664"/>
      <c r="E157" s="664"/>
      <c r="F157" s="664"/>
      <c r="G157" s="664"/>
      <c r="H157" s="664"/>
      <c r="I157" s="664"/>
      <c r="J157" s="664"/>
      <c r="K157" s="664"/>
      <c r="L157" s="664"/>
      <c r="M157" s="664"/>
      <c r="N157" s="664"/>
      <c r="O157" s="664"/>
      <c r="P157" s="664"/>
      <c r="Q157" s="664"/>
      <c r="R157" s="664"/>
      <c r="S157" s="664"/>
      <c r="T157" s="664"/>
      <c r="U157" s="664"/>
      <c r="V157" s="664"/>
      <c r="W157" s="665"/>
      <c r="X157" s="95"/>
    </row>
    <row r="158" spans="1:24">
      <c r="A158" s="666"/>
      <c r="B158" s="667"/>
      <c r="C158" s="667"/>
      <c r="D158" s="667"/>
      <c r="E158" s="667"/>
      <c r="F158" s="667"/>
      <c r="G158" s="667"/>
      <c r="H158" s="667"/>
      <c r="I158" s="667"/>
      <c r="J158" s="667"/>
      <c r="K158" s="667"/>
      <c r="L158" s="667"/>
      <c r="M158" s="667"/>
      <c r="N158" s="667"/>
      <c r="O158" s="667"/>
      <c r="P158" s="667"/>
      <c r="Q158" s="667"/>
      <c r="R158" s="667"/>
      <c r="S158" s="667"/>
      <c r="T158" s="667"/>
      <c r="U158" s="667"/>
      <c r="V158" s="667"/>
      <c r="W158" s="668"/>
      <c r="X158" s="95"/>
    </row>
    <row r="159" spans="1:24">
      <c r="A159" s="666"/>
      <c r="B159" s="667"/>
      <c r="C159" s="667"/>
      <c r="D159" s="667"/>
      <c r="E159" s="667"/>
      <c r="F159" s="667"/>
      <c r="G159" s="667"/>
      <c r="H159" s="667"/>
      <c r="I159" s="667"/>
      <c r="J159" s="667"/>
      <c r="K159" s="667"/>
      <c r="L159" s="667"/>
      <c r="M159" s="667"/>
      <c r="N159" s="667"/>
      <c r="O159" s="667"/>
      <c r="P159" s="667"/>
      <c r="Q159" s="667"/>
      <c r="R159" s="667"/>
      <c r="S159" s="667"/>
      <c r="T159" s="667"/>
      <c r="U159" s="667"/>
      <c r="V159" s="667"/>
      <c r="W159" s="668"/>
      <c r="X159" s="95"/>
    </row>
    <row r="160" spans="1:24">
      <c r="A160" s="666"/>
      <c r="B160" s="667"/>
      <c r="C160" s="667"/>
      <c r="D160" s="667"/>
      <c r="E160" s="667"/>
      <c r="F160" s="667"/>
      <c r="G160" s="667"/>
      <c r="H160" s="667"/>
      <c r="I160" s="667"/>
      <c r="J160" s="667"/>
      <c r="K160" s="667"/>
      <c r="L160" s="667"/>
      <c r="M160" s="667"/>
      <c r="N160" s="667"/>
      <c r="O160" s="667"/>
      <c r="P160" s="667"/>
      <c r="Q160" s="667"/>
      <c r="R160" s="667"/>
      <c r="S160" s="667"/>
      <c r="T160" s="667"/>
      <c r="U160" s="667"/>
      <c r="V160" s="667"/>
      <c r="W160" s="668"/>
      <c r="X160" s="95"/>
    </row>
    <row r="161" spans="1:24">
      <c r="A161" s="666"/>
      <c r="B161" s="667"/>
      <c r="C161" s="667"/>
      <c r="D161" s="667"/>
      <c r="E161" s="667"/>
      <c r="F161" s="667"/>
      <c r="G161" s="667"/>
      <c r="H161" s="667"/>
      <c r="I161" s="667"/>
      <c r="J161" s="667"/>
      <c r="K161" s="667"/>
      <c r="L161" s="667"/>
      <c r="M161" s="667"/>
      <c r="N161" s="667"/>
      <c r="O161" s="667"/>
      <c r="P161" s="667"/>
      <c r="Q161" s="667"/>
      <c r="R161" s="667"/>
      <c r="S161" s="667"/>
      <c r="T161" s="667"/>
      <c r="U161" s="667"/>
      <c r="V161" s="667"/>
      <c r="W161" s="668"/>
      <c r="X161" s="95"/>
    </row>
    <row r="162" spans="1:24">
      <c r="A162" s="666"/>
      <c r="B162" s="667"/>
      <c r="C162" s="667"/>
      <c r="D162" s="667"/>
      <c r="E162" s="667"/>
      <c r="F162" s="667"/>
      <c r="G162" s="667"/>
      <c r="H162" s="667"/>
      <c r="I162" s="667"/>
      <c r="J162" s="667"/>
      <c r="K162" s="667"/>
      <c r="L162" s="667"/>
      <c r="M162" s="667"/>
      <c r="N162" s="667"/>
      <c r="O162" s="667"/>
      <c r="P162" s="667"/>
      <c r="Q162" s="667"/>
      <c r="R162" s="667"/>
      <c r="S162" s="667"/>
      <c r="T162" s="667"/>
      <c r="U162" s="667"/>
      <c r="V162" s="667"/>
      <c r="W162" s="668"/>
      <c r="X162" s="95"/>
    </row>
    <row r="163" spans="1:24">
      <c r="A163" s="666"/>
      <c r="B163" s="667"/>
      <c r="C163" s="667"/>
      <c r="D163" s="667"/>
      <c r="E163" s="667"/>
      <c r="F163" s="667"/>
      <c r="G163" s="667"/>
      <c r="H163" s="667"/>
      <c r="I163" s="667"/>
      <c r="J163" s="667"/>
      <c r="K163" s="667"/>
      <c r="L163" s="667"/>
      <c r="M163" s="667"/>
      <c r="N163" s="667"/>
      <c r="O163" s="667"/>
      <c r="P163" s="667"/>
      <c r="Q163" s="667"/>
      <c r="R163" s="667"/>
      <c r="S163" s="667"/>
      <c r="T163" s="667"/>
      <c r="U163" s="667"/>
      <c r="V163" s="667"/>
      <c r="W163" s="668"/>
      <c r="X163" s="95"/>
    </row>
    <row r="164" spans="1:24">
      <c r="A164" s="666"/>
      <c r="B164" s="667"/>
      <c r="C164" s="667"/>
      <c r="D164" s="667"/>
      <c r="E164" s="667"/>
      <c r="F164" s="667"/>
      <c r="G164" s="667"/>
      <c r="H164" s="667"/>
      <c r="I164" s="667"/>
      <c r="J164" s="667"/>
      <c r="K164" s="667"/>
      <c r="L164" s="667"/>
      <c r="M164" s="667"/>
      <c r="N164" s="667"/>
      <c r="O164" s="667"/>
      <c r="P164" s="667"/>
      <c r="Q164" s="667"/>
      <c r="R164" s="667"/>
      <c r="S164" s="667"/>
      <c r="T164" s="667"/>
      <c r="U164" s="667"/>
      <c r="V164" s="667"/>
      <c r="W164" s="668"/>
      <c r="X164" s="95"/>
    </row>
    <row r="165" spans="1:24">
      <c r="A165" s="666"/>
      <c r="B165" s="667"/>
      <c r="C165" s="667"/>
      <c r="D165" s="667"/>
      <c r="E165" s="667"/>
      <c r="F165" s="667"/>
      <c r="G165" s="667"/>
      <c r="H165" s="667"/>
      <c r="I165" s="667"/>
      <c r="J165" s="667"/>
      <c r="K165" s="667"/>
      <c r="L165" s="667"/>
      <c r="M165" s="667"/>
      <c r="N165" s="667"/>
      <c r="O165" s="667"/>
      <c r="P165" s="667"/>
      <c r="Q165" s="667"/>
      <c r="R165" s="667"/>
      <c r="S165" s="667"/>
      <c r="T165" s="667"/>
      <c r="U165" s="667"/>
      <c r="V165" s="667"/>
      <c r="W165" s="668"/>
      <c r="X165" s="95"/>
    </row>
    <row r="166" spans="1:24">
      <c r="A166" s="666"/>
      <c r="B166" s="667"/>
      <c r="C166" s="667"/>
      <c r="D166" s="667"/>
      <c r="E166" s="667"/>
      <c r="F166" s="667"/>
      <c r="G166" s="667"/>
      <c r="H166" s="667"/>
      <c r="I166" s="667"/>
      <c r="J166" s="667"/>
      <c r="K166" s="667"/>
      <c r="L166" s="667"/>
      <c r="M166" s="667"/>
      <c r="N166" s="667"/>
      <c r="O166" s="667"/>
      <c r="P166" s="667"/>
      <c r="Q166" s="667"/>
      <c r="R166" s="667"/>
      <c r="S166" s="667"/>
      <c r="T166" s="667"/>
      <c r="U166" s="667"/>
      <c r="V166" s="667"/>
      <c r="W166" s="668"/>
      <c r="X166" s="95"/>
    </row>
    <row r="167" spans="1:24">
      <c r="A167" s="666"/>
      <c r="B167" s="667"/>
      <c r="C167" s="667"/>
      <c r="D167" s="667"/>
      <c r="E167" s="667"/>
      <c r="F167" s="667"/>
      <c r="G167" s="667"/>
      <c r="H167" s="667"/>
      <c r="I167" s="667"/>
      <c r="J167" s="667"/>
      <c r="K167" s="667"/>
      <c r="L167" s="667"/>
      <c r="M167" s="667"/>
      <c r="N167" s="667"/>
      <c r="O167" s="667"/>
      <c r="P167" s="667"/>
      <c r="Q167" s="667"/>
      <c r="R167" s="667"/>
      <c r="S167" s="667"/>
      <c r="T167" s="667"/>
      <c r="U167" s="667"/>
      <c r="V167" s="667"/>
      <c r="W167" s="668"/>
      <c r="X167" s="95"/>
    </row>
    <row r="168" spans="1:24">
      <c r="A168" s="669"/>
      <c r="B168" s="670"/>
      <c r="C168" s="670"/>
      <c r="D168" s="670"/>
      <c r="E168" s="670"/>
      <c r="F168" s="670"/>
      <c r="G168" s="670"/>
      <c r="H168" s="670"/>
      <c r="I168" s="670"/>
      <c r="J168" s="670"/>
      <c r="K168" s="670"/>
      <c r="L168" s="670"/>
      <c r="M168" s="670"/>
      <c r="N168" s="670"/>
      <c r="O168" s="670"/>
      <c r="P168" s="670"/>
      <c r="Q168" s="670"/>
      <c r="R168" s="670"/>
      <c r="S168" s="670"/>
      <c r="T168" s="670"/>
      <c r="U168" s="670"/>
      <c r="V168" s="670"/>
      <c r="W168" s="671"/>
      <c r="X168" s="95"/>
    </row>
  </sheetData>
  <sheetProtection formatCells="0" formatColumns="0" formatRows="0" insertColumns="0" insertRows="0" insertHyperlinks="0" deleteColumns="0" deleteRows="0" sort="0" autoFilter="0" pivotTables="0"/>
  <mergeCells>
    <mergeCell ref="V147:X148"/>
    <mergeCell ref="S139:U140"/>
    <mergeCell ref="V139:X140"/>
    <mergeCell ref="A141:C142"/>
    <mergeCell ref="D141:F142"/>
    <mergeCell ref="G141:I142"/>
    <mergeCell ref="J141:L142"/>
    <mergeCell ref="M141:O142"/>
    <mergeCell ref="S141:U142"/>
    <mergeCell ref="V141:X142"/>
    <mergeCell ref="P139:R140"/>
    <mergeCell ref="P141:R142"/>
    <mergeCell ref="A139:C140"/>
    <mergeCell ref="D139:F140"/>
    <mergeCell ref="G139:I140"/>
    <mergeCell ref="J139:L140"/>
    <mergeCell ref="M139:O140"/>
    <mergeCell ref="A157:W168"/>
    <mergeCell ref="P147:R148"/>
    <mergeCell ref="A147:C148"/>
    <mergeCell ref="D147:F148"/>
    <mergeCell ref="G147:I148"/>
    <mergeCell ref="J147:L148"/>
    <mergeCell ref="M147:O148"/>
    <mergeCell ref="S143:U144"/>
    <mergeCell ref="V143:X144"/>
    <mergeCell ref="A145:C146"/>
    <mergeCell ref="D145:F146"/>
    <mergeCell ref="G145:I146"/>
    <mergeCell ref="J145:L146"/>
    <mergeCell ref="M145:O146"/>
    <mergeCell ref="S145:U146"/>
    <mergeCell ref="V145:X146"/>
    <mergeCell ref="P143:R144"/>
    <mergeCell ref="P145:R146"/>
    <mergeCell ref="A143:C144"/>
    <mergeCell ref="D143:F144"/>
    <mergeCell ref="G143:I144"/>
    <mergeCell ref="J143:L144"/>
    <mergeCell ref="M143:O144"/>
    <mergeCell ref="S147:U148"/>
    <mergeCell ref="P134:R136"/>
    <mergeCell ref="S134:U136"/>
    <mergeCell ref="V134:X136"/>
    <mergeCell ref="A137:C138"/>
    <mergeCell ref="D137:F138"/>
    <mergeCell ref="G137:I138"/>
    <mergeCell ref="J137:L138"/>
    <mergeCell ref="M137:O138"/>
    <mergeCell ref="S137:U138"/>
    <mergeCell ref="V137:X138"/>
    <mergeCell ref="P137:R138"/>
    <mergeCell ref="A134:C136"/>
    <mergeCell ref="D134:F136"/>
    <mergeCell ref="G134:I136"/>
    <mergeCell ref="J134:L136"/>
    <mergeCell ref="M134:O136"/>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4:B94"/>
    <mergeCell ref="C94:H94"/>
    <mergeCell ref="I94:Q94"/>
    <mergeCell ref="R94:X94"/>
    <mergeCell ref="I89:Q89"/>
    <mergeCell ref="R89:X89"/>
    <mergeCell ref="A89:B89"/>
    <mergeCell ref="C89:H89"/>
    <mergeCell ref="A90:X91"/>
    <mergeCell ref="A92:X92"/>
    <mergeCell ref="A93:B93"/>
    <mergeCell ref="C93:H93"/>
    <mergeCell ref="I93:Q93"/>
    <mergeCell ref="R93:X93"/>
    <mergeCell ref="A100:B100"/>
    <mergeCell ref="C100:H100"/>
    <mergeCell ref="I100:Q100"/>
    <mergeCell ref="R100:X100"/>
    <mergeCell ref="A105:B105"/>
    <mergeCell ref="C105:H105"/>
    <mergeCell ref="I105:Q105"/>
    <mergeCell ref="R105:X105"/>
    <mergeCell ref="C104:H104"/>
    <mergeCell ref="I104:Q104"/>
    <mergeCell ref="R104:X104"/>
    <mergeCell ref="A101:X102"/>
    <mergeCell ref="A103:X103"/>
    <mergeCell ref="A104:B104"/>
    <mergeCell ref="A115:B115"/>
    <mergeCell ref="C115:H115"/>
    <mergeCell ref="I115:Q115"/>
    <mergeCell ref="R115:X115"/>
    <mergeCell ref="A120:B120"/>
    <mergeCell ref="C120:H120"/>
    <mergeCell ref="I120:Q120"/>
    <mergeCell ref="R120:X120"/>
    <mergeCell ref="A116:X117"/>
    <mergeCell ref="A118:X118"/>
    <mergeCell ref="A119:B119"/>
    <mergeCell ref="C119:H119"/>
    <mergeCell ref="I119:Q119"/>
    <mergeCell ref="R119:X119"/>
    <mergeCell ref="I128:Q128"/>
    <mergeCell ref="R128:X128"/>
    <mergeCell ref="A121:B121"/>
    <mergeCell ref="C121:H121"/>
    <mergeCell ref="I121:Q121"/>
    <mergeCell ref="R121:X121"/>
    <mergeCell ref="A126:B126"/>
    <mergeCell ref="C126:H126"/>
    <mergeCell ref="I126:Q126"/>
    <mergeCell ref="R126:X126"/>
    <mergeCell ref="A127:B127"/>
    <mergeCell ref="C127:H127"/>
    <mergeCell ref="I127:Q127"/>
    <mergeCell ref="R127:X127"/>
    <mergeCell ref="A122:X123"/>
    <mergeCell ref="A124:X124"/>
    <mergeCell ref="A125:B125"/>
    <mergeCell ref="C125:H125"/>
    <mergeCell ref="I125:Q125"/>
    <mergeCell ref="R125:X125"/>
    <mergeCell ref="A128:B128"/>
    <mergeCell ref="C128:H128"/>
    <mergeCell ref="A95:B95"/>
    <mergeCell ref="C95:H95"/>
    <mergeCell ref="I95:Q95"/>
    <mergeCell ref="R95:X95"/>
    <mergeCell ref="A96:B96"/>
    <mergeCell ref="C96:H96"/>
    <mergeCell ref="I96:Q96"/>
    <mergeCell ref="R96:X96"/>
    <mergeCell ref="A97:B97"/>
    <mergeCell ref="C97:H97"/>
    <mergeCell ref="I97:Q97"/>
    <mergeCell ref="R97:X97"/>
    <mergeCell ref="A98:B98"/>
    <mergeCell ref="C98:H98"/>
    <mergeCell ref="I98:Q98"/>
    <mergeCell ref="R98:X98"/>
    <mergeCell ref="A99:B99"/>
    <mergeCell ref="C99:H99"/>
    <mergeCell ref="I99:Q99"/>
    <mergeCell ref="R99:X99"/>
    <mergeCell ref="A106:B106"/>
    <mergeCell ref="C106:H106"/>
    <mergeCell ref="I106:Q106"/>
    <mergeCell ref="R106:X106"/>
    <mergeCell ref="A107:B107"/>
    <mergeCell ref="C107:H107"/>
    <mergeCell ref="I107:Q107"/>
    <mergeCell ref="R107:X107"/>
    <mergeCell ref="A108:B108"/>
    <mergeCell ref="C108:H108"/>
    <mergeCell ref="I108:Q108"/>
    <mergeCell ref="R108:X108"/>
    <mergeCell ref="A109:B109"/>
    <mergeCell ref="C109:H109"/>
    <mergeCell ref="I109:Q109"/>
    <mergeCell ref="R109:X109"/>
    <mergeCell ref="A110:B110"/>
    <mergeCell ref="C110:H110"/>
    <mergeCell ref="I110:Q110"/>
    <mergeCell ref="R110:X110"/>
    <mergeCell ref="A111:B111"/>
    <mergeCell ref="C111:H111"/>
    <mergeCell ref="I111:Q111"/>
    <mergeCell ref="R111:X111"/>
    <mergeCell ref="A112:B112"/>
    <mergeCell ref="C112:H112"/>
    <mergeCell ref="I112:Q112"/>
    <mergeCell ref="R112:X112"/>
    <mergeCell ref="A113:B113"/>
    <mergeCell ref="C113:H113"/>
    <mergeCell ref="I113:Q113"/>
    <mergeCell ref="R113:X113"/>
    <mergeCell ref="A114:B114"/>
    <mergeCell ref="C114:H114"/>
    <mergeCell ref="I114:Q114"/>
    <mergeCell ref="R114:X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82" t="s">
        <v>398</v>
      </c>
      <c r="B1" s="682"/>
      <c r="C1" s="682"/>
      <c r="E1" s="683" t="s">
        <v>399</v>
      </c>
      <c r="F1" s="685" t="s">
        <v>400</v>
      </c>
      <c r="G1" s="686"/>
      <c r="H1" s="687" t="s">
        <v>401</v>
      </c>
      <c r="I1" s="687"/>
      <c r="J1" s="687"/>
      <c r="K1" s="687"/>
      <c r="L1" s="687"/>
    </row>
    <row r="2" spans="1:12" customHeight="1" ht="15">
      <c r="E2" s="684"/>
      <c r="F2" s="156" t="s">
        <v>402</v>
      </c>
      <c r="G2" s="156" t="s">
        <v>403</v>
      </c>
      <c r="H2" s="156" t="s">
        <v>404</v>
      </c>
      <c r="I2" s="156" t="s">
        <v>405</v>
      </c>
      <c r="J2" s="156" t="s">
        <v>406</v>
      </c>
      <c r="K2" s="157" t="s">
        <v>407</v>
      </c>
      <c r="L2" s="157" t="s">
        <v>408</v>
      </c>
    </row>
    <row r="3" spans="1:12" customHeight="1" ht="36.5">
      <c r="A3" s="158" t="s">
        <v>409</v>
      </c>
      <c r="B3" s="688"/>
      <c r="C3" s="688"/>
      <c r="E3" s="159" t="s">
        <v>410</v>
      </c>
      <c r="F3" s="160"/>
      <c r="G3" s="160"/>
      <c r="H3" s="160"/>
      <c r="I3" s="160"/>
      <c r="J3" s="160"/>
      <c r="K3" s="160"/>
      <c r="L3" s="160"/>
    </row>
    <row r="4" spans="1:12" customHeight="1" ht="36.5">
      <c r="A4" s="161"/>
      <c r="E4" s="162" t="s">
        <v>411</v>
      </c>
      <c r="F4" s="160"/>
      <c r="G4" s="160"/>
      <c r="H4" s="160"/>
      <c r="I4" s="160"/>
      <c r="J4" s="160"/>
      <c r="K4" s="160"/>
      <c r="L4" s="160"/>
    </row>
    <row r="5" spans="1:12" customHeight="1" ht="24.5">
      <c r="A5" s="163" t="s">
        <v>412</v>
      </c>
      <c r="B5" s="164"/>
      <c r="C5" s="164"/>
      <c r="E5" s="162" t="s">
        <v>413</v>
      </c>
      <c r="F5" s="160"/>
      <c r="G5" s="160"/>
      <c r="H5" s="160"/>
      <c r="I5" s="160"/>
      <c r="J5" s="160"/>
      <c r="K5" s="160"/>
      <c r="L5" s="160"/>
    </row>
    <row r="6" spans="1:12" customHeight="1" ht="52.5">
      <c r="A6" s="165" t="s">
        <v>414</v>
      </c>
      <c r="B6" s="166"/>
      <c r="C6" s="166"/>
      <c r="E6" s="162" t="s">
        <v>415</v>
      </c>
      <c r="F6" s="160"/>
      <c r="G6" s="160"/>
      <c r="H6" s="160"/>
      <c r="I6" s="160"/>
      <c r="J6" s="160"/>
      <c r="K6" s="160"/>
      <c r="L6" s="160"/>
    </row>
    <row r="7" spans="1:12" customHeight="1" ht="36.5">
      <c r="A7" s="161"/>
      <c r="E7" s="162" t="s">
        <v>416</v>
      </c>
      <c r="F7" s="160"/>
      <c r="G7" s="160"/>
      <c r="H7" s="160"/>
      <c r="I7" s="160"/>
      <c r="J7" s="160"/>
      <c r="K7" s="160"/>
      <c r="L7" s="160"/>
    </row>
    <row r="8" spans="1:12" customHeight="1" ht="24.5">
      <c r="A8" s="681" t="s">
        <v>417</v>
      </c>
      <c r="B8" s="681"/>
      <c r="C8" s="681"/>
      <c r="E8" s="162" t="s">
        <v>418</v>
      </c>
      <c r="F8" s="160"/>
      <c r="G8" s="160"/>
      <c r="H8" s="160"/>
      <c r="I8" s="160"/>
      <c r="J8" s="160"/>
      <c r="K8" s="160"/>
      <c r="L8" s="160"/>
    </row>
    <row r="9" spans="1:12" customHeight="1" ht="24.5">
      <c r="A9" s="680" t="s">
        <v>419</v>
      </c>
      <c r="B9" s="680"/>
      <c r="C9" s="680"/>
      <c r="E9" s="162" t="s">
        <v>420</v>
      </c>
      <c r="F9" s="160"/>
      <c r="G9" s="160"/>
      <c r="H9" s="160"/>
      <c r="I9" s="160"/>
      <c r="J9" s="160"/>
      <c r="K9" s="160"/>
      <c r="L9" s="160"/>
    </row>
    <row r="10" spans="1:12" customHeight="1" ht="24.5">
      <c r="A10" s="680" t="s">
        <v>421</v>
      </c>
      <c r="B10" s="680"/>
      <c r="C10" s="680"/>
      <c r="E10" s="162" t="s">
        <v>422</v>
      </c>
      <c r="F10" s="160"/>
      <c r="G10" s="160"/>
      <c r="H10" s="160"/>
      <c r="I10" s="160"/>
      <c r="J10" s="160"/>
      <c r="K10" s="160"/>
      <c r="L10" s="160"/>
    </row>
    <row r="11" spans="1:12" customHeight="1" ht="36.75">
      <c r="A11" s="679" t="s">
        <v>423</v>
      </c>
      <c r="B11" s="679"/>
      <c r="C11" s="679"/>
      <c r="E11" s="162" t="s">
        <v>424</v>
      </c>
      <c r="F11" s="160"/>
      <c r="G11" s="160"/>
      <c r="H11" s="160"/>
      <c r="I11" s="160"/>
      <c r="J11" s="160"/>
      <c r="K11" s="160"/>
      <c r="L11" s="160"/>
    </row>
    <row r="12" spans="1:12" customHeight="1" ht="48.5">
      <c r="A12" s="679"/>
      <c r="B12" s="679"/>
      <c r="C12" s="679"/>
      <c r="E12" s="162" t="s">
        <v>425</v>
      </c>
      <c r="F12" s="160"/>
      <c r="G12" s="160"/>
      <c r="H12" s="160"/>
      <c r="I12" s="160"/>
      <c r="J12" s="160"/>
      <c r="K12" s="160"/>
      <c r="L12" s="160"/>
    </row>
    <row r="13" spans="1:12" customHeight="1" ht="24.5">
      <c r="A13" s="680" t="s">
        <v>426</v>
      </c>
      <c r="B13" s="680"/>
      <c r="C13" s="680"/>
      <c r="E13" s="162" t="s">
        <v>427</v>
      </c>
      <c r="F13" s="160"/>
      <c r="G13" s="160"/>
      <c r="H13" s="160"/>
      <c r="I13" s="160"/>
      <c r="J13" s="160"/>
      <c r="K13" s="160"/>
      <c r="L13" s="160"/>
    </row>
    <row r="14" spans="1:12" customHeight="1" ht="24.5">
      <c r="A14" s="679" t="s">
        <v>428</v>
      </c>
      <c r="B14" s="679"/>
      <c r="C14" s="679"/>
      <c r="E14" s="162" t="s">
        <v>429</v>
      </c>
      <c r="F14" s="160"/>
      <c r="G14" s="160"/>
      <c r="H14" s="160"/>
      <c r="I14" s="160"/>
      <c r="J14" s="160"/>
      <c r="K14" s="160"/>
      <c r="L14" s="160"/>
    </row>
    <row r="15" spans="1:12" customHeight="1" ht="24.5">
      <c r="A15" s="167"/>
      <c r="E15" s="162" t="s">
        <v>430</v>
      </c>
      <c r="F15" s="160"/>
      <c r="G15" s="160"/>
      <c r="H15" s="160"/>
      <c r="I15" s="160"/>
      <c r="J15" s="160"/>
      <c r="K15" s="160"/>
      <c r="L15" s="160"/>
    </row>
    <row r="16" spans="1:12" customHeight="1" ht="24.5">
      <c r="A16" s="678" t="s">
        <v>431</v>
      </c>
      <c r="B16" s="678"/>
      <c r="C16" s="678"/>
      <c r="E16" s="162" t="s">
        <v>432</v>
      </c>
      <c r="F16" s="160"/>
      <c r="G16" s="160"/>
      <c r="H16" s="160"/>
      <c r="I16" s="160"/>
      <c r="J16" s="160"/>
      <c r="K16" s="160"/>
      <c r="L16" s="160"/>
    </row>
    <row r="17" spans="1:12" customHeight="1" ht="36.5">
      <c r="A17" s="679" t="s">
        <v>433</v>
      </c>
      <c r="B17" s="679"/>
      <c r="C17" s="679"/>
      <c r="E17" s="162" t="s">
        <v>434</v>
      </c>
      <c r="F17" s="160"/>
      <c r="G17" s="160"/>
      <c r="H17" s="160"/>
      <c r="I17" s="160"/>
      <c r="J17" s="160"/>
      <c r="K17" s="160"/>
      <c r="L17" s="160"/>
    </row>
    <row r="18" spans="1:12" customHeight="1" ht="24.5">
      <c r="A18" s="679" t="s">
        <v>435</v>
      </c>
      <c r="B18" s="679"/>
      <c r="C18" s="679"/>
      <c r="E18" s="162" t="s">
        <v>436</v>
      </c>
      <c r="F18" s="160"/>
      <c r="G18" s="160"/>
      <c r="H18" s="160"/>
      <c r="I18" s="160"/>
      <c r="J18" s="160"/>
      <c r="K18" s="160"/>
      <c r="L18" s="160"/>
    </row>
    <row r="19" spans="1:12" customHeight="1" ht="15">
      <c r="A19" s="167"/>
      <c r="E19" s="162" t="s">
        <v>437</v>
      </c>
      <c r="F19" s="160"/>
      <c r="G19" s="160"/>
      <c r="H19" s="160"/>
      <c r="I19" s="160"/>
      <c r="J19" s="160"/>
      <c r="K19" s="160"/>
      <c r="L19" s="160"/>
    </row>
    <row r="20" spans="1:12" customHeight="1" ht="24.5">
      <c r="A20" s="678" t="s">
        <v>438</v>
      </c>
      <c r="B20" s="678"/>
      <c r="C20" s="678"/>
      <c r="E20" s="168" t="s">
        <v>439</v>
      </c>
      <c r="F20" s="160"/>
      <c r="G20" s="160"/>
      <c r="H20" s="160"/>
      <c r="I20" s="160"/>
      <c r="J20" s="160"/>
      <c r="K20" s="160"/>
      <c r="L20" s="160"/>
    </row>
    <row r="21" spans="1:12" customHeight="1" ht="36.5">
      <c r="A21" s="679" t="s">
        <v>440</v>
      </c>
      <c r="B21" s="679"/>
      <c r="C21" s="679"/>
      <c r="E21" s="169" t="s">
        <v>441</v>
      </c>
      <c r="F21" s="160"/>
      <c r="G21" s="160"/>
      <c r="H21" s="160"/>
      <c r="I21" s="160"/>
      <c r="J21" s="160"/>
      <c r="K21" s="160"/>
      <c r="L21" s="160"/>
    </row>
    <row r="22" spans="1:12">
      <c r="A22" s="167"/>
      <c r="E22" s="170"/>
      <c r="F22" s="170"/>
      <c r="G22" s="170"/>
      <c r="H22" s="170"/>
      <c r="I22" s="170"/>
      <c r="J22" s="170"/>
    </row>
    <row r="23" spans="1:12">
      <c r="A23" s="678" t="s">
        <v>442</v>
      </c>
      <c r="B23" s="678"/>
      <c r="C23" s="678"/>
      <c r="E23" s="170"/>
      <c r="F23" s="170"/>
      <c r="G23" s="170"/>
      <c r="H23" s="170"/>
      <c r="I23" s="170"/>
      <c r="J23" s="170"/>
    </row>
    <row r="24" spans="1:12">
      <c r="A24" s="679" t="s">
        <v>443</v>
      </c>
      <c r="B24" s="679"/>
      <c r="C24" s="679"/>
      <c r="E24" s="689" t="s">
        <v>444</v>
      </c>
      <c r="F24" s="689"/>
      <c r="G24" s="171"/>
      <c r="H24" s="171"/>
      <c r="I24" s="171"/>
      <c r="J24" s="171"/>
    </row>
    <row r="25" spans="1:12">
      <c r="A25" s="679" t="s">
        <v>445</v>
      </c>
      <c r="B25" s="679"/>
      <c r="C25" s="679"/>
      <c r="E25" s="690"/>
      <c r="F25" s="690"/>
      <c r="G25" s="690"/>
      <c r="H25" s="690"/>
      <c r="I25" s="690"/>
      <c r="J25" s="690"/>
    </row>
    <row r="26" spans="1:12">
      <c r="A26" s="679" t="s">
        <v>446</v>
      </c>
      <c r="B26" s="679"/>
      <c r="C26" s="679"/>
      <c r="E26" s="690"/>
      <c r="F26" s="690"/>
      <c r="G26" s="690"/>
      <c r="H26" s="690"/>
      <c r="I26" s="690"/>
      <c r="J26" s="690"/>
    </row>
    <row r="27" spans="1:12" customHeight="1" ht="27">
      <c r="A27" s="679" t="s">
        <v>447</v>
      </c>
      <c r="B27" s="679"/>
      <c r="C27" s="679"/>
      <c r="E27" s="690"/>
      <c r="F27" s="690"/>
      <c r="G27" s="690"/>
      <c r="H27" s="690"/>
      <c r="I27" s="690"/>
      <c r="J27" s="690"/>
    </row>
    <row r="28" spans="1:12">
      <c r="A28" s="679" t="s">
        <v>448</v>
      </c>
      <c r="B28" s="679"/>
      <c r="C28" s="679"/>
      <c r="E28" s="170"/>
      <c r="F28" s="170"/>
      <c r="G28" s="170"/>
      <c r="H28" s="170"/>
      <c r="I28" s="170"/>
      <c r="J28" s="170"/>
    </row>
    <row r="29" spans="1:12">
      <c r="A29" s="679" t="s">
        <v>449</v>
      </c>
      <c r="B29" s="679"/>
      <c r="C29" s="679"/>
      <c r="E29" s="689" t="s">
        <v>450</v>
      </c>
      <c r="F29" s="689"/>
      <c r="G29" s="171"/>
      <c r="H29" s="171"/>
      <c r="I29" s="171"/>
      <c r="J29" s="171"/>
    </row>
    <row r="30" spans="1:12">
      <c r="A30" s="167"/>
      <c r="E30" s="690"/>
      <c r="F30" s="690"/>
      <c r="G30" s="690"/>
      <c r="H30" s="690"/>
      <c r="I30" s="690"/>
      <c r="J30" s="690"/>
    </row>
    <row r="31" spans="1:12">
      <c r="A31" s="678" t="s">
        <v>451</v>
      </c>
      <c r="B31" s="678"/>
      <c r="C31" s="678"/>
      <c r="E31" s="690"/>
      <c r="F31" s="690"/>
      <c r="G31" s="690"/>
      <c r="H31" s="690"/>
      <c r="I31" s="690"/>
      <c r="J31" s="690"/>
    </row>
    <row r="32" spans="1:12">
      <c r="A32" s="679" t="s">
        <v>452</v>
      </c>
      <c r="B32" s="679"/>
      <c r="C32" s="679"/>
      <c r="E32" s="690"/>
      <c r="F32" s="690"/>
      <c r="G32" s="690"/>
      <c r="H32" s="690"/>
      <c r="I32" s="690"/>
      <c r="J32" s="690"/>
    </row>
    <row r="33" spans="1:12">
      <c r="A33" s="679" t="s">
        <v>453</v>
      </c>
      <c r="B33" s="679"/>
      <c r="C33" s="679"/>
      <c r="E33" s="172"/>
      <c r="F33" s="172"/>
      <c r="G33" s="172"/>
      <c r="H33" s="172"/>
      <c r="I33" s="172"/>
      <c r="J33" s="172"/>
    </row>
    <row r="34" spans="1:12">
      <c r="A34" s="679" t="s">
        <v>454</v>
      </c>
      <c r="B34" s="679"/>
      <c r="C34" s="679"/>
      <c r="E34" s="689" t="s">
        <v>455</v>
      </c>
      <c r="F34" s="689"/>
      <c r="G34" s="171"/>
      <c r="H34" s="171"/>
      <c r="I34" s="171"/>
      <c r="J34" s="171"/>
    </row>
    <row r="35" spans="1:12">
      <c r="A35" s="679" t="s">
        <v>456</v>
      </c>
      <c r="B35" s="679"/>
      <c r="C35" s="679"/>
      <c r="E35" s="690"/>
      <c r="F35" s="690"/>
      <c r="G35" s="690"/>
      <c r="H35" s="690"/>
      <c r="I35" s="690"/>
      <c r="J35" s="690"/>
    </row>
    <row r="36" spans="1:12">
      <c r="A36" s="167"/>
      <c r="E36" s="690"/>
      <c r="F36" s="690"/>
      <c r="G36" s="690"/>
      <c r="H36" s="690"/>
      <c r="I36" s="690"/>
      <c r="J36" s="690"/>
    </row>
    <row r="37" spans="1:12">
      <c r="A37" s="678" t="s">
        <v>457</v>
      </c>
      <c r="B37" s="678"/>
      <c r="C37" s="678"/>
      <c r="E37" s="690"/>
      <c r="F37" s="690"/>
      <c r="G37" s="690"/>
      <c r="H37" s="690"/>
      <c r="I37" s="690"/>
      <c r="J37" s="690"/>
    </row>
    <row r="38" spans="1:12" customHeight="1" ht="30.75">
      <c r="A38" s="679" t="s">
        <v>458</v>
      </c>
      <c r="B38" s="679"/>
      <c r="C38" s="679"/>
      <c r="E38" s="171"/>
      <c r="F38" s="171"/>
      <c r="G38" s="171"/>
      <c r="H38" s="171"/>
      <c r="I38" s="171"/>
      <c r="J38" s="171"/>
    </row>
    <row r="39" spans="1:12">
      <c r="A39" s="679" t="s">
        <v>459</v>
      </c>
      <c r="B39" s="679"/>
      <c r="C39" s="679"/>
      <c r="E39" s="689" t="s">
        <v>460</v>
      </c>
      <c r="F39" s="689"/>
      <c r="G39" s="171"/>
      <c r="H39" s="171"/>
      <c r="I39" s="171"/>
      <c r="J39" s="171"/>
    </row>
    <row r="40" spans="1:12">
      <c r="A40" s="679" t="s">
        <v>461</v>
      </c>
      <c r="B40" s="679"/>
      <c r="C40" s="679"/>
      <c r="E40" s="690"/>
      <c r="F40" s="690"/>
      <c r="G40" s="690"/>
      <c r="H40" s="690"/>
      <c r="I40" s="690"/>
      <c r="J40" s="690"/>
    </row>
    <row r="41" spans="1:12">
      <c r="A41" s="679" t="s">
        <v>462</v>
      </c>
      <c r="B41" s="679"/>
      <c r="C41" s="679"/>
      <c r="E41" s="690"/>
      <c r="F41" s="690"/>
      <c r="G41" s="690"/>
      <c r="H41" s="690"/>
      <c r="I41" s="690"/>
      <c r="J41" s="690"/>
    </row>
    <row r="42" spans="1:12">
      <c r="A42" s="679" t="s">
        <v>463</v>
      </c>
      <c r="B42" s="679"/>
      <c r="C42" s="679"/>
      <c r="E42" s="690"/>
      <c r="F42" s="690"/>
      <c r="G42" s="690"/>
      <c r="H42" s="690"/>
      <c r="I42" s="690"/>
      <c r="J42" s="690"/>
    </row>
    <row r="43" spans="1:12" customHeight="1" ht="25.5">
      <c r="A43" s="679" t="s">
        <v>464</v>
      </c>
      <c r="B43" s="679"/>
      <c r="C43" s="679"/>
      <c r="E43" s="171"/>
      <c r="F43" s="171"/>
      <c r="G43" s="171"/>
      <c r="H43" s="171"/>
      <c r="I43" s="171"/>
      <c r="J43" s="171"/>
    </row>
    <row r="44" spans="1:12">
      <c r="A44" s="679" t="s">
        <v>465</v>
      </c>
      <c r="B44" s="679"/>
      <c r="C44" s="679"/>
      <c r="E44" s="689" t="s">
        <v>466</v>
      </c>
      <c r="F44" s="689"/>
      <c r="G44" s="171"/>
      <c r="H44" s="171"/>
      <c r="I44" s="171"/>
      <c r="J44" s="171"/>
    </row>
    <row r="45" spans="1:12">
      <c r="E45" s="690"/>
      <c r="F45" s="690"/>
      <c r="G45" s="690"/>
      <c r="H45" s="690"/>
      <c r="I45" s="690"/>
      <c r="J45" s="690"/>
    </row>
    <row r="46" spans="1:12">
      <c r="A46" s="678" t="s">
        <v>467</v>
      </c>
      <c r="B46" s="678"/>
      <c r="C46" s="678"/>
      <c r="E46" s="690"/>
      <c r="F46" s="690"/>
      <c r="G46" s="690"/>
      <c r="H46" s="690"/>
      <c r="I46" s="690"/>
      <c r="J46" s="690"/>
    </row>
    <row r="47" spans="1:12">
      <c r="A47" s="679" t="s">
        <v>468</v>
      </c>
      <c r="B47" s="679"/>
      <c r="C47" s="679"/>
      <c r="E47" s="690"/>
      <c r="F47" s="690"/>
      <c r="G47" s="690"/>
      <c r="H47" s="690"/>
      <c r="I47" s="690"/>
      <c r="J47" s="690"/>
    </row>
    <row r="48" spans="1:12">
      <c r="A48" s="679" t="s">
        <v>469</v>
      </c>
      <c r="B48" s="679"/>
      <c r="C48" s="679"/>
      <c r="E48" s="171"/>
      <c r="F48" s="171"/>
      <c r="G48" s="171"/>
      <c r="H48" s="171"/>
      <c r="I48" s="171"/>
      <c r="J48" s="171"/>
    </row>
    <row r="49" spans="1:12">
      <c r="A49" s="167"/>
      <c r="E49" s="173"/>
      <c r="F49" s="173"/>
      <c r="G49" s="173"/>
      <c r="H49" s="173"/>
      <c r="I49" s="173"/>
      <c r="J49" s="173"/>
    </row>
    <row r="50" spans="1:12">
      <c r="A50" s="678" t="s">
        <v>470</v>
      </c>
      <c r="B50" s="678"/>
      <c r="C50" s="678"/>
      <c r="E50" s="174"/>
      <c r="F50" s="174"/>
      <c r="G50" s="174"/>
      <c r="H50" s="174"/>
      <c r="I50" s="174"/>
      <c r="J50" s="174"/>
    </row>
    <row r="51" spans="1:12">
      <c r="A51" s="680" t="s">
        <v>471</v>
      </c>
      <c r="B51" s="680"/>
      <c r="C51" s="680"/>
      <c r="E51" s="174"/>
      <c r="F51" s="174"/>
      <c r="G51" s="174"/>
      <c r="H51" s="174"/>
      <c r="I51" s="174"/>
      <c r="J51" s="174"/>
    </row>
    <row r="52" spans="1:12" customHeight="1" ht="25.5">
      <c r="A52" s="680" t="s">
        <v>472</v>
      </c>
      <c r="B52" s="680"/>
      <c r="C52" s="680"/>
      <c r="E52" s="174"/>
      <c r="F52" s="174"/>
      <c r="G52" s="174"/>
      <c r="H52" s="174"/>
      <c r="I52" s="174"/>
      <c r="J52" s="174"/>
    </row>
    <row r="53" spans="1:12">
      <c r="A53" s="680" t="s">
        <v>473</v>
      </c>
      <c r="B53" s="680"/>
      <c r="C53" s="680"/>
      <c r="E53" s="174"/>
      <c r="F53" s="174"/>
      <c r="G53" s="174"/>
      <c r="H53" s="174"/>
      <c r="I53" s="174"/>
      <c r="J53" s="174"/>
    </row>
    <row r="54" spans="1:12">
      <c r="A54" s="680" t="s">
        <v>474</v>
      </c>
      <c r="B54" s="680"/>
      <c r="C54" s="680"/>
      <c r="E54" s="173"/>
      <c r="F54" s="173"/>
      <c r="G54" s="173"/>
      <c r="H54" s="173"/>
      <c r="I54" s="173"/>
      <c r="J54" s="173"/>
    </row>
    <row r="55" spans="1:12">
      <c r="A55" s="680" t="s">
        <v>475</v>
      </c>
      <c r="B55" s="680"/>
      <c r="C55" s="680"/>
      <c r="E55" s="174"/>
      <c r="F55" s="174"/>
      <c r="G55" s="174"/>
      <c r="H55" s="174"/>
      <c r="I55" s="174"/>
      <c r="J55" s="174"/>
    </row>
    <row r="56" spans="1:12">
      <c r="A56" s="680" t="s">
        <v>476</v>
      </c>
      <c r="B56" s="680"/>
      <c r="C56" s="680"/>
      <c r="E56" s="174"/>
      <c r="F56" s="174"/>
      <c r="G56" s="174"/>
      <c r="H56" s="174"/>
      <c r="I56" s="174"/>
      <c r="J56" s="174"/>
    </row>
    <row r="57" spans="1:12">
      <c r="A57" s="680" t="s">
        <v>477</v>
      </c>
      <c r="B57" s="680"/>
      <c r="C57" s="680"/>
      <c r="E57" s="174"/>
      <c r="F57" s="174"/>
      <c r="G57" s="174"/>
      <c r="H57" s="174"/>
      <c r="I57" s="174"/>
      <c r="J57" s="174"/>
    </row>
    <row r="58" spans="1:12">
      <c r="A58" s="680" t="s">
        <v>478</v>
      </c>
      <c r="B58" s="680"/>
      <c r="C58" s="680"/>
      <c r="E58" s="174"/>
      <c r="F58" s="174"/>
      <c r="G58" s="174"/>
      <c r="H58" s="174"/>
      <c r="I58" s="174"/>
      <c r="J58" s="174"/>
    </row>
    <row r="59" spans="1:12">
      <c r="A59" s="167"/>
      <c r="E59" s="173"/>
      <c r="F59" s="173"/>
      <c r="G59" s="173"/>
      <c r="H59" s="173"/>
      <c r="I59" s="173"/>
      <c r="J59" s="173"/>
    </row>
    <row r="60" spans="1:12">
      <c r="A60" s="678" t="s">
        <v>479</v>
      </c>
      <c r="B60" s="678"/>
      <c r="C60" s="678"/>
      <c r="E60" s="174"/>
      <c r="F60" s="174"/>
      <c r="G60" s="174"/>
      <c r="H60" s="174"/>
      <c r="I60" s="174"/>
      <c r="J60" s="174"/>
    </row>
    <row r="61" spans="1:12" customHeight="1" ht="23.25">
      <c r="A61" s="679" t="s">
        <v>480</v>
      </c>
      <c r="B61" s="679"/>
      <c r="C61" s="679"/>
      <c r="E61" s="174"/>
      <c r="F61" s="174"/>
      <c r="G61" s="174"/>
      <c r="H61" s="174"/>
      <c r="I61" s="174"/>
      <c r="J61" s="174"/>
    </row>
    <row r="62" spans="1:12">
      <c r="A62" s="167"/>
      <c r="E62" s="174"/>
      <c r="F62" s="174"/>
      <c r="G62" s="174"/>
      <c r="H62" s="174"/>
      <c r="I62" s="174"/>
      <c r="J62" s="174"/>
    </row>
    <row r="63" spans="1:12">
      <c r="A63" s="678" t="s">
        <v>481</v>
      </c>
      <c r="B63" s="678"/>
      <c r="C63" s="678"/>
      <c r="E63" s="174"/>
      <c r="F63" s="174"/>
      <c r="G63" s="174"/>
      <c r="H63" s="174"/>
      <c r="I63" s="174"/>
      <c r="J63" s="174"/>
    </row>
    <row r="64" spans="1:12">
      <c r="A64" s="679" t="s">
        <v>482</v>
      </c>
      <c r="B64" s="679"/>
      <c r="C64" s="679"/>
      <c r="E64" s="173"/>
      <c r="F64" s="173"/>
      <c r="G64" s="173"/>
      <c r="H64" s="173"/>
      <c r="I64" s="173"/>
      <c r="J64" s="173"/>
    </row>
    <row r="65" spans="1:12">
      <c r="A65" s="680" t="s">
        <v>483</v>
      </c>
      <c r="B65" s="680"/>
      <c r="C65" s="680"/>
      <c r="E65" s="174"/>
      <c r="F65" s="174"/>
      <c r="G65" s="174"/>
      <c r="H65" s="174"/>
      <c r="I65" s="174"/>
      <c r="J65" s="174"/>
    </row>
    <row r="66" spans="1:12">
      <c r="A66" s="167"/>
      <c r="E66" s="174"/>
      <c r="F66" s="174"/>
      <c r="G66" s="174"/>
      <c r="H66" s="174"/>
      <c r="I66" s="174"/>
      <c r="J66" s="174"/>
    </row>
    <row r="67" spans="1:12">
      <c r="A67" s="678" t="s">
        <v>484</v>
      </c>
      <c r="B67" s="678"/>
      <c r="C67" s="678"/>
      <c r="E67" s="174"/>
      <c r="F67" s="174"/>
      <c r="G67" s="174"/>
      <c r="H67" s="174"/>
      <c r="I67" s="174"/>
      <c r="J67" s="174"/>
    </row>
    <row r="68" spans="1:12" customHeight="1" ht="15.75">
      <c r="A68" s="679" t="s">
        <v>485</v>
      </c>
      <c r="B68" s="679"/>
      <c r="C68" s="679"/>
      <c r="E68" s="174"/>
      <c r="F68" s="174"/>
      <c r="G68" s="174"/>
      <c r="H68" s="174"/>
      <c r="I68" s="174"/>
      <c r="J68" s="174"/>
    </row>
    <row r="69" spans="1:12">
      <c r="A69" s="679" t="s">
        <v>486</v>
      </c>
      <c r="B69" s="679"/>
      <c r="C69" s="679"/>
      <c r="E69" s="173"/>
      <c r="F69" s="173"/>
      <c r="G69" s="173"/>
      <c r="H69" s="173"/>
      <c r="I69" s="173"/>
      <c r="J69" s="173"/>
    </row>
    <row r="70" spans="1:12" customHeight="1" ht="26.25">
      <c r="A70" s="679" t="s">
        <v>487</v>
      </c>
      <c r="B70" s="679"/>
      <c r="C70" s="679"/>
      <c r="E70" s="174"/>
      <c r="F70" s="174"/>
      <c r="G70" s="174"/>
      <c r="H70" s="174"/>
      <c r="I70" s="174"/>
      <c r="J70" s="174"/>
    </row>
    <row r="71" spans="1:12">
      <c r="A71" s="679" t="s">
        <v>488</v>
      </c>
      <c r="B71" s="679"/>
      <c r="C71" s="679"/>
      <c r="E71" s="174"/>
      <c r="F71" s="174"/>
      <c r="G71" s="174"/>
      <c r="H71" s="174"/>
      <c r="I71" s="174"/>
      <c r="J71" s="174"/>
    </row>
    <row r="72" spans="1:12">
      <c r="A72" s="679" t="s">
        <v>489</v>
      </c>
      <c r="B72" s="679"/>
      <c r="C72" s="679"/>
      <c r="E72" s="174"/>
      <c r="F72" s="174"/>
      <c r="G72" s="174"/>
      <c r="H72" s="174"/>
      <c r="I72" s="174"/>
      <c r="J72" s="174"/>
    </row>
    <row r="73" spans="1:12">
      <c r="A73" s="167"/>
      <c r="E73" s="174"/>
      <c r="F73" s="174"/>
      <c r="G73" s="174"/>
      <c r="H73" s="174"/>
      <c r="I73" s="174"/>
      <c r="J73" s="174"/>
    </row>
    <row r="74" spans="1:12">
      <c r="A74" s="678" t="s">
        <v>490</v>
      </c>
      <c r="B74" s="678"/>
      <c r="C74" s="678"/>
      <c r="E74" s="173"/>
      <c r="F74" s="173"/>
      <c r="G74" s="173"/>
      <c r="H74" s="173"/>
      <c r="I74" s="173"/>
      <c r="J74" s="173"/>
    </row>
    <row r="75" spans="1:12">
      <c r="A75" s="691" t="s">
        <v>491</v>
      </c>
      <c r="B75" s="691"/>
      <c r="C75" s="691"/>
      <c r="E75" s="174"/>
      <c r="F75" s="174"/>
      <c r="G75" s="174"/>
      <c r="H75" s="174"/>
      <c r="I75" s="174"/>
      <c r="J75" s="174"/>
    </row>
    <row r="76" spans="1:12">
      <c r="A76" s="167"/>
      <c r="E76" s="174"/>
      <c r="F76" s="174"/>
      <c r="G76" s="174"/>
      <c r="H76" s="174"/>
      <c r="I76" s="174"/>
      <c r="J76" s="174"/>
    </row>
    <row r="77" spans="1:12">
      <c r="A77" s="678" t="s">
        <v>492</v>
      </c>
      <c r="B77" s="678"/>
      <c r="C77" s="678"/>
      <c r="E77" s="174"/>
      <c r="F77" s="174"/>
      <c r="G77" s="174"/>
      <c r="H77" s="174"/>
      <c r="I77" s="174"/>
      <c r="J77" s="174"/>
    </row>
    <row r="78" spans="1:12">
      <c r="A78" s="691" t="s">
        <v>493</v>
      </c>
      <c r="B78" s="691"/>
      <c r="C78" s="691"/>
      <c r="E78" s="174"/>
      <c r="F78" s="174"/>
      <c r="G78" s="174"/>
      <c r="H78" s="174"/>
      <c r="I78" s="174"/>
      <c r="J78" s="174"/>
    </row>
    <row r="79" spans="1:12" customHeight="1" ht="29.25">
      <c r="A79" s="679" t="s">
        <v>494</v>
      </c>
      <c r="B79" s="679"/>
      <c r="C79" s="679"/>
      <c r="E79" s="173"/>
      <c r="F79" s="173"/>
      <c r="G79" s="173"/>
      <c r="H79" s="173"/>
      <c r="I79" s="173"/>
      <c r="J79" s="173"/>
    </row>
    <row r="80" spans="1:12">
      <c r="A80" s="680" t="s">
        <v>495</v>
      </c>
      <c r="B80" s="680"/>
      <c r="C80" s="680"/>
      <c r="E80" s="174"/>
      <c r="F80" s="174"/>
      <c r="G80" s="174"/>
      <c r="H80" s="174"/>
      <c r="I80" s="174"/>
      <c r="J80" s="174"/>
    </row>
    <row r="81" spans="1:12">
      <c r="A81" s="167"/>
      <c r="E81" s="174"/>
      <c r="F81" s="174"/>
      <c r="G81" s="174"/>
      <c r="H81" s="174"/>
      <c r="I81" s="174"/>
      <c r="J81" s="174"/>
    </row>
    <row r="82" spans="1:12">
      <c r="A82" s="692" t="s">
        <v>496</v>
      </c>
      <c r="B82" s="692"/>
      <c r="C82" s="692"/>
      <c r="E82" s="174"/>
      <c r="F82" s="174"/>
      <c r="G82" s="174"/>
      <c r="H82" s="174"/>
      <c r="I82" s="174"/>
      <c r="J82" s="174"/>
    </row>
    <row r="83" spans="1:12">
      <c r="A83" s="680" t="s">
        <v>497</v>
      </c>
      <c r="B83" s="680"/>
      <c r="C83" s="680"/>
      <c r="E83" s="174"/>
      <c r="F83" s="174"/>
      <c r="G83" s="174"/>
      <c r="H83" s="174"/>
      <c r="I83" s="174"/>
      <c r="J83" s="174"/>
    </row>
    <row r="84" spans="1:12">
      <c r="A84" s="167"/>
      <c r="E84" s="173"/>
      <c r="F84" s="173"/>
      <c r="G84" s="173"/>
      <c r="H84" s="173"/>
      <c r="I84" s="173"/>
      <c r="J84" s="173"/>
    </row>
    <row r="85" spans="1:12">
      <c r="A85" s="692" t="s">
        <v>498</v>
      </c>
      <c r="B85" s="692"/>
      <c r="C85" s="692"/>
      <c r="E85" s="174"/>
      <c r="F85" s="174"/>
      <c r="G85" s="174"/>
      <c r="H85" s="174"/>
      <c r="I85" s="174"/>
      <c r="J85" s="174"/>
    </row>
    <row r="86" spans="1:12">
      <c r="A86" s="175" t="s">
        <v>499</v>
      </c>
      <c r="E86" s="174"/>
      <c r="F86" s="174"/>
      <c r="G86" s="174"/>
      <c r="H86" s="174"/>
      <c r="I86" s="174"/>
      <c r="J86" s="174"/>
    </row>
    <row r="87" spans="1:12">
      <c r="A87" s="167"/>
      <c r="E87" s="174"/>
      <c r="F87" s="174"/>
      <c r="G87" s="174"/>
      <c r="H87" s="174"/>
      <c r="I87" s="174"/>
      <c r="J87" s="174"/>
    </row>
    <row r="88" spans="1:12">
      <c r="A88" s="678" t="s">
        <v>500</v>
      </c>
      <c r="B88" s="678"/>
      <c r="C88" s="678"/>
      <c r="E88" s="174"/>
      <c r="F88" s="174"/>
      <c r="G88" s="174"/>
      <c r="H88" s="174"/>
      <c r="I88" s="174"/>
      <c r="J88" s="174"/>
    </row>
    <row r="89" spans="1:12">
      <c r="A89" s="167" t="s">
        <v>501</v>
      </c>
      <c r="E89" s="173"/>
      <c r="F89" s="173"/>
      <c r="G89" s="173"/>
      <c r="H89" s="173"/>
      <c r="I89" s="173"/>
      <c r="J89" s="173"/>
    </row>
    <row r="90" spans="1:12">
      <c r="A90" s="167" t="s">
        <v>502</v>
      </c>
      <c r="E90" s="174"/>
      <c r="F90" s="174"/>
      <c r="G90" s="174"/>
      <c r="H90" s="174"/>
      <c r="I90" s="174"/>
      <c r="J90" s="174"/>
    </row>
    <row r="91" spans="1:12">
      <c r="A91" s="167" t="s">
        <v>503</v>
      </c>
      <c r="E91" s="174"/>
      <c r="F91" s="174"/>
      <c r="G91" s="174"/>
      <c r="H91" s="174"/>
      <c r="I91" s="174"/>
      <c r="J91" s="174"/>
    </row>
    <row r="92" spans="1:12">
      <c r="A92" s="167" t="s">
        <v>504</v>
      </c>
      <c r="E92" s="174"/>
      <c r="F92" s="174"/>
      <c r="G92" s="174"/>
      <c r="H92" s="174"/>
      <c r="I92" s="174"/>
      <c r="J92" s="174"/>
    </row>
    <row r="93" spans="1:12">
      <c r="E93" s="174"/>
      <c r="F93" s="174"/>
      <c r="G93" s="174"/>
      <c r="H93" s="174"/>
      <c r="I93" s="174"/>
      <c r="J93" s="174"/>
    </row>
    <row r="94" spans="1:12">
      <c r="E94" s="173"/>
      <c r="F94" s="173"/>
      <c r="G94" s="173"/>
      <c r="H94" s="173"/>
      <c r="I94" s="173"/>
      <c r="J94" s="173"/>
    </row>
    <row r="95" spans="1:12">
      <c r="E95" s="174"/>
      <c r="F95" s="174"/>
      <c r="G95" s="174"/>
      <c r="H95" s="174"/>
      <c r="I95" s="174"/>
      <c r="J95" s="174"/>
    </row>
    <row r="96" spans="1:12">
      <c r="E96" s="174"/>
      <c r="F96" s="174"/>
      <c r="G96" s="174"/>
      <c r="H96" s="174"/>
      <c r="I96" s="174"/>
      <c r="J96" s="174"/>
    </row>
    <row r="97" spans="1:12">
      <c r="E97" s="174"/>
      <c r="F97" s="174"/>
      <c r="G97" s="174"/>
      <c r="H97" s="174"/>
      <c r="I97" s="174"/>
      <c r="J97" s="174"/>
    </row>
    <row r="98" spans="1:12">
      <c r="E98" s="174"/>
      <c r="F98" s="174"/>
      <c r="G98" s="174"/>
      <c r="H98" s="174"/>
      <c r="I98" s="174"/>
      <c r="J98" s="174"/>
    </row>
    <row r="99" spans="1:12">
      <c r="E99" s="174"/>
      <c r="F99" s="174"/>
      <c r="G99" s="174"/>
      <c r="H99" s="174"/>
      <c r="I99" s="174"/>
      <c r="J99" s="174"/>
    </row>
    <row r="100" spans="1:12">
      <c r="E100" s="173"/>
      <c r="F100" s="173"/>
      <c r="G100" s="173"/>
      <c r="H100" s="173"/>
      <c r="I100" s="173"/>
      <c r="J100" s="173"/>
    </row>
    <row r="101" spans="1:12">
      <c r="E101" s="174"/>
      <c r="F101" s="174"/>
      <c r="G101" s="174"/>
      <c r="H101" s="174"/>
      <c r="I101" s="174"/>
      <c r="J101" s="174"/>
    </row>
    <row r="102" spans="1:12">
      <c r="E102" s="174"/>
      <c r="F102" s="174"/>
      <c r="G102" s="174"/>
      <c r="H102" s="174"/>
      <c r="I102" s="174"/>
      <c r="J102" s="174"/>
    </row>
    <row r="103" spans="1:12">
      <c r="E103" s="174"/>
      <c r="F103" s="174"/>
      <c r="G103" s="174"/>
      <c r="H103" s="174"/>
      <c r="I103" s="174"/>
      <c r="J103" s="174"/>
    </row>
    <row r="104" spans="1:12">
      <c r="E104" s="174"/>
      <c r="F104" s="174"/>
      <c r="G104" s="174"/>
      <c r="H104" s="174"/>
      <c r="I104" s="174"/>
      <c r="J104" s="174"/>
    </row>
    <row r="105" spans="1:12">
      <c r="E105" s="174"/>
      <c r="F105" s="174"/>
      <c r="G105" s="174"/>
      <c r="H105" s="174"/>
      <c r="I105" s="174"/>
      <c r="J105" s="174"/>
    </row>
    <row r="106" spans="1:12">
      <c r="E106" s="174"/>
      <c r="F106" s="174"/>
      <c r="G106" s="174"/>
      <c r="H106" s="174"/>
      <c r="I106" s="174"/>
      <c r="J106" s="174"/>
    </row>
    <row r="107" spans="1:12">
      <c r="E107" s="173"/>
      <c r="F107" s="173"/>
      <c r="G107" s="173"/>
      <c r="H107" s="173"/>
      <c r="I107" s="173"/>
      <c r="J107" s="173"/>
    </row>
    <row r="108" spans="1:12">
      <c r="E108" s="174"/>
      <c r="F108" s="174"/>
      <c r="G108" s="174"/>
      <c r="H108" s="174"/>
      <c r="I108" s="174"/>
      <c r="J108" s="174"/>
    </row>
    <row r="109" spans="1:12">
      <c r="E109" s="174"/>
      <c r="F109" s="174"/>
      <c r="G109" s="174"/>
      <c r="H109" s="174"/>
      <c r="I109" s="174"/>
      <c r="J109" s="174"/>
    </row>
    <row r="110" spans="1:12">
      <c r="E110" s="174"/>
      <c r="F110" s="174"/>
      <c r="G110" s="174"/>
      <c r="H110" s="174"/>
      <c r="I110" s="174"/>
      <c r="J110" s="174"/>
    </row>
    <row r="111" spans="1:12">
      <c r="E111" s="174"/>
      <c r="F111" s="174"/>
      <c r="G111" s="174"/>
      <c r="H111" s="174"/>
      <c r="I111" s="174"/>
      <c r="J111" s="174"/>
    </row>
    <row r="112" spans="1:12">
      <c r="E112" s="174"/>
      <c r="F112" s="174"/>
      <c r="G112" s="174"/>
      <c r="H112" s="174"/>
      <c r="I112" s="174"/>
      <c r="J112" s="174"/>
    </row>
    <row r="113" spans="1:12">
      <c r="E113" s="174"/>
      <c r="F113" s="174"/>
      <c r="G113" s="174"/>
      <c r="H113" s="174"/>
      <c r="I113" s="174"/>
      <c r="J113" s="174"/>
    </row>
    <row r="114" spans="1:12">
      <c r="E114" s="173"/>
      <c r="F114" s="173"/>
      <c r="G114" s="173"/>
      <c r="H114" s="173"/>
      <c r="I114" s="173"/>
      <c r="J114" s="173"/>
    </row>
    <row r="115" spans="1:12">
      <c r="E115" s="174"/>
      <c r="F115" s="174"/>
      <c r="G115" s="174"/>
      <c r="H115" s="174"/>
      <c r="I115" s="174"/>
      <c r="J115" s="174"/>
    </row>
    <row r="116" spans="1:12">
      <c r="E116" s="174"/>
      <c r="F116" s="174"/>
      <c r="G116" s="174"/>
      <c r="H116" s="174"/>
      <c r="I116" s="174"/>
      <c r="J116" s="174"/>
    </row>
    <row r="117" spans="1:12">
      <c r="E117" s="174"/>
      <c r="F117" s="174"/>
      <c r="G117" s="174"/>
      <c r="H117" s="174"/>
      <c r="I117" s="174"/>
      <c r="J117" s="174"/>
    </row>
    <row r="118" spans="1:12">
      <c r="E118" s="174"/>
      <c r="F118" s="174"/>
      <c r="G118" s="174"/>
      <c r="H118" s="174"/>
      <c r="I118" s="174"/>
      <c r="J118" s="174"/>
    </row>
    <row r="119" spans="1:12">
      <c r="E119" s="174"/>
      <c r="F119" s="174"/>
      <c r="G119" s="174"/>
      <c r="H119" s="174"/>
      <c r="I119" s="174"/>
      <c r="J119" s="174"/>
    </row>
    <row r="120" spans="1:12">
      <c r="E120" s="174"/>
      <c r="F120" s="174"/>
      <c r="G120" s="174"/>
      <c r="H120" s="174"/>
      <c r="I120" s="174"/>
      <c r="J120" s="174"/>
    </row>
    <row r="121" spans="1:12">
      <c r="E121" s="174"/>
      <c r="F121" s="174"/>
      <c r="G121" s="174"/>
      <c r="H121" s="174"/>
      <c r="I121" s="174"/>
      <c r="J121" s="174"/>
    </row>
    <row r="122" spans="1:12">
      <c r="E122" s="173"/>
      <c r="F122" s="173"/>
      <c r="G122" s="173"/>
      <c r="H122" s="173"/>
      <c r="I122" s="173"/>
      <c r="J122" s="173"/>
    </row>
    <row r="123" spans="1:12">
      <c r="E123" s="174"/>
      <c r="F123" s="174"/>
      <c r="G123" s="174"/>
      <c r="H123" s="174"/>
      <c r="I123" s="174"/>
      <c r="J123" s="174"/>
    </row>
    <row r="124" spans="1:12">
      <c r="E124" s="174"/>
      <c r="F124" s="174"/>
      <c r="G124" s="174"/>
      <c r="H124" s="174"/>
      <c r="I124" s="174"/>
      <c r="J124" s="174"/>
    </row>
    <row r="125" spans="1:12">
      <c r="E125" s="174"/>
      <c r="F125" s="174"/>
      <c r="G125" s="174"/>
      <c r="H125" s="174"/>
      <c r="I125" s="174"/>
      <c r="J125" s="174"/>
    </row>
    <row r="126" spans="1:12">
      <c r="E126" s="174"/>
      <c r="F126" s="174"/>
      <c r="G126" s="174"/>
      <c r="H126" s="174"/>
      <c r="I126" s="174"/>
      <c r="J126" s="174"/>
    </row>
    <row r="127" spans="1:12">
      <c r="E127" s="174"/>
      <c r="F127" s="174"/>
      <c r="G127" s="174"/>
      <c r="H127" s="174"/>
      <c r="I127" s="174"/>
      <c r="J127" s="174"/>
    </row>
    <row r="128" spans="1:12" customHeight="1" ht="35.25">
      <c r="E128" s="176"/>
      <c r="F128" s="176"/>
      <c r="H128" s="177"/>
      <c r="I128" s="177"/>
      <c r="J128" s="177"/>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